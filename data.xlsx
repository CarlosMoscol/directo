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7A570631-8DBA-1D47-ADD1-97B3128C6F58}" xr6:coauthVersionLast="47" xr6:coauthVersionMax="47" xr10:uidLastSave="{00000000-0000-0000-0000-000000000000}"/>
  <bookViews>
    <workbookView xWindow="11140" yWindow="500" windowWidth="17660" windowHeight="16260" xr2:uid="{92037B7A-FC79-482E-9F0E-7B97B523F632}"/>
  </bookViews>
  <sheets>
    <sheet name="data" sheetId="1" r:id="rId1"/>
  </sheets>
  <definedNames>
    <definedName name="_xlnm._FilterDatabase" localSheetId="0" hidden="1">data!$A$1:$H$14165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 s="1"/>
  <c r="H15195" i="1" l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 s="1"/>
  <c r="H15187" i="1"/>
  <c r="C15187" i="1" s="1"/>
  <c r="H15186" i="1"/>
  <c r="C15186" i="1"/>
  <c r="H15185" i="1"/>
  <c r="C15185" i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 s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 s="1"/>
  <c r="H15158" i="1"/>
  <c r="C15158" i="1" s="1"/>
  <c r="H15157" i="1"/>
  <c r="C15157" i="1"/>
  <c r="H15156" i="1"/>
  <c r="C15156" i="1" s="1"/>
  <c r="H15155" i="1"/>
  <c r="C15155" i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 s="1"/>
  <c r="H15146" i="1"/>
  <c r="C15146" i="1" s="1"/>
  <c r="H15145" i="1"/>
  <c r="C15145" i="1" s="1"/>
  <c r="H15144" i="1"/>
  <c r="C15144" i="1" s="1"/>
  <c r="H15143" i="1"/>
  <c r="C15143" i="1"/>
  <c r="H15142" i="1"/>
  <c r="C15142" i="1" s="1"/>
  <c r="H15141" i="1"/>
  <c r="C15141" i="1" s="1"/>
  <c r="H15140" i="1"/>
  <c r="C15140" i="1" s="1"/>
  <c r="H15139" i="1"/>
  <c r="C15139" i="1" s="1"/>
  <c r="H15138" i="1"/>
  <c r="C15138" i="1" s="1"/>
  <c r="H15137" i="1"/>
  <c r="C15137" i="1"/>
  <c r="H15136" i="1"/>
  <c r="C15136" i="1" s="1"/>
  <c r="H15135" i="1"/>
  <c r="C15135" i="1" s="1"/>
  <c r="H15134" i="1"/>
  <c r="C15134" i="1" s="1"/>
  <c r="H15133" i="1"/>
  <c r="C15133" i="1" s="1"/>
  <c r="H15132" i="1"/>
  <c r="C15132" i="1" s="1"/>
  <c r="H15131" i="1"/>
  <c r="C15131" i="1" s="1"/>
  <c r="H15130" i="1"/>
  <c r="C15130" i="1" s="1"/>
  <c r="H15129" i="1"/>
  <c r="C15129" i="1"/>
  <c r="H15128" i="1"/>
  <c r="C15128" i="1" s="1"/>
  <c r="H15127" i="1"/>
  <c r="C15127" i="1"/>
  <c r="H15126" i="1"/>
  <c r="C15126" i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 s="1"/>
  <c r="H15118" i="1"/>
  <c r="C15118" i="1" s="1"/>
  <c r="H15117" i="1"/>
  <c r="C15117" i="1"/>
  <c r="H15116" i="1"/>
  <c r="C15116" i="1" s="1"/>
  <c r="H15115" i="1"/>
  <c r="C15115" i="1" s="1"/>
  <c r="H15114" i="1"/>
  <c r="C15114" i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 s="1"/>
  <c r="H15107" i="1"/>
  <c r="C15107" i="1" s="1"/>
  <c r="H15106" i="1"/>
  <c r="C15106" i="1" s="1"/>
  <c r="H15105" i="1"/>
  <c r="C15105" i="1" s="1"/>
  <c r="H15104" i="1"/>
  <c r="C15104" i="1" s="1"/>
  <c r="H15103" i="1"/>
  <c r="C15103" i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 s="1"/>
  <c r="H15095" i="1"/>
  <c r="C15095" i="1" s="1"/>
  <c r="H15094" i="1"/>
  <c r="C15094" i="1"/>
  <c r="H15093" i="1"/>
  <c r="C15093" i="1" s="1"/>
  <c r="H15092" i="1"/>
  <c r="C15092" i="1" s="1"/>
  <c r="H15091" i="1"/>
  <c r="C15091" i="1"/>
  <c r="H15090" i="1"/>
  <c r="C15090" i="1" s="1"/>
  <c r="H15089" i="1"/>
  <c r="C15089" i="1" s="1"/>
  <c r="H15088" i="1"/>
  <c r="C15088" i="1" s="1"/>
  <c r="H15087" i="1"/>
  <c r="C15087" i="1" s="1"/>
  <c r="H15086" i="1"/>
  <c r="C15086" i="1" s="1"/>
  <c r="H15085" i="1"/>
  <c r="C15085" i="1"/>
  <c r="H15084" i="1"/>
  <c r="C15084" i="1" s="1"/>
  <c r="H15083" i="1"/>
  <c r="C15083" i="1" s="1"/>
  <c r="H15082" i="1"/>
  <c r="C15082" i="1"/>
  <c r="H15081" i="1"/>
  <c r="C15081" i="1" s="1"/>
  <c r="H15080" i="1"/>
  <c r="C15080" i="1" s="1"/>
  <c r="H15079" i="1"/>
  <c r="C15079" i="1" s="1"/>
  <c r="H15078" i="1"/>
  <c r="C15078" i="1" s="1"/>
  <c r="H15077" i="1"/>
  <c r="C15077" i="1" s="1"/>
  <c r="H15076" i="1"/>
  <c r="C15076" i="1" s="1"/>
  <c r="H15075" i="1"/>
  <c r="C15075" i="1" s="1"/>
  <c r="H15074" i="1"/>
  <c r="C15074" i="1" s="1"/>
  <c r="H15073" i="1" l="1"/>
  <c r="C15073" i="1" s="1"/>
  <c r="H15072" i="1"/>
  <c r="C15072" i="1"/>
  <c r="H15071" i="1"/>
  <c r="C15071" i="1"/>
  <c r="H15070" i="1"/>
  <c r="C15070" i="1" s="1"/>
  <c r="H15069" i="1"/>
  <c r="C15069" i="1" s="1"/>
  <c r="H15068" i="1"/>
  <c r="C15068" i="1" s="1"/>
  <c r="H15067" i="1"/>
  <c r="C15067" i="1" s="1"/>
  <c r="H15066" i="1"/>
  <c r="C15066" i="1" s="1"/>
  <c r="H15065" i="1"/>
  <c r="C15065" i="1" s="1"/>
  <c r="H15064" i="1"/>
  <c r="C15064" i="1" s="1"/>
  <c r="H15063" i="1"/>
  <c r="C15063" i="1" s="1"/>
  <c r="H15062" i="1"/>
  <c r="C15062" i="1" s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 s="1"/>
  <c r="H15052" i="1"/>
  <c r="C15052" i="1" s="1"/>
  <c r="H15051" i="1"/>
  <c r="C15051" i="1"/>
  <c r="H15050" i="1"/>
  <c r="C15050" i="1" s="1"/>
  <c r="H15049" i="1"/>
  <c r="C15049" i="1" s="1"/>
  <c r="H15048" i="1"/>
  <c r="C15048" i="1"/>
  <c r="H15047" i="1"/>
  <c r="C15047" i="1" s="1"/>
  <c r="H15046" i="1"/>
  <c r="C15046" i="1" s="1"/>
  <c r="H15045" i="1"/>
  <c r="C15045" i="1" s="1"/>
  <c r="H15044" i="1"/>
  <c r="C15044" i="1" s="1"/>
  <c r="H15043" i="1"/>
  <c r="C15043" i="1" s="1"/>
  <c r="H15042" i="1"/>
  <c r="C15042" i="1" s="1"/>
  <c r="H15041" i="1"/>
  <c r="C15041" i="1" s="1"/>
  <c r="H15040" i="1"/>
  <c r="C15040" i="1"/>
  <c r="H15039" i="1"/>
  <c r="C15039" i="1"/>
  <c r="H15038" i="1"/>
  <c r="C15038" i="1" s="1"/>
  <c r="H15037" i="1"/>
  <c r="C15037" i="1" s="1"/>
  <c r="H15036" i="1"/>
  <c r="C15036" i="1" s="1"/>
  <c r="H15035" i="1"/>
  <c r="C15035" i="1"/>
  <c r="H15034" i="1"/>
  <c r="C15034" i="1" s="1"/>
  <c r="H15033" i="1"/>
  <c r="C15033" i="1" s="1"/>
  <c r="H15032" i="1"/>
  <c r="C15032" i="1" s="1"/>
  <c r="H15031" i="1"/>
  <c r="C15031" i="1" s="1"/>
  <c r="H15030" i="1"/>
  <c r="C15030" i="1" s="1"/>
  <c r="H15029" i="1"/>
  <c r="C15029" i="1" s="1"/>
  <c r="H15028" i="1"/>
  <c r="C15028" i="1" s="1"/>
  <c r="H15027" i="1"/>
  <c r="C15027" i="1" s="1"/>
  <c r="H15026" i="1"/>
  <c r="C15026" i="1" s="1"/>
  <c r="H15025" i="1"/>
  <c r="C15025" i="1" s="1"/>
  <c r="H15024" i="1"/>
  <c r="C15024" i="1"/>
  <c r="H15023" i="1"/>
  <c r="C15023" i="1" s="1"/>
  <c r="H15022" i="1"/>
  <c r="C15022" i="1" s="1"/>
  <c r="H15021" i="1"/>
  <c r="C15021" i="1" s="1"/>
  <c r="H15020" i="1"/>
  <c r="C15020" i="1" s="1"/>
  <c r="H15019" i="1"/>
  <c r="C15019" i="1"/>
  <c r="H15018" i="1"/>
  <c r="C15018" i="1" s="1"/>
  <c r="H15017" i="1"/>
  <c r="C15017" i="1" s="1"/>
  <c r="H15016" i="1"/>
  <c r="C15016" i="1" s="1"/>
  <c r="H15015" i="1"/>
  <c r="C15015" i="1"/>
  <c r="H15014" i="1"/>
  <c r="C15014" i="1" s="1"/>
  <c r="H15013" i="1"/>
  <c r="C15013" i="1" s="1"/>
  <c r="H15012" i="1"/>
  <c r="C15012" i="1" s="1"/>
  <c r="H15011" i="1"/>
  <c r="C15011" i="1" s="1"/>
  <c r="H15010" i="1"/>
  <c r="C15010" i="1" s="1"/>
  <c r="H15009" i="1"/>
  <c r="C15009" i="1" s="1"/>
  <c r="H15008" i="1"/>
  <c r="C15008" i="1"/>
  <c r="H15007" i="1"/>
  <c r="C15007" i="1" s="1"/>
  <c r="H15006" i="1"/>
  <c r="C15006" i="1" s="1"/>
  <c r="H15005" i="1"/>
  <c r="C15005" i="1" s="1"/>
  <c r="H15004" i="1"/>
  <c r="C15004" i="1"/>
  <c r="H15003" i="1"/>
  <c r="C15003" i="1" s="1"/>
  <c r="H15002" i="1"/>
  <c r="C15002" i="1" s="1"/>
  <c r="H15001" i="1"/>
  <c r="C15001" i="1" s="1"/>
  <c r="H15000" i="1"/>
  <c r="C15000" i="1" s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 s="1"/>
  <c r="H14993" i="1"/>
  <c r="C14993" i="1" s="1"/>
  <c r="H14992" i="1"/>
  <c r="C14992" i="1" s="1"/>
  <c r="H14991" i="1"/>
  <c r="C14991" i="1" s="1"/>
  <c r="H14990" i="1"/>
  <c r="C14990" i="1"/>
  <c r="H14989" i="1"/>
  <c r="C14989" i="1" s="1"/>
  <c r="H14988" i="1"/>
  <c r="C14988" i="1" s="1"/>
  <c r="H14987" i="1"/>
  <c r="C14987" i="1" s="1"/>
  <c r="H14986" i="1"/>
  <c r="C14986" i="1" s="1"/>
  <c r="H14985" i="1"/>
  <c r="C14985" i="1" s="1"/>
  <c r="H14984" i="1"/>
  <c r="C14984" i="1" s="1"/>
  <c r="H14983" i="1"/>
  <c r="C14983" i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 s="1"/>
  <c r="H14976" i="1"/>
  <c r="C14976" i="1" s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 s="1"/>
  <c r="H14967" i="1"/>
  <c r="C14967" i="1" s="1"/>
  <c r="H14966" i="1"/>
  <c r="C14966" i="1" s="1"/>
  <c r="H14965" i="1"/>
  <c r="C14965" i="1" s="1"/>
  <c r="H14964" i="1"/>
  <c r="C14964" i="1"/>
  <c r="H14963" i="1"/>
  <c r="C14963" i="1" s="1"/>
  <c r="H14962" i="1"/>
  <c r="C14962" i="1" s="1"/>
  <c r="H14961" i="1"/>
  <c r="C14961" i="1" s="1"/>
  <c r="H14960" i="1"/>
  <c r="C14960" i="1" s="1"/>
  <c r="H14959" i="1"/>
  <c r="C14959" i="1" s="1"/>
  <c r="H14958" i="1"/>
  <c r="C14958" i="1" s="1"/>
  <c r="H14957" i="1"/>
  <c r="C14957" i="1" s="1"/>
  <c r="H14956" i="1"/>
  <c r="C14956" i="1" s="1"/>
  <c r="H14955" i="1"/>
  <c r="C14955" i="1"/>
  <c r="H14954" i="1"/>
  <c r="C14954" i="1" s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 s="1"/>
  <c r="H14947" i="1"/>
  <c r="C14947" i="1" s="1"/>
  <c r="H14946" i="1"/>
  <c r="C14946" i="1"/>
  <c r="H14945" i="1"/>
  <c r="C14945" i="1" s="1"/>
  <c r="H14944" i="1"/>
  <c r="C14944" i="1"/>
  <c r="H14943" i="1"/>
  <c r="C14943" i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 s="1"/>
  <c r="H14936" i="1"/>
  <c r="C14936" i="1" s="1"/>
  <c r="H14935" i="1"/>
  <c r="C14935" i="1"/>
  <c r="H14934" i="1"/>
  <c r="C14934" i="1" s="1"/>
  <c r="H14933" i="1"/>
  <c r="C14933" i="1" s="1"/>
  <c r="H14932" i="1"/>
  <c r="C14932" i="1" s="1"/>
  <c r="H14931" i="1"/>
  <c r="C14931" i="1" s="1"/>
  <c r="H14930" i="1"/>
  <c r="C14930" i="1" s="1"/>
  <c r="H14929" i="1"/>
  <c r="C14929" i="1" s="1"/>
  <c r="H14928" i="1"/>
  <c r="C14928" i="1"/>
  <c r="H14927" i="1"/>
  <c r="C14927" i="1" s="1"/>
  <c r="H14926" i="1"/>
  <c r="C14926" i="1" s="1"/>
  <c r="H14925" i="1"/>
  <c r="C14925" i="1" s="1"/>
  <c r="H14924" i="1"/>
  <c r="C14924" i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 s="1"/>
  <c r="H14915" i="1"/>
  <c r="C14915" i="1" s="1"/>
  <c r="H14914" i="1"/>
  <c r="C14914" i="1"/>
  <c r="H14913" i="1"/>
  <c r="C14913" i="1" s="1"/>
  <c r="H14912" i="1"/>
  <c r="C14912" i="1" s="1"/>
  <c r="H14911" i="1"/>
  <c r="C14911" i="1" s="1"/>
  <c r="H14910" i="1"/>
  <c r="C14910" i="1" s="1"/>
  <c r="H14909" i="1"/>
  <c r="C14909" i="1" s="1"/>
  <c r="H14908" i="1"/>
  <c r="C14908" i="1"/>
  <c r="H14907" i="1"/>
  <c r="C14907" i="1" s="1"/>
  <c r="H14906" i="1"/>
  <c r="C14906" i="1" s="1"/>
  <c r="H14905" i="1"/>
  <c r="C14905" i="1" s="1"/>
  <c r="H14904" i="1"/>
  <c r="C14904" i="1" s="1"/>
  <c r="H14903" i="1"/>
  <c r="C14903" i="1" s="1"/>
  <c r="H14902" i="1"/>
  <c r="C14902" i="1"/>
  <c r="H14901" i="1"/>
  <c r="C14901" i="1" s="1"/>
  <c r="H14900" i="1"/>
  <c r="C14900" i="1" s="1"/>
  <c r="H14899" i="1"/>
  <c r="C14899" i="1" s="1"/>
  <c r="H14898" i="1"/>
  <c r="C14898" i="1" s="1"/>
  <c r="H14897" i="1"/>
  <c r="C14897" i="1"/>
  <c r="H14896" i="1"/>
  <c r="C14896" i="1" s="1"/>
  <c r="H14895" i="1"/>
  <c r="C14895" i="1" s="1"/>
  <c r="H14894" i="1"/>
  <c r="C14894" i="1" s="1"/>
  <c r="H14893" i="1"/>
  <c r="C14893" i="1" s="1"/>
  <c r="H14892" i="1"/>
  <c r="C14892" i="1" s="1"/>
  <c r="H14891" i="1"/>
  <c r="C14891" i="1"/>
  <c r="H14890" i="1"/>
  <c r="C14890" i="1" s="1"/>
  <c r="H14889" i="1"/>
  <c r="C14889" i="1" s="1"/>
  <c r="H14888" i="1"/>
  <c r="C14888" i="1" s="1"/>
  <c r="H14887" i="1"/>
  <c r="C14887" i="1" s="1"/>
  <c r="H14886" i="1"/>
  <c r="C14886" i="1" s="1"/>
  <c r="H14885" i="1"/>
  <c r="C14885" i="1"/>
  <c r="H14884" i="1"/>
  <c r="C14884" i="1" s="1"/>
  <c r="H14883" i="1"/>
  <c r="C14883" i="1" s="1"/>
  <c r="H14882" i="1"/>
  <c r="C14882" i="1" s="1"/>
  <c r="H14881" i="1"/>
  <c r="C14881" i="1" s="1"/>
  <c r="H14880" i="1"/>
  <c r="C14880" i="1" s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 s="1"/>
  <c r="H14871" i="1"/>
  <c r="C14871" i="1" s="1"/>
  <c r="H14870" i="1"/>
  <c r="C14870" i="1"/>
  <c r="H14869" i="1"/>
  <c r="C14869" i="1" s="1"/>
  <c r="H14868" i="1"/>
  <c r="C14868" i="1" s="1"/>
  <c r="H14867" i="1"/>
  <c r="C14867" i="1" s="1"/>
  <c r="H14866" i="1"/>
  <c r="C14866" i="1" s="1"/>
  <c r="H14865" i="1"/>
  <c r="C14865" i="1" s="1"/>
  <c r="H14864" i="1"/>
  <c r="C14864" i="1"/>
  <c r="H14863" i="1"/>
  <c r="C14863" i="1" s="1"/>
  <c r="H14862" i="1"/>
  <c r="C14862" i="1" s="1"/>
  <c r="H14861" i="1"/>
  <c r="C14861" i="1" s="1"/>
  <c r="H14860" i="1"/>
  <c r="C14860" i="1" s="1"/>
  <c r="H14859" i="1"/>
  <c r="C14859" i="1"/>
  <c r="H14858" i="1"/>
  <c r="C14858" i="1" s="1"/>
  <c r="H14857" i="1"/>
  <c r="C14857" i="1" s="1"/>
  <c r="H14856" i="1"/>
  <c r="C14856" i="1" s="1"/>
  <c r="H14855" i="1"/>
  <c r="C14855" i="1" s="1"/>
  <c r="H14854" i="1"/>
  <c r="C14854" i="1" s="1"/>
  <c r="H14853" i="1"/>
  <c r="C14853" i="1" s="1"/>
  <c r="H14852" i="1"/>
  <c r="C14852" i="1"/>
  <c r="H14851" i="1"/>
  <c r="C14851" i="1" s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 s="1"/>
  <c r="H14843" i="1"/>
  <c r="C14843" i="1" s="1"/>
  <c r="H14842" i="1"/>
  <c r="C14842" i="1" s="1"/>
  <c r="H14841" i="1"/>
  <c r="C14841" i="1" s="1"/>
  <c r="H14840" i="1"/>
  <c r="C14840" i="1" s="1"/>
  <c r="H14839" i="1"/>
  <c r="C14839" i="1" s="1"/>
  <c r="H14838" i="1"/>
  <c r="C14838" i="1" s="1"/>
  <c r="H14837" i="1"/>
  <c r="C14837" i="1" s="1"/>
  <c r="H14836" i="1"/>
  <c r="C14836" i="1" s="1"/>
  <c r="H14835" i="1"/>
  <c r="C14835" i="1" s="1"/>
  <c r="H14834" i="1"/>
  <c r="C14834" i="1" s="1"/>
  <c r="H14833" i="1"/>
  <c r="C14833" i="1"/>
  <c r="H14832" i="1"/>
  <c r="C14832" i="1" s="1"/>
  <c r="H14831" i="1"/>
  <c r="C14831" i="1" s="1"/>
  <c r="H14830" i="1"/>
  <c r="C14830" i="1" s="1"/>
  <c r="H14829" i="1"/>
  <c r="C14829" i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 s="1"/>
  <c r="H14820" i="1"/>
  <c r="C14820" i="1" s="1"/>
  <c r="H14819" i="1"/>
  <c r="C14819" i="1"/>
  <c r="H14818" i="1"/>
  <c r="C14818" i="1" s="1"/>
  <c r="H14817" i="1"/>
  <c r="C14817" i="1" s="1"/>
  <c r="H14816" i="1"/>
  <c r="C14816" i="1" s="1"/>
  <c r="H14815" i="1"/>
  <c r="C14815" i="1" s="1"/>
  <c r="H14814" i="1"/>
  <c r="C14814" i="1" s="1"/>
  <c r="H14813" i="1"/>
  <c r="C14813" i="1" s="1"/>
  <c r="H14812" i="1"/>
  <c r="C14812" i="1" s="1"/>
  <c r="H14811" i="1"/>
  <c r="C14811" i="1" s="1"/>
  <c r="H14810" i="1"/>
  <c r="C14810" i="1"/>
  <c r="H14809" i="1"/>
  <c r="C14809" i="1" s="1"/>
  <c r="H14808" i="1"/>
  <c r="C14808" i="1" s="1"/>
  <c r="H14807" i="1"/>
  <c r="C14807" i="1" s="1"/>
  <c r="H14806" i="1"/>
  <c r="C14806" i="1" s="1"/>
  <c r="H14805" i="1"/>
  <c r="C14805" i="1" s="1"/>
  <c r="H14804" i="1"/>
  <c r="C14804" i="1" s="1"/>
  <c r="H14803" i="1"/>
  <c r="C14803" i="1" s="1"/>
  <c r="H14802" i="1"/>
  <c r="C14802" i="1"/>
  <c r="H14801" i="1"/>
  <c r="C14801" i="1" s="1"/>
  <c r="H14800" i="1"/>
  <c r="C14800" i="1"/>
  <c r="H14799" i="1"/>
  <c r="C14799" i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 s="1"/>
  <c r="H14792" i="1"/>
  <c r="C14792" i="1" s="1"/>
  <c r="H14791" i="1"/>
  <c r="C14791" i="1"/>
  <c r="H14790" i="1"/>
  <c r="C14790" i="1" s="1"/>
  <c r="H14789" i="1"/>
  <c r="C14789" i="1" s="1"/>
  <c r="H14788" i="1"/>
  <c r="C14788" i="1"/>
  <c r="H14787" i="1"/>
  <c r="C14787" i="1"/>
  <c r="H14786" i="1"/>
  <c r="C14786" i="1" s="1"/>
  <c r="H14785" i="1"/>
  <c r="C14785" i="1" s="1"/>
  <c r="H14784" i="1"/>
  <c r="C14784" i="1" s="1"/>
  <c r="H14783" i="1"/>
  <c r="C14783" i="1" s="1"/>
  <c r="H14782" i="1"/>
  <c r="C14782" i="1" s="1"/>
  <c r="H14781" i="1"/>
  <c r="C14781" i="1" s="1"/>
  <c r="H14780" i="1"/>
  <c r="C14780" i="1" s="1"/>
  <c r="H14779" i="1"/>
  <c r="C14779" i="1" s="1"/>
  <c r="H14778" i="1"/>
  <c r="C14778" i="1" s="1"/>
  <c r="H14777" i="1"/>
  <c r="C14777" i="1" s="1"/>
  <c r="H14776" i="1"/>
  <c r="C14776" i="1"/>
  <c r="H14775" i="1"/>
  <c r="C14775" i="1" s="1"/>
  <c r="H14774" i="1"/>
  <c r="C14774" i="1" s="1"/>
  <c r="H14773" i="1"/>
  <c r="C14773" i="1" s="1"/>
  <c r="H14772" i="1"/>
  <c r="C14772" i="1"/>
  <c r="H14771" i="1"/>
  <c r="C14771" i="1" s="1"/>
  <c r="H14770" i="1"/>
  <c r="C14770" i="1"/>
  <c r="H14769" i="1"/>
  <c r="C14769" i="1" s="1"/>
  <c r="H14768" i="1"/>
  <c r="C14768" i="1" s="1"/>
  <c r="H14767" i="1"/>
  <c r="C14767" i="1"/>
  <c r="H14766" i="1"/>
  <c r="C14766" i="1" s="1"/>
  <c r="H14765" i="1"/>
  <c r="C14765" i="1" s="1"/>
  <c r="H14764" i="1"/>
  <c r="C14764" i="1" s="1"/>
  <c r="H14763" i="1"/>
  <c r="C14763" i="1" s="1"/>
  <c r="H14762" i="1"/>
  <c r="C14762" i="1" s="1"/>
  <c r="H14761" i="1"/>
  <c r="C14761" i="1" s="1"/>
  <c r="H14760" i="1"/>
  <c r="C14760" i="1" s="1"/>
  <c r="H14759" i="1"/>
  <c r="C14759" i="1"/>
  <c r="H14758" i="1"/>
  <c r="C14758" i="1" s="1"/>
  <c r="H14757" i="1"/>
  <c r="C14757" i="1" s="1"/>
  <c r="H14756" i="1"/>
  <c r="C14756" i="1" s="1"/>
  <c r="H14755" i="1"/>
  <c r="C14755" i="1"/>
  <c r="H14754" i="1"/>
  <c r="C14754" i="1"/>
  <c r="H14753" i="1"/>
  <c r="C14753" i="1" s="1"/>
  <c r="H14752" i="1"/>
  <c r="C14752" i="1" s="1"/>
  <c r="H14751" i="1"/>
  <c r="C14751" i="1" s="1"/>
  <c r="H14750" i="1"/>
  <c r="C14750" i="1"/>
  <c r="H14749" i="1"/>
  <c r="C14749" i="1" s="1"/>
  <c r="H14748" i="1"/>
  <c r="C14748" i="1" s="1"/>
  <c r="H14747" i="1"/>
  <c r="C14747" i="1" s="1"/>
  <c r="H14746" i="1"/>
  <c r="C14746" i="1" s="1"/>
  <c r="H14745" i="1"/>
  <c r="C14745" i="1" s="1"/>
  <c r="H14744" i="1"/>
  <c r="C14744" i="1" s="1"/>
  <c r="H14743" i="1"/>
  <c r="C14743" i="1"/>
  <c r="H14742" i="1"/>
  <c r="C14742" i="1" s="1"/>
  <c r="H14741" i="1"/>
  <c r="C14741" i="1" s="1"/>
  <c r="H14740" i="1"/>
  <c r="C14740" i="1" s="1"/>
  <c r="H14739" i="1"/>
  <c r="C14739" i="1" s="1"/>
  <c r="H14738" i="1"/>
  <c r="C14738" i="1"/>
  <c r="H14737" i="1"/>
  <c r="C14737" i="1" s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 s="1"/>
  <c r="H14728" i="1"/>
  <c r="C14728" i="1" s="1"/>
  <c r="H14727" i="1"/>
  <c r="C14727" i="1"/>
  <c r="H14726" i="1"/>
  <c r="C14726" i="1" s="1"/>
  <c r="H14725" i="1"/>
  <c r="C14725" i="1" s="1"/>
  <c r="H14724" i="1"/>
  <c r="C14724" i="1"/>
  <c r="H14723" i="1"/>
  <c r="C14723" i="1" s="1"/>
  <c r="H14722" i="1"/>
  <c r="C14722" i="1" s="1"/>
  <c r="H14721" i="1"/>
  <c r="C14721" i="1" s="1"/>
  <c r="H14720" i="1"/>
  <c r="C14720" i="1" s="1"/>
  <c r="H14719" i="1"/>
  <c r="C14719" i="1" s="1"/>
  <c r="H14718" i="1"/>
  <c r="C14718" i="1" s="1"/>
  <c r="H14717" i="1"/>
  <c r="C14717" i="1" s="1"/>
  <c r="H14716" i="1"/>
  <c r="C14716" i="1" s="1"/>
  <c r="H14715" i="1"/>
  <c r="C14715" i="1" s="1"/>
  <c r="H14714" i="1" l="1"/>
  <c r="C14714" i="1" s="1"/>
  <c r="H14713" i="1"/>
  <c r="C14713" i="1" s="1"/>
  <c r="H14712" i="1"/>
  <c r="C14712" i="1" s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 s="1"/>
  <c r="H14699" i="1"/>
  <c r="C14699" i="1" s="1"/>
  <c r="H14698" i="1"/>
  <c r="C14698" i="1"/>
  <c r="H14697" i="1"/>
  <c r="C14697" i="1" s="1"/>
  <c r="H14696" i="1"/>
  <c r="C14696" i="1" s="1"/>
  <c r="H14695" i="1"/>
  <c r="C14695" i="1" s="1"/>
  <c r="H14694" i="1"/>
  <c r="C14694" i="1" s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 s="1"/>
  <c r="H14681" i="1"/>
  <c r="C14681" i="1" s="1"/>
  <c r="H14680" i="1"/>
  <c r="C14680" i="1"/>
  <c r="H14679" i="1"/>
  <c r="C14679" i="1" s="1"/>
  <c r="H14678" i="1"/>
  <c r="C14678" i="1" s="1"/>
  <c r="H14677" i="1"/>
  <c r="C14677" i="1" s="1"/>
  <c r="H14676" i="1"/>
  <c r="C14676" i="1" s="1"/>
  <c r="H14675" i="1"/>
  <c r="C14675" i="1" s="1"/>
  <c r="H14674" i="1"/>
  <c r="C14674" i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 s="1"/>
  <c r="H14665" i="1"/>
  <c r="C14665" i="1" s="1"/>
  <c r="H14664" i="1"/>
  <c r="C14664" i="1" s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 s="1"/>
  <c r="H14629" i="1"/>
  <c r="C14629" i="1" s="1"/>
  <c r="H14628" i="1"/>
  <c r="C14628" i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 s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 s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 s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 s="1"/>
  <c r="H14569" i="1"/>
  <c r="C14569" i="1" s="1"/>
  <c r="H14568" i="1"/>
  <c r="C14568" i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 s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 s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 s="1"/>
  <c r="H14533" i="1"/>
  <c r="C14533" i="1" s="1"/>
  <c r="H14532" i="1"/>
  <c r="C14532" i="1" s="1"/>
  <c r="H14531" i="1"/>
  <c r="C14531" i="1" s="1"/>
  <c r="H14530" i="1"/>
  <c r="C14530" i="1" s="1"/>
  <c r="H14529" i="1"/>
  <c r="C14529" i="1" s="1"/>
  <c r="H14528" i="1"/>
  <c r="C14528" i="1" s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 s="1"/>
  <c r="H14517" i="1"/>
  <c r="C14517" i="1" s="1"/>
  <c r="H14516" i="1"/>
  <c r="C14516" i="1" s="1"/>
  <c r="H14515" i="1"/>
  <c r="C14515" i="1" s="1"/>
  <c r="H14514" i="1"/>
  <c r="C14514" i="1" s="1"/>
  <c r="H14513" i="1"/>
  <c r="C14513" i="1" s="1"/>
  <c r="H14512" i="1"/>
  <c r="C14512" i="1" s="1"/>
  <c r="H14511" i="1"/>
  <c r="C14511" i="1" s="1"/>
  <c r="H14510" i="1"/>
  <c r="C14510" i="1" s="1"/>
  <c r="H14509" i="1"/>
  <c r="C14509" i="1" s="1"/>
  <c r="H14508" i="1"/>
  <c r="C14508" i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 s="1"/>
  <c r="H14500" i="1"/>
  <c r="C14500" i="1" s="1"/>
  <c r="H14499" i="1"/>
  <c r="C14499" i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 s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 s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 s="1"/>
  <c r="H14434" i="1"/>
  <c r="C14434" i="1" s="1"/>
  <c r="H14433" i="1"/>
  <c r="C14433" i="1" s="1"/>
  <c r="H14432" i="1"/>
  <c r="C14432" i="1" s="1"/>
  <c r="H14431" i="1"/>
  <c r="C14431" i="1" s="1"/>
  <c r="H14430" i="1"/>
  <c r="C14430" i="1" s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 s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 s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 s="1"/>
  <c r="H14389" i="1"/>
  <c r="C14389" i="1" s="1"/>
  <c r="H14388" i="1"/>
  <c r="C14388" i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 s="1"/>
  <c r="H14378" i="1"/>
  <c r="C14378" i="1" s="1"/>
  <c r="H14377" i="1"/>
  <c r="C14377" i="1"/>
  <c r="H14376" i="1"/>
  <c r="C14376" i="1" s="1"/>
  <c r="H14375" i="1"/>
  <c r="C14375" i="1" s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 s="1"/>
  <c r="H14358" i="1"/>
  <c r="C14358" i="1" s="1"/>
  <c r="H14357" i="1"/>
  <c r="C14357" i="1" s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 s="1"/>
  <c r="H14345" i="1"/>
  <c r="C14345" i="1" s="1"/>
  <c r="H14344" i="1"/>
  <c r="C14344" i="1"/>
  <c r="H14343" i="1"/>
  <c r="C14343" i="1" s="1"/>
  <c r="H14342" i="1"/>
  <c r="C14342" i="1" s="1"/>
  <c r="H14341" i="1"/>
  <c r="C14341" i="1" s="1"/>
  <c r="H14340" i="1"/>
  <c r="C14340" i="1" s="1"/>
  <c r="H14339" i="1"/>
  <c r="C14339" i="1" s="1"/>
  <c r="H14338" i="1"/>
  <c r="C14338" i="1" s="1"/>
  <c r="H14337" i="1"/>
  <c r="C14337" i="1"/>
  <c r="H14336" i="1"/>
  <c r="C14336" i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 s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 s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 s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 s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 s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 s="1"/>
  <c r="H14244" i="1"/>
  <c r="C14244" i="1" s="1"/>
  <c r="H14243" i="1"/>
  <c r="C14243" i="1" s="1"/>
  <c r="H14242" i="1"/>
  <c r="C14242" i="1" s="1"/>
  <c r="H14241" i="1"/>
  <c r="C14241" i="1" s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 s="1"/>
  <c r="H14230" i="1"/>
  <c r="C14230" i="1" s="1"/>
  <c r="H14229" i="1"/>
  <c r="C14229" i="1" s="1"/>
  <c r="H14228" i="1"/>
  <c r="C14228" i="1" s="1"/>
  <c r="H14227" i="1"/>
  <c r="C14227" i="1" s="1"/>
  <c r="H14226" i="1"/>
  <c r="C14226" i="1" s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 s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 s="1"/>
  <c r="H14173" i="1"/>
  <c r="C14173" i="1" s="1"/>
  <c r="H14172" i="1"/>
  <c r="C14172" i="1"/>
  <c r="H14171" i="1"/>
  <c r="C14171" i="1" s="1"/>
  <c r="H14170" i="1"/>
  <c r="C14170" i="1" s="1"/>
  <c r="H14169" i="1"/>
  <c r="C14169" i="1" s="1"/>
  <c r="H14168" i="1"/>
  <c r="C14168" i="1" s="1"/>
  <c r="H14167" i="1"/>
  <c r="C14167" i="1" s="1"/>
  <c r="H14166" i="1"/>
  <c r="C14166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C3560" i="1" s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<sst xmlns="http://schemas.openxmlformats.org/spreadsheetml/2006/main" count="45590" uniqueCount="35">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</sst>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/>
    <xf numFmtId="0" fontId="0" fillId="45" borderId="0" xfId="0" applyFill="1"/>
    <xf numFmtId="0" fontId="0" fillId="46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5"/>
  <sheetViews>
    <sheetView tabSelected="1" topLeftCell="A9809" zoomScaleNormal="100" workbookViewId="0">
      <selection activeCell="F9828" sqref="F9828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Cumple</v>
      </c>
      <c r="D878" s="16">
        <v>3815</v>
      </c>
      <c r="E878" s="19" t="s">
        <v>13</v>
      </c>
      <c r="F878" s="5">
        <v>6</v>
      </c>
      <c r="G878">
        <v>6</v>
      </c>
      <c r="H878">
        <f t="shared" si="27"/>
        <v>0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Cumple</v>
      </c>
      <c r="D931" s="18">
        <v>9292</v>
      </c>
      <c r="E931" s="21" t="s">
        <v>8</v>
      </c>
      <c r="F931" s="8">
        <v>10</v>
      </c>
      <c r="G931" s="2">
        <v>10</v>
      </c>
      <c r="H931">
        <f t="shared" si="29"/>
        <v>0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Cumple</v>
      </c>
      <c r="D937" s="18">
        <v>467</v>
      </c>
      <c r="E937" s="21" t="s">
        <v>8</v>
      </c>
      <c r="F937" s="8">
        <v>10</v>
      </c>
      <c r="G937" s="2">
        <v>10</v>
      </c>
      <c r="H937">
        <f t="shared" si="29"/>
        <v>0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Cumple</v>
      </c>
      <c r="D2482" s="17">
        <v>707</v>
      </c>
      <c r="E2482" s="19" t="s">
        <v>13</v>
      </c>
      <c r="F2482" s="9">
        <v>6</v>
      </c>
      <c r="G2482">
        <v>6</v>
      </c>
      <c r="H2482">
        <f t="shared" si="79"/>
        <v>0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Cumple</v>
      </c>
      <c r="D3560" s="16">
        <v>9575</v>
      </c>
      <c r="E3560" s="19" t="s">
        <v>13</v>
      </c>
      <c r="F3560" s="9">
        <v>6</v>
      </c>
      <c r="G3560">
        <v>6</v>
      </c>
      <c r="H3560">
        <f t="shared" si="113"/>
        <v>0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Cumple</v>
      </c>
      <c r="D3903" s="16">
        <v>3775</v>
      </c>
      <c r="E3903" s="19" t="s">
        <v>8</v>
      </c>
      <c r="F3903" s="39">
        <v>8</v>
      </c>
      <c r="G3903">
        <v>8</v>
      </c>
      <c r="H3903">
        <f t="shared" si="123"/>
        <v>0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Cumple</v>
      </c>
      <c r="D4929" s="17">
        <v>9292</v>
      </c>
      <c r="E4929" s="19" t="s">
        <v>8</v>
      </c>
      <c r="F4929" s="39">
        <v>8</v>
      </c>
      <c r="G4929">
        <v>8</v>
      </c>
      <c r="H4929">
        <f t="shared" si="155"/>
        <v>0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Cumple</v>
      </c>
      <c r="D5761" s="16">
        <v>9575</v>
      </c>
      <c r="E5761" s="19" t="s">
        <v>13</v>
      </c>
      <c r="F5761" s="9">
        <v>6</v>
      </c>
      <c r="G5761">
        <v>6</v>
      </c>
      <c r="H5761">
        <f t="shared" si="181"/>
        <v>0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Cumple</v>
      </c>
      <c r="D6041">
        <v>2546</v>
      </c>
      <c r="E6041" s="19" t="s">
        <v>8</v>
      </c>
      <c r="F6041" s="39">
        <v>6</v>
      </c>
      <c r="G6041">
        <v>6</v>
      </c>
      <c r="H6041">
        <f t="shared" si="191"/>
        <v>0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Cumple</v>
      </c>
      <c r="D6202">
        <v>9237</v>
      </c>
      <c r="E6202" s="19" t="s">
        <v>8</v>
      </c>
      <c r="F6202" s="39">
        <v>6</v>
      </c>
      <c r="G6202">
        <v>6</v>
      </c>
      <c r="H6202">
        <f t="shared" si="195"/>
        <v>0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Cumple</v>
      </c>
      <c r="D6406">
        <v>591</v>
      </c>
      <c r="E6406" t="s">
        <v>12</v>
      </c>
      <c r="F6406" s="39">
        <v>15</v>
      </c>
      <c r="G6406">
        <v>15</v>
      </c>
      <c r="H6406">
        <f t="shared" si="203"/>
        <v>0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Cumple</v>
      </c>
      <c r="D6622">
        <v>3815</v>
      </c>
      <c r="E6622" t="s">
        <v>13</v>
      </c>
      <c r="F6622" s="9">
        <v>6</v>
      </c>
      <c r="G6622">
        <v>6</v>
      </c>
      <c r="H6622">
        <f t="shared" si="209"/>
        <v>0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Cumple</v>
      </c>
      <c r="D6634">
        <v>707</v>
      </c>
      <c r="E6634" t="s">
        <v>13</v>
      </c>
      <c r="F6634" s="9">
        <v>6</v>
      </c>
      <c r="G6634">
        <v>6</v>
      </c>
      <c r="H6634">
        <f t="shared" si="209"/>
        <v>0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Cumple</v>
      </c>
      <c r="D7065">
        <v>3943</v>
      </c>
      <c r="E7065" t="s">
        <v>8</v>
      </c>
      <c r="F7065" s="39">
        <v>6</v>
      </c>
      <c r="G7065">
        <v>6</v>
      </c>
      <c r="H7065">
        <f t="shared" si="223"/>
        <v>0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Cumple</v>
      </c>
      <c r="D7104">
        <v>2546</v>
      </c>
      <c r="E7104" t="s">
        <v>8</v>
      </c>
      <c r="F7104" s="39">
        <v>6</v>
      </c>
      <c r="G7104">
        <v>6</v>
      </c>
      <c r="H7104">
        <f t="shared" si="223"/>
        <v>0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Cumple</v>
      </c>
      <c r="D7140">
        <v>591</v>
      </c>
      <c r="E7140" t="s">
        <v>8</v>
      </c>
      <c r="F7140" s="39">
        <v>6</v>
      </c>
      <c r="G7140">
        <v>6</v>
      </c>
      <c r="H7140">
        <f t="shared" si="225"/>
        <v>0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Cumple</v>
      </c>
      <c r="D7205">
        <v>2547</v>
      </c>
      <c r="E7205" t="s">
        <v>8</v>
      </c>
      <c r="F7205" s="39">
        <v>8</v>
      </c>
      <c r="G7205">
        <v>8</v>
      </c>
      <c r="H7205">
        <f t="shared" si="227"/>
        <v>0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Cumple</v>
      </c>
      <c r="D7662">
        <v>1429</v>
      </c>
      <c r="E7662" t="s">
        <v>13</v>
      </c>
      <c r="F7662">
        <v>6</v>
      </c>
      <c r="G7662">
        <v>6</v>
      </c>
      <c r="H7662">
        <f t="shared" si="241"/>
        <v>0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Cumple</v>
      </c>
      <c r="D8125">
        <v>1799</v>
      </c>
      <c r="E8125" t="s">
        <v>8</v>
      </c>
      <c r="F8125" s="39">
        <v>6</v>
      </c>
      <c r="G8125">
        <v>6</v>
      </c>
      <c r="H8125">
        <f t="shared" si="255"/>
        <v>0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Cumple</v>
      </c>
      <c r="D8142">
        <v>9228</v>
      </c>
      <c r="E8142" t="s">
        <v>8</v>
      </c>
      <c r="F8142" s="39">
        <v>6</v>
      </c>
      <c r="G8142">
        <v>6</v>
      </c>
      <c r="H8142">
        <f t="shared" si="257"/>
        <v>0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Cumple</v>
      </c>
      <c r="D8210">
        <v>9112</v>
      </c>
      <c r="E8210" t="s">
        <v>8</v>
      </c>
      <c r="F8210" s="39">
        <v>6</v>
      </c>
      <c r="G8210">
        <v>6</v>
      </c>
      <c r="H8210">
        <f t="shared" si="259"/>
        <v>0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Cumple</v>
      </c>
      <c r="D8679">
        <v>9575</v>
      </c>
      <c r="E8679" t="s">
        <v>13</v>
      </c>
      <c r="F8679" s="9">
        <v>6</v>
      </c>
      <c r="G8679">
        <v>6</v>
      </c>
      <c r="H8679">
        <f t="shared" si="273"/>
        <v>0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No cumple</v>
      </c>
      <c r="D8806">
        <v>9020</v>
      </c>
      <c r="E8806" t="s">
        <v>13</v>
      </c>
      <c r="F8806">
        <v>1</v>
      </c>
      <c r="G8806">
        <v>6</v>
      </c>
      <c r="H8806">
        <f t="shared" si="277"/>
        <v>-5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No cumple</v>
      </c>
      <c r="D8859">
        <v>9102</v>
      </c>
      <c r="E8859" t="s">
        <v>13</v>
      </c>
      <c r="F8859">
        <v>0</v>
      </c>
      <c r="G8859">
        <v>6</v>
      </c>
      <c r="H8859">
        <f t="shared" si="279"/>
        <v>-6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No cumple</v>
      </c>
      <c r="D8868">
        <v>9938</v>
      </c>
      <c r="E8868" t="s">
        <v>13</v>
      </c>
      <c r="F8868">
        <v>0</v>
      </c>
      <c r="G8868">
        <v>6</v>
      </c>
      <c r="H8868">
        <f t="shared" si="279"/>
        <v>-6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Cumple</v>
      </c>
      <c r="D9131">
        <v>1799</v>
      </c>
      <c r="E9131" t="s">
        <v>8</v>
      </c>
      <c r="F9131" s="39">
        <v>6</v>
      </c>
      <c r="G9131">
        <v>6</v>
      </c>
      <c r="H9131">
        <f t="shared" si="287"/>
        <v>0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Cumple</v>
      </c>
      <c r="D9148">
        <v>9237</v>
      </c>
      <c r="E9148" t="s">
        <v>8</v>
      </c>
      <c r="F9148" s="39">
        <v>6</v>
      </c>
      <c r="G9148">
        <v>6</v>
      </c>
      <c r="H9148">
        <f t="shared" si="287"/>
        <v>0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Cumple</v>
      </c>
      <c r="D9156">
        <v>3629</v>
      </c>
      <c r="E9156" t="s">
        <v>8</v>
      </c>
      <c r="F9156" s="39">
        <v>6</v>
      </c>
      <c r="G9156">
        <v>6</v>
      </c>
      <c r="H9156">
        <f t="shared" ref="H9156:H9219" si="289">F9156-G9156</f>
        <v>0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Cumple</v>
      </c>
      <c r="D9159">
        <v>9292</v>
      </c>
      <c r="E9159" t="s">
        <v>8</v>
      </c>
      <c r="F9159" s="39">
        <v>8</v>
      </c>
      <c r="G9159">
        <v>8</v>
      </c>
      <c r="H9159">
        <f t="shared" si="289"/>
        <v>0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Cumple</v>
      </c>
      <c r="D9349">
        <v>9112</v>
      </c>
      <c r="E9349" t="s">
        <v>8</v>
      </c>
      <c r="F9349" s="39">
        <v>6</v>
      </c>
      <c r="G9349">
        <v>6</v>
      </c>
      <c r="H9349">
        <f t="shared" si="295"/>
        <v>0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Cumple</v>
      </c>
      <c r="D9354">
        <v>9228</v>
      </c>
      <c r="E9354" t="s">
        <v>8</v>
      </c>
      <c r="F9354" s="39">
        <v>6</v>
      </c>
      <c r="G9354">
        <v>6</v>
      </c>
      <c r="H9354">
        <f t="shared" si="295"/>
        <v>0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Cumple</v>
      </c>
      <c r="D9750">
        <v>3842</v>
      </c>
      <c r="E9750" t="s">
        <v>13</v>
      </c>
      <c r="F9750" s="9">
        <v>6</v>
      </c>
      <c r="G9750">
        <v>6</v>
      </c>
      <c r="H9750">
        <f t="shared" si="307"/>
        <v>0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Cumple</v>
      </c>
      <c r="D9828">
        <v>917</v>
      </c>
      <c r="E9828" t="s">
        <v>13</v>
      </c>
      <c r="F9828" s="39">
        <v>3</v>
      </c>
      <c r="G9828">
        <v>3</v>
      </c>
      <c r="H9828">
        <f t="shared" si="309"/>
        <v>0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No cumple</v>
      </c>
      <c r="D9869">
        <v>9102</v>
      </c>
      <c r="E9869" t="s">
        <v>13</v>
      </c>
      <c r="F9869">
        <v>1</v>
      </c>
      <c r="G9869">
        <v>6</v>
      </c>
      <c r="H9869">
        <f t="shared" si="311"/>
        <v>-5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Cumple</v>
      </c>
      <c r="D10182">
        <v>3629</v>
      </c>
      <c r="E10182" t="s">
        <v>8</v>
      </c>
      <c r="F10182" s="39">
        <v>6</v>
      </c>
      <c r="G10182">
        <v>6</v>
      </c>
      <c r="H10182">
        <f t="shared" si="321"/>
        <v>0</v>
      </c>
    </row>
    <row r="10183" spans="1:8" x14ac:dyDescent="0.2">
      <c r="A10183" t="s">
        <v>7</v>
      </c>
      <c r="B10183" t="s">
        <v>30</v>
      </c>
      <c r="C10183" t="str">
        <f t="shared" si="322"/>
        <v>Cumple</v>
      </c>
      <c r="D10183">
        <v>3799</v>
      </c>
      <c r="E10183" t="s">
        <v>8</v>
      </c>
      <c r="F10183" s="39">
        <v>6</v>
      </c>
      <c r="G10183">
        <v>6</v>
      </c>
      <c r="H10183">
        <f t="shared" si="321"/>
        <v>0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No cumple</v>
      </c>
      <c r="D10204">
        <v>9794</v>
      </c>
      <c r="E10204" t="s">
        <v>8</v>
      </c>
      <c r="F10204">
        <v>4</v>
      </c>
      <c r="G10204">
        <v>6</v>
      </c>
      <c r="H10204">
        <f t="shared" si="321"/>
        <v>-2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Cumple</v>
      </c>
      <c r="D10775">
        <v>707</v>
      </c>
      <c r="E10775" t="s">
        <v>13</v>
      </c>
      <c r="F10775" s="9">
        <v>6</v>
      </c>
      <c r="G10775">
        <v>6</v>
      </c>
      <c r="H10775">
        <f t="shared" si="339"/>
        <v>0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No cumple</v>
      </c>
      <c r="D10779">
        <v>794</v>
      </c>
      <c r="E10779" t="s">
        <v>13</v>
      </c>
      <c r="F10779">
        <v>4</v>
      </c>
      <c r="G10779">
        <v>6</v>
      </c>
      <c r="H10779">
        <f t="shared" si="339"/>
        <v>-2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2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4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Cumple</v>
      </c>
      <c r="D10837">
        <v>3810</v>
      </c>
      <c r="E10837" t="s">
        <v>13</v>
      </c>
      <c r="F10837" s="39">
        <v>6</v>
      </c>
      <c r="G10837">
        <v>6</v>
      </c>
      <c r="H10837">
        <f t="shared" si="341"/>
        <v>0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No cumple</v>
      </c>
      <c r="D10843">
        <v>9020</v>
      </c>
      <c r="E10843" t="s">
        <v>13</v>
      </c>
      <c r="F10843">
        <v>3</v>
      </c>
      <c r="G10843">
        <v>6</v>
      </c>
      <c r="H10843">
        <f t="shared" si="341"/>
        <v>-3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Cumple</v>
      </c>
      <c r="D10869">
        <v>2502</v>
      </c>
      <c r="E10869" t="s">
        <v>13</v>
      </c>
      <c r="F10869" s="39">
        <v>6</v>
      </c>
      <c r="G10869">
        <v>6</v>
      </c>
      <c r="H10869">
        <f t="shared" si="341"/>
        <v>0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41"/>
        <v>-4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41"/>
        <v>-1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41"/>
        <v>-4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3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3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4">IF(H10885&gt;=0,"Cumple","No cumple")</f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43"/>
        <v>-1</v>
      </c>
    </row>
    <row r="10886" spans="1:8" x14ac:dyDescent="0.2">
      <c r="A10886" t="s">
        <v>7</v>
      </c>
      <c r="B10886" t="s">
        <v>30</v>
      </c>
      <c r="C10886" t="str">
        <f t="shared" si="344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Cumple</v>
      </c>
      <c r="D10887">
        <v>3939</v>
      </c>
      <c r="E10887" t="s">
        <v>13</v>
      </c>
      <c r="F10887" s="39">
        <v>3</v>
      </c>
      <c r="G10887">
        <v>3</v>
      </c>
      <c r="H10887">
        <f t="shared" si="343"/>
        <v>0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3"/>
        <v>-2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3"/>
        <v>-5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3"/>
        <v>-2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3"/>
        <v>0</v>
      </c>
    </row>
    <row r="10915" spans="1:8" x14ac:dyDescent="0.2">
      <c r="A10915" t="s">
        <v>7</v>
      </c>
      <c r="B10915" t="s">
        <v>30</v>
      </c>
      <c r="C10915" t="str">
        <f t="shared" si="34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3"/>
        <v>-3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18</v>
      </c>
      <c r="B10918" t="s">
        <v>30</v>
      </c>
      <c r="C10918" t="str">
        <f t="shared" si="34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7</v>
      </c>
      <c r="B10919" t="s">
        <v>30</v>
      </c>
      <c r="C10919" t="str">
        <f t="shared" si="34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18</v>
      </c>
      <c r="B10920" t="s">
        <v>30</v>
      </c>
      <c r="C10920" t="str">
        <f t="shared" si="34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7</v>
      </c>
      <c r="B10921" t="s">
        <v>30</v>
      </c>
      <c r="C10921" t="str">
        <f t="shared" si="34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18</v>
      </c>
      <c r="B10922" t="s">
        <v>30</v>
      </c>
      <c r="C10922" t="str">
        <f t="shared" si="34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7</v>
      </c>
      <c r="B10923" t="s">
        <v>30</v>
      </c>
      <c r="C10923" t="str">
        <f t="shared" si="344"/>
        <v>Cumple</v>
      </c>
      <c r="D10923">
        <v>831</v>
      </c>
      <c r="E10923" t="s">
        <v>13</v>
      </c>
      <c r="F10923" s="9">
        <v>6</v>
      </c>
      <c r="G10923">
        <v>6</v>
      </c>
      <c r="H10923">
        <f t="shared" si="343"/>
        <v>0</v>
      </c>
    </row>
    <row r="10924" spans="1:8" x14ac:dyDescent="0.2">
      <c r="A10924" t="s">
        <v>18</v>
      </c>
      <c r="B10924" t="s">
        <v>30</v>
      </c>
      <c r="C10924" t="str">
        <f t="shared" si="34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3"/>
        <v>-3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7</v>
      </c>
      <c r="B10926" t="s">
        <v>30</v>
      </c>
      <c r="C10926" t="str">
        <f t="shared" si="34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3"/>
        <v>-6</v>
      </c>
    </row>
    <row r="10927" spans="1:8" x14ac:dyDescent="0.2">
      <c r="A10927" t="s">
        <v>19</v>
      </c>
      <c r="B10927" t="s">
        <v>30</v>
      </c>
      <c r="C10927" t="str">
        <f t="shared" si="34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3"/>
        <v>-3</v>
      </c>
    </row>
    <row r="10928" spans="1:8" x14ac:dyDescent="0.2">
      <c r="A10928" t="s">
        <v>7</v>
      </c>
      <c r="B10928" t="s">
        <v>30</v>
      </c>
      <c r="C10928" t="str">
        <f t="shared" si="34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18</v>
      </c>
      <c r="B10930" t="s">
        <v>30</v>
      </c>
      <c r="C10930" t="str">
        <f t="shared" si="34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7</v>
      </c>
      <c r="B10931" t="s">
        <v>30</v>
      </c>
      <c r="C10931" t="str">
        <f t="shared" si="34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3"/>
        <v>-6</v>
      </c>
    </row>
    <row r="10933" spans="1:8" x14ac:dyDescent="0.2">
      <c r="A10933" t="s">
        <v>18</v>
      </c>
      <c r="B10933" t="s">
        <v>30</v>
      </c>
      <c r="C10933" t="str">
        <f t="shared" si="34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3"/>
        <v>-3</v>
      </c>
    </row>
    <row r="10934" spans="1:8" x14ac:dyDescent="0.2">
      <c r="A10934" t="s">
        <v>7</v>
      </c>
      <c r="B10934" t="s">
        <v>30</v>
      </c>
      <c r="C10934" t="str">
        <f t="shared" si="34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18</v>
      </c>
      <c r="B10935" t="s">
        <v>30</v>
      </c>
      <c r="C10935" t="str">
        <f t="shared" si="34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7</v>
      </c>
      <c r="B10936" t="s">
        <v>30</v>
      </c>
      <c r="C10936" t="str">
        <f t="shared" si="34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18</v>
      </c>
      <c r="B10938" t="s">
        <v>30</v>
      </c>
      <c r="C10938" t="str">
        <f t="shared" si="34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7</v>
      </c>
      <c r="B10939" t="s">
        <v>30</v>
      </c>
      <c r="C10939" t="str">
        <f t="shared" si="34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3"/>
        <v>-6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18</v>
      </c>
      <c r="B10941" t="s">
        <v>30</v>
      </c>
      <c r="C10941" t="str">
        <f t="shared" si="34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3"/>
        <v>-3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7</v>
      </c>
      <c r="B10945" t="s">
        <v>30</v>
      </c>
      <c r="C10945" t="str">
        <f t="shared" si="34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18</v>
      </c>
      <c r="B10946" t="s">
        <v>30</v>
      </c>
      <c r="C10946" t="str">
        <f t="shared" si="34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5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5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6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si="346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7</v>
      </c>
      <c r="B10956" t="s">
        <v>30</v>
      </c>
      <c r="C10956" t="str">
        <f t="shared" si="346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18</v>
      </c>
      <c r="B10958" t="s">
        <v>30</v>
      </c>
      <c r="C10958" t="str">
        <f t="shared" si="346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7</v>
      </c>
      <c r="B10959" t="s">
        <v>30</v>
      </c>
      <c r="C10959" t="str">
        <f t="shared" si="346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18</v>
      </c>
      <c r="B10961" t="s">
        <v>30</v>
      </c>
      <c r="C10961" t="str">
        <f t="shared" si="34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7</v>
      </c>
      <c r="B10962" t="s">
        <v>30</v>
      </c>
      <c r="C10962" t="str">
        <f t="shared" si="34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18</v>
      </c>
      <c r="B10967" t="s">
        <v>30</v>
      </c>
      <c r="C10967" t="str">
        <f t="shared" si="34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7</v>
      </c>
      <c r="B10969" t="s">
        <v>30</v>
      </c>
      <c r="C10969" t="str">
        <f t="shared" si="34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18</v>
      </c>
      <c r="B10970" t="s">
        <v>30</v>
      </c>
      <c r="C10970" t="str">
        <f t="shared" si="34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7</v>
      </c>
      <c r="B10971" t="s">
        <v>30</v>
      </c>
      <c r="C10971" t="str">
        <f t="shared" si="34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18</v>
      </c>
      <c r="B10972" t="s">
        <v>30</v>
      </c>
      <c r="C10972" t="str">
        <f t="shared" si="34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7</v>
      </c>
      <c r="B10973" t="s">
        <v>30</v>
      </c>
      <c r="C10973" t="str">
        <f t="shared" si="34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18</v>
      </c>
      <c r="B10974" t="s">
        <v>30</v>
      </c>
      <c r="C10974" t="str">
        <f t="shared" si="34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7</v>
      </c>
      <c r="B10975" t="s">
        <v>30</v>
      </c>
      <c r="C10975" t="str">
        <f t="shared" si="34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19</v>
      </c>
      <c r="B10976" t="s">
        <v>30</v>
      </c>
      <c r="C10976" t="str">
        <f t="shared" si="34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5"/>
        <v>-6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5"/>
        <v>-3</v>
      </c>
    </row>
    <row r="10978" spans="1:8" x14ac:dyDescent="0.2">
      <c r="A10978" t="s">
        <v>7</v>
      </c>
      <c r="B10978" t="s">
        <v>30</v>
      </c>
      <c r="C10978" t="str">
        <f t="shared" si="34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5"/>
        <v>0</v>
      </c>
    </row>
    <row r="10979" spans="1:8" x14ac:dyDescent="0.2">
      <c r="A10979" t="s">
        <v>7</v>
      </c>
      <c r="B10979" t="s">
        <v>30</v>
      </c>
      <c r="C10979" t="str">
        <f t="shared" si="34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5"/>
        <v>-3</v>
      </c>
    </row>
    <row r="10980" spans="1:8" x14ac:dyDescent="0.2">
      <c r="A10980" t="s">
        <v>7</v>
      </c>
      <c r="B10980" t="s">
        <v>30</v>
      </c>
      <c r="C10980" t="str">
        <f t="shared" si="346"/>
        <v>Cumple</v>
      </c>
      <c r="D10980">
        <v>7597</v>
      </c>
      <c r="E10980" t="s">
        <v>13</v>
      </c>
      <c r="F10980" s="9">
        <v>6</v>
      </c>
      <c r="G10980">
        <v>6</v>
      </c>
      <c r="H10980">
        <f t="shared" si="345"/>
        <v>0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5"/>
        <v>-3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18</v>
      </c>
      <c r="B10983" t="s">
        <v>30</v>
      </c>
      <c r="C10983" t="str">
        <f t="shared" si="34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5"/>
        <v>-6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5"/>
        <v>-3</v>
      </c>
    </row>
    <row r="10985" spans="1:8" x14ac:dyDescent="0.2">
      <c r="A10985" t="s">
        <v>7</v>
      </c>
      <c r="B10985" t="s">
        <v>30</v>
      </c>
      <c r="C10985" t="str">
        <f t="shared" si="34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19</v>
      </c>
      <c r="B10987" t="s">
        <v>30</v>
      </c>
      <c r="C10987" t="str">
        <f t="shared" si="34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7</v>
      </c>
      <c r="B10988" t="s">
        <v>30</v>
      </c>
      <c r="C10988" t="str">
        <f t="shared" si="34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18</v>
      </c>
      <c r="B10989" t="s">
        <v>30</v>
      </c>
      <c r="C10989" t="str">
        <f t="shared" si="34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19</v>
      </c>
      <c r="B10990" t="s">
        <v>30</v>
      </c>
      <c r="C10990" t="str">
        <f t="shared" si="34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7</v>
      </c>
      <c r="B10991" t="s">
        <v>30</v>
      </c>
      <c r="C10991" t="str">
        <f t="shared" si="346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5"/>
        <v>33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5"/>
        <v>30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5"/>
        <v>10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5"/>
        <v>8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5"/>
        <v>7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5"/>
        <v>6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5"/>
        <v>5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5"/>
        <v>4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5"/>
        <v>3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5"/>
        <v>2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7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7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8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si="348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7"/>
        <v>1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7"/>
        <v>0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7"/>
        <v>-1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7"/>
        <v>-2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7"/>
        <v>-3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7"/>
        <v>-4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7"/>
        <v>-5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18</v>
      </c>
      <c r="B11060" t="s">
        <v>30</v>
      </c>
      <c r="C11060" t="str">
        <f t="shared" si="348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7"/>
        <v>-6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7</v>
      </c>
      <c r="B11068" t="s">
        <v>30</v>
      </c>
      <c r="C11068" t="str">
        <f t="shared" si="348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18</v>
      </c>
      <c r="B11069" t="s">
        <v>30</v>
      </c>
      <c r="C11069" t="str">
        <f t="shared" si="348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7</v>
      </c>
      <c r="B11070" t="s">
        <v>30</v>
      </c>
      <c r="C11070" t="str">
        <f t="shared" si="348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18</v>
      </c>
      <c r="B11071" t="s">
        <v>30</v>
      </c>
      <c r="C11071" t="str">
        <f t="shared" si="348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9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9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50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si="350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19</v>
      </c>
      <c r="B11084" t="s">
        <v>30</v>
      </c>
      <c r="C11084" t="str">
        <f t="shared" si="350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18</v>
      </c>
      <c r="B11085" t="s">
        <v>30</v>
      </c>
      <c r="C11085" t="str">
        <f t="shared" si="350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19</v>
      </c>
      <c r="B11088" t="s">
        <v>30</v>
      </c>
      <c r="C11088" t="str">
        <f t="shared" si="350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18</v>
      </c>
      <c r="B11089" t="s">
        <v>30</v>
      </c>
      <c r="C11089" t="str">
        <f t="shared" si="350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7</v>
      </c>
      <c r="B11093" t="s">
        <v>30</v>
      </c>
      <c r="C11093" t="str">
        <f t="shared" si="350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18</v>
      </c>
      <c r="B11104" t="s">
        <v>30</v>
      </c>
      <c r="C11104" t="str">
        <f t="shared" si="350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7</v>
      </c>
      <c r="B11106" t="s">
        <v>30</v>
      </c>
      <c r="C11106" t="str">
        <f t="shared" si="350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18</v>
      </c>
      <c r="B11108" t="s">
        <v>30</v>
      </c>
      <c r="C11108" t="str">
        <f t="shared" si="350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7</v>
      </c>
      <c r="B11109" t="s">
        <v>31</v>
      </c>
      <c r="C11109" t="str">
        <f t="shared" si="350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9"/>
        <v>21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9"/>
        <v>17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9"/>
        <v>15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9"/>
        <v>12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9"/>
        <v>11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9"/>
        <v>10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9"/>
        <v>12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9"/>
        <v>11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9"/>
        <v>9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9"/>
        <v>8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9"/>
        <v>7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9"/>
        <v>9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9"/>
        <v>6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9"/>
        <v>8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9"/>
        <v>7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9"/>
        <v>5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51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51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2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51"/>
        <v>7</v>
      </c>
    </row>
    <row r="11142" spans="1:8" x14ac:dyDescent="0.2">
      <c r="A11142" t="s">
        <v>7</v>
      </c>
      <c r="B11142" t="s">
        <v>31</v>
      </c>
      <c r="C11142" t="str">
        <f t="shared" si="35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51"/>
        <v>6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51"/>
        <v>4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51"/>
        <v>6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51"/>
        <v>5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51"/>
        <v>3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51"/>
        <v>5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51"/>
        <v>3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51"/>
        <v>5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51"/>
        <v>3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51"/>
        <v>5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51"/>
        <v>2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51"/>
        <v>4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51"/>
        <v>2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51"/>
        <v>4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51"/>
        <v>2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51"/>
        <v>4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51"/>
        <v>2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51"/>
        <v>4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51"/>
        <v>2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51"/>
        <v>4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51"/>
        <v>3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51"/>
        <v>1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51"/>
        <v>3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51"/>
        <v>1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51"/>
        <v>3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51"/>
        <v>2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51"/>
        <v>0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51"/>
        <v>2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51"/>
        <v>1</v>
      </c>
    </row>
    <row r="11201" spans="1:8" x14ac:dyDescent="0.2">
      <c r="A11201" t="s">
        <v>7</v>
      </c>
      <c r="B11201" t="s">
        <v>31</v>
      </c>
      <c r="C11201" t="str">
        <f t="shared" si="352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51"/>
        <v>-1</v>
      </c>
    </row>
    <row r="11202" spans="1:8" x14ac:dyDescent="0.2">
      <c r="A11202" t="s">
        <v>7</v>
      </c>
      <c r="B11202" t="s">
        <v>31</v>
      </c>
      <c r="C11202" t="str">
        <f t="shared" si="352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51"/>
        <v>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3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3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4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si="35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3"/>
        <v>0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3"/>
        <v>1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3"/>
        <v>0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2547</v>
      </c>
      <c r="E11218" t="s">
        <v>8</v>
      </c>
      <c r="F11218" s="39">
        <v>8</v>
      </c>
      <c r="G11218">
        <v>8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3"/>
        <v>0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3"/>
        <v>-1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Cumple</v>
      </c>
      <c r="D11230">
        <v>3799</v>
      </c>
      <c r="E11230" t="s">
        <v>8</v>
      </c>
      <c r="F11230" s="39">
        <v>6</v>
      </c>
      <c r="G11230">
        <v>6</v>
      </c>
      <c r="H11230">
        <f t="shared" si="353"/>
        <v>0</v>
      </c>
    </row>
    <row r="11231" spans="1:8" x14ac:dyDescent="0.2">
      <c r="A11231" t="s">
        <v>7</v>
      </c>
      <c r="B11231" t="s">
        <v>31</v>
      </c>
      <c r="C11231" t="str">
        <f t="shared" si="35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53"/>
        <v>-1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3"/>
        <v>-2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53"/>
        <v>-4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3"/>
        <v>-2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3"/>
        <v>-4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3"/>
        <v>-2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3"/>
        <v>-3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5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5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6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si="35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5"/>
        <v>-4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5"/>
        <v>-6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5"/>
        <v>-4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5"/>
        <v>-5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7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7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8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7"/>
        <v>-7</v>
      </c>
    </row>
    <row r="11334" spans="1:8" x14ac:dyDescent="0.2">
      <c r="A11334" t="s">
        <v>7</v>
      </c>
      <c r="B11334" t="s">
        <v>31</v>
      </c>
      <c r="C11334" t="str">
        <f t="shared" si="35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7"/>
        <v>-5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7"/>
        <v>-6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18</v>
      </c>
      <c r="B11347" t="s">
        <v>31</v>
      </c>
      <c r="C11347" t="str">
        <f t="shared" si="35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7</v>
      </c>
      <c r="B11348" t="s">
        <v>31</v>
      </c>
      <c r="C11348" t="str">
        <f t="shared" si="35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18</v>
      </c>
      <c r="B11349" t="s">
        <v>31</v>
      </c>
      <c r="C11349" t="str">
        <f t="shared" si="35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7</v>
      </c>
      <c r="B11350" t="s">
        <v>31</v>
      </c>
      <c r="C11350" t="str">
        <f t="shared" si="35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18</v>
      </c>
      <c r="B11351" t="s">
        <v>31</v>
      </c>
      <c r="C11351" t="str">
        <f t="shared" si="35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7</v>
      </c>
      <c r="B11354" t="s">
        <v>31</v>
      </c>
      <c r="C11354" t="str">
        <f t="shared" si="35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19</v>
      </c>
      <c r="B11355" t="s">
        <v>31</v>
      </c>
      <c r="C11355" t="str">
        <f t="shared" si="35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7</v>
      </c>
      <c r="B11356" t="s">
        <v>31</v>
      </c>
      <c r="C11356" t="str">
        <f t="shared" si="35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18</v>
      </c>
      <c r="B11361" t="s">
        <v>31</v>
      </c>
      <c r="C11361" t="str">
        <f t="shared" si="35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7</v>
      </c>
      <c r="B11362" t="s">
        <v>31</v>
      </c>
      <c r="C11362" t="str">
        <f t="shared" si="35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7"/>
        <v>-8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7"/>
        <v>-6</v>
      </c>
    </row>
    <row r="11364" spans="1:8" x14ac:dyDescent="0.2">
      <c r="A11364" t="s">
        <v>19</v>
      </c>
      <c r="B11364" t="s">
        <v>31</v>
      </c>
      <c r="C11364" t="str">
        <f t="shared" si="35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18</v>
      </c>
      <c r="B11366" t="s">
        <v>31</v>
      </c>
      <c r="C11366" t="str">
        <f t="shared" si="358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7</v>
      </c>
      <c r="B11367" t="s">
        <v>31</v>
      </c>
      <c r="C11367" t="str">
        <f t="shared" si="358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19</v>
      </c>
      <c r="B11372" t="s">
        <v>31</v>
      </c>
      <c r="C11372" t="str">
        <f t="shared" si="358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7</v>
      </c>
      <c r="B11373" t="s">
        <v>31</v>
      </c>
      <c r="C11373" t="str">
        <f t="shared" si="358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18</v>
      </c>
      <c r="B11374" t="s">
        <v>31</v>
      </c>
      <c r="C11374" t="str">
        <f t="shared" si="358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7</v>
      </c>
      <c r="B11375" t="s">
        <v>31</v>
      </c>
      <c r="C11375" t="str">
        <f t="shared" si="358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19</v>
      </c>
      <c r="B11377" t="s">
        <v>31</v>
      </c>
      <c r="C11377" t="str">
        <f t="shared" si="358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7</v>
      </c>
      <c r="B11378" t="s">
        <v>31</v>
      </c>
      <c r="C11378" t="str">
        <f t="shared" si="358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Cumple</v>
      </c>
      <c r="D11379">
        <v>2672</v>
      </c>
      <c r="E11379" t="s">
        <v>8</v>
      </c>
      <c r="F11379" s="9">
        <v>6</v>
      </c>
      <c r="G11379">
        <v>6</v>
      </c>
      <c r="H11379">
        <f t="shared" si="357"/>
        <v>0</v>
      </c>
    </row>
    <row r="11380" spans="1:8" x14ac:dyDescent="0.2">
      <c r="A11380" t="s">
        <v>18</v>
      </c>
      <c r="B11380" t="s">
        <v>31</v>
      </c>
      <c r="C11380" t="str">
        <f t="shared" si="358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7"/>
        <v>-6</v>
      </c>
    </row>
    <row r="11381" spans="1:8" x14ac:dyDescent="0.2">
      <c r="A11381" t="s">
        <v>19</v>
      </c>
      <c r="B11381" t="s">
        <v>31</v>
      </c>
      <c r="C11381" t="str">
        <f t="shared" si="358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18</v>
      </c>
      <c r="B11382" t="s">
        <v>31</v>
      </c>
      <c r="C11382" t="str">
        <f t="shared" si="358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19</v>
      </c>
      <c r="B11383" t="s">
        <v>31</v>
      </c>
      <c r="C11383" t="str">
        <f t="shared" si="358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18</v>
      </c>
      <c r="B11384" t="s">
        <v>31</v>
      </c>
      <c r="C11384" t="str">
        <f t="shared" si="358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7</v>
      </c>
      <c r="B11385" t="s">
        <v>31</v>
      </c>
      <c r="C11385" t="str">
        <f t="shared" si="358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18</v>
      </c>
      <c r="B11386" t="s">
        <v>31</v>
      </c>
      <c r="C11386" t="str">
        <f t="shared" si="358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19</v>
      </c>
      <c r="B11387" t="s">
        <v>31</v>
      </c>
      <c r="C11387" t="str">
        <f t="shared" si="358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18</v>
      </c>
      <c r="B11388" t="s">
        <v>31</v>
      </c>
      <c r="C11388" t="str">
        <f t="shared" si="358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7</v>
      </c>
      <c r="B11389" t="s">
        <v>31</v>
      </c>
      <c r="C11389" t="str">
        <f t="shared" si="358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18</v>
      </c>
      <c r="B11390" t="s">
        <v>31</v>
      </c>
      <c r="C11390" t="str">
        <f t="shared" si="358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7</v>
      </c>
      <c r="B11391" t="s">
        <v>31</v>
      </c>
      <c r="C11391" t="str">
        <f t="shared" si="358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18</v>
      </c>
      <c r="B11395" t="s">
        <v>31</v>
      </c>
      <c r="C11395" t="str">
        <f t="shared" si="358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9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8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9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60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18</v>
      </c>
      <c r="B11398" t="s">
        <v>31</v>
      </c>
      <c r="C11398" t="str">
        <f t="shared" si="36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19</v>
      </c>
      <c r="B11399" t="s">
        <v>31</v>
      </c>
      <c r="C11399" t="str">
        <f t="shared" si="36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18</v>
      </c>
      <c r="B11401" t="s">
        <v>31</v>
      </c>
      <c r="C11401" t="str">
        <f t="shared" si="36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7</v>
      </c>
      <c r="B11402" t="s">
        <v>31</v>
      </c>
      <c r="C11402" t="str">
        <f t="shared" si="36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19</v>
      </c>
      <c r="B11403" t="s">
        <v>31</v>
      </c>
      <c r="C11403" t="str">
        <f t="shared" si="36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7</v>
      </c>
      <c r="B11404" t="s">
        <v>31</v>
      </c>
      <c r="C11404" t="str">
        <f t="shared" si="36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18</v>
      </c>
      <c r="B11405" t="s">
        <v>31</v>
      </c>
      <c r="C11405" t="str">
        <f t="shared" si="36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7</v>
      </c>
      <c r="B11408" t="s">
        <v>31</v>
      </c>
      <c r="C11408" t="str">
        <f t="shared" si="36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18</v>
      </c>
      <c r="B11410" t="s">
        <v>31</v>
      </c>
      <c r="C11410" t="str">
        <f t="shared" si="36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19</v>
      </c>
      <c r="B11411" t="s">
        <v>31</v>
      </c>
      <c r="C11411" t="str">
        <f t="shared" si="36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18</v>
      </c>
      <c r="B11412" t="s">
        <v>31</v>
      </c>
      <c r="C11412" t="str">
        <f t="shared" si="36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19</v>
      </c>
      <c r="B11417" t="s">
        <v>31</v>
      </c>
      <c r="C11417" t="str">
        <f t="shared" si="36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18</v>
      </c>
      <c r="B11418" t="s">
        <v>31</v>
      </c>
      <c r="C11418" t="str">
        <f t="shared" si="36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7</v>
      </c>
      <c r="B11419" t="s">
        <v>31</v>
      </c>
      <c r="C11419" t="str">
        <f t="shared" si="36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18</v>
      </c>
      <c r="B11420" t="s">
        <v>31</v>
      </c>
      <c r="C11420" t="str">
        <f t="shared" si="36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7</v>
      </c>
      <c r="B11422" t="s">
        <v>31</v>
      </c>
      <c r="C11422" t="str">
        <f t="shared" si="36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18</v>
      </c>
      <c r="B11424" t="s">
        <v>31</v>
      </c>
      <c r="C11424" t="str">
        <f t="shared" si="36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7</v>
      </c>
      <c r="B11425" t="s">
        <v>31</v>
      </c>
      <c r="C11425" t="str">
        <f t="shared" si="36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18</v>
      </c>
      <c r="B11426" t="s">
        <v>31</v>
      </c>
      <c r="C11426" t="str">
        <f t="shared" si="36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7</v>
      </c>
      <c r="B11427" t="s">
        <v>31</v>
      </c>
      <c r="C11427" t="str">
        <f t="shared" si="36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18</v>
      </c>
      <c r="B11429" t="s">
        <v>31</v>
      </c>
      <c r="C11429" t="str">
        <f t="shared" si="36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7</v>
      </c>
      <c r="B11430" t="s">
        <v>31</v>
      </c>
      <c r="C11430" t="str">
        <f t="shared" si="360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19</v>
      </c>
      <c r="B11431" t="s">
        <v>31</v>
      </c>
      <c r="C11431" t="str">
        <f t="shared" si="360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18</v>
      </c>
      <c r="B11432" t="s">
        <v>31</v>
      </c>
      <c r="C11432" t="str">
        <f t="shared" si="360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7</v>
      </c>
      <c r="B11433" t="s">
        <v>31</v>
      </c>
      <c r="C11433" t="str">
        <f t="shared" si="360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18</v>
      </c>
      <c r="B11434" t="s">
        <v>31</v>
      </c>
      <c r="C11434" t="str">
        <f t="shared" si="360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7</v>
      </c>
      <c r="B11435" t="s">
        <v>31</v>
      </c>
      <c r="C11435" t="str">
        <f t="shared" si="360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19</v>
      </c>
      <c r="B11436" t="s">
        <v>31</v>
      </c>
      <c r="C11436" t="str">
        <f t="shared" si="360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7</v>
      </c>
      <c r="B11437" t="s">
        <v>31</v>
      </c>
      <c r="C11437" t="str">
        <f t="shared" si="360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18</v>
      </c>
      <c r="B11438" t="s">
        <v>31</v>
      </c>
      <c r="C11438" t="str">
        <f t="shared" si="360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19</v>
      </c>
      <c r="B11439" t="s">
        <v>31</v>
      </c>
      <c r="C11439" t="str">
        <f t="shared" si="360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18</v>
      </c>
      <c r="B11440" t="s">
        <v>31</v>
      </c>
      <c r="C11440" t="str">
        <f t="shared" si="360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7</v>
      </c>
      <c r="B11441" t="s">
        <v>31</v>
      </c>
      <c r="C11441" t="str">
        <f t="shared" si="360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18</v>
      </c>
      <c r="B11442" t="s">
        <v>31</v>
      </c>
      <c r="C11442" t="str">
        <f t="shared" si="360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9"/>
        <v>0</v>
      </c>
    </row>
    <row r="11444" spans="1:8" x14ac:dyDescent="0.2">
      <c r="A11444" t="s">
        <v>18</v>
      </c>
      <c r="B11444" t="s">
        <v>31</v>
      </c>
      <c r="C11444" t="str">
        <f t="shared" si="360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9"/>
        <v>-6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7</v>
      </c>
      <c r="B11447" t="s">
        <v>31</v>
      </c>
      <c r="C11447" t="str">
        <f t="shared" si="360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18</v>
      </c>
      <c r="B11448" t="s">
        <v>31</v>
      </c>
      <c r="C11448" t="str">
        <f t="shared" si="360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7</v>
      </c>
      <c r="B11450" t="s">
        <v>31</v>
      </c>
      <c r="C11450" t="str">
        <f t="shared" si="360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18</v>
      </c>
      <c r="B11452" t="s">
        <v>31</v>
      </c>
      <c r="C11452" t="str">
        <f t="shared" si="360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7</v>
      </c>
      <c r="B11453" t="s">
        <v>31</v>
      </c>
      <c r="C11453" t="str">
        <f t="shared" si="360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18</v>
      </c>
      <c r="B11454" t="s">
        <v>31</v>
      </c>
      <c r="C11454" t="str">
        <f t="shared" si="360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7</v>
      </c>
      <c r="B11455" t="s">
        <v>31</v>
      </c>
      <c r="C11455" t="str">
        <f t="shared" si="360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18</v>
      </c>
      <c r="B11456" t="s">
        <v>31</v>
      </c>
      <c r="C11456" t="str">
        <f t="shared" si="360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7</v>
      </c>
      <c r="B11457" t="s">
        <v>31</v>
      </c>
      <c r="C11457" t="str">
        <f t="shared" si="360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18</v>
      </c>
      <c r="B11458" t="s">
        <v>31</v>
      </c>
      <c r="C11458" t="str">
        <f t="shared" si="360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7</v>
      </c>
      <c r="B11459" t="s">
        <v>31</v>
      </c>
      <c r="C11459" t="str">
        <f t="shared" si="360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61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60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61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2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18</v>
      </c>
      <c r="B11462" t="s">
        <v>31</v>
      </c>
      <c r="C11462" t="str">
        <f t="shared" si="36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7</v>
      </c>
      <c r="B11463" t="s">
        <v>31</v>
      </c>
      <c r="C11463" t="str">
        <f t="shared" si="36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18</v>
      </c>
      <c r="B11466" t="s">
        <v>31</v>
      </c>
      <c r="C11466" t="str">
        <f t="shared" si="36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61"/>
        <v>-8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61"/>
        <v>-6</v>
      </c>
    </row>
    <row r="11468" spans="1:8" x14ac:dyDescent="0.2">
      <c r="A11468" t="s">
        <v>7</v>
      </c>
      <c r="B11468" t="s">
        <v>31</v>
      </c>
      <c r="C11468" t="str">
        <f t="shared" si="362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61"/>
        <v>39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61"/>
        <v>27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61"/>
        <v>24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61"/>
        <v>23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61"/>
        <v>28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61"/>
        <v>22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61"/>
        <v>21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61"/>
        <v>20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61"/>
        <v>19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61"/>
        <v>18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61"/>
        <v>17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61"/>
        <v>16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61"/>
        <v>21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61"/>
        <v>16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61"/>
        <v>15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61"/>
        <v>14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61"/>
        <v>19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61"/>
        <v>14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61"/>
        <v>13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61"/>
        <v>18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61"/>
        <v>13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61"/>
        <v>12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61"/>
        <v>16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61"/>
        <v>11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61"/>
        <v>15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61"/>
        <v>10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61"/>
        <v>9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3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3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4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3"/>
        <v>13</v>
      </c>
    </row>
    <row r="11526" spans="1:8" x14ac:dyDescent="0.2">
      <c r="A11526" t="s">
        <v>7</v>
      </c>
      <c r="B11526" t="s">
        <v>31</v>
      </c>
      <c r="C11526" t="str">
        <f t="shared" si="364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3"/>
        <v>8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3"/>
        <v>13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3"/>
        <v>8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3"/>
        <v>7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3"/>
        <v>6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3"/>
        <v>11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3"/>
        <v>6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3"/>
        <v>5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3"/>
        <v>10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3"/>
        <v>5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3"/>
        <v>4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3"/>
        <v>8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3"/>
        <v>3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3"/>
        <v>8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3"/>
        <v>2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3"/>
        <v>7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3"/>
        <v>2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3"/>
        <v>7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3"/>
        <v>6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3"/>
        <v>1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3"/>
        <v>6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3"/>
        <v>5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3"/>
        <v>0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3"/>
        <v>5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3"/>
        <v>0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3"/>
        <v>5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3"/>
        <v>0</v>
      </c>
    </row>
    <row r="11578" spans="1:8" x14ac:dyDescent="0.2">
      <c r="A11578" t="s">
        <v>7</v>
      </c>
      <c r="B11578" t="s">
        <v>31</v>
      </c>
      <c r="C11578" t="str">
        <f t="shared" si="364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3"/>
        <v>-1</v>
      </c>
    </row>
    <row r="11579" spans="1:8" x14ac:dyDescent="0.2">
      <c r="A11579" t="s">
        <v>7</v>
      </c>
      <c r="B11579" t="s">
        <v>31</v>
      </c>
      <c r="C11579" t="str">
        <f t="shared" si="364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3"/>
        <v>4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3"/>
        <v>3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3"/>
        <v>2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3153</v>
      </c>
      <c r="E11587" t="s">
        <v>10</v>
      </c>
      <c r="F11587" s="9">
        <v>20</v>
      </c>
      <c r="G11587">
        <v>20</v>
      </c>
      <c r="H11587">
        <f t="shared" ref="H11587:H11650" si="365">F11587-G11587</f>
        <v>0</v>
      </c>
    </row>
    <row r="11588" spans="1:8" x14ac:dyDescent="0.2">
      <c r="A11588" t="s">
        <v>7</v>
      </c>
      <c r="B11588" t="s">
        <v>31</v>
      </c>
      <c r="C11588" t="str">
        <f t="shared" si="364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5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6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5"/>
        <v>2</v>
      </c>
    </row>
    <row r="11590" spans="1:8" x14ac:dyDescent="0.2">
      <c r="A11590" t="s">
        <v>7</v>
      </c>
      <c r="B11590" t="s">
        <v>31</v>
      </c>
      <c r="C11590" t="str">
        <f t="shared" si="366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5"/>
        <v>1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5"/>
        <v>0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3169</v>
      </c>
      <c r="E11595" t="s">
        <v>10</v>
      </c>
      <c r="F11595" s="9">
        <v>20</v>
      </c>
      <c r="G11595">
        <v>20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5"/>
        <v>-1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5"/>
        <v>0</v>
      </c>
    </row>
    <row r="11603" spans="1:8" x14ac:dyDescent="0.2">
      <c r="A11603" t="s">
        <v>7</v>
      </c>
      <c r="B11603" t="s">
        <v>31</v>
      </c>
      <c r="C11603" t="str">
        <f t="shared" si="366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5"/>
        <v>-1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5"/>
        <v>-6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5"/>
        <v>-1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5"/>
        <v>-2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5"/>
        <v>-3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5"/>
        <v>-8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5"/>
        <v>-9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5"/>
        <v>-4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5"/>
        <v>-5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5"/>
        <v>-6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5"/>
        <v>-7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5"/>
        <v>0</v>
      </c>
    </row>
    <row r="11630" spans="1:8" x14ac:dyDescent="0.2">
      <c r="A11630" t="s">
        <v>7</v>
      </c>
      <c r="B11630" t="s">
        <v>31</v>
      </c>
      <c r="C11630" t="str">
        <f t="shared" si="366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5"/>
        <v>-7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5"/>
        <v>-8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Cumple</v>
      </c>
      <c r="D11634">
        <v>3726</v>
      </c>
      <c r="E11634" t="s">
        <v>11</v>
      </c>
      <c r="F11634" s="9">
        <v>20</v>
      </c>
      <c r="G11634">
        <v>20</v>
      </c>
      <c r="H11634">
        <f t="shared" si="365"/>
        <v>0</v>
      </c>
    </row>
    <row r="11635" spans="1:8" x14ac:dyDescent="0.2">
      <c r="A11635" t="s">
        <v>7</v>
      </c>
      <c r="B11635" t="s">
        <v>31</v>
      </c>
      <c r="C11635" t="str">
        <f t="shared" si="366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5"/>
        <v>-8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5"/>
        <v>-9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5"/>
        <v>-10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5"/>
        <v>-15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5"/>
        <v>-11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5"/>
        <v>-16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5"/>
        <v>-12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5"/>
        <v>-13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3" si="367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7"/>
        <v>-13</v>
      </c>
    </row>
    <row r="11653" spans="1:8" x14ac:dyDescent="0.2">
      <c r="A11653" t="s">
        <v>7</v>
      </c>
      <c r="B11653" t="s">
        <v>31</v>
      </c>
      <c r="C11653" t="str">
        <f t="shared" ref="C11653:C11715" si="368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si="368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7"/>
        <v>-14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19</v>
      </c>
      <c r="B11661" t="s">
        <v>31</v>
      </c>
      <c r="C11661" t="str">
        <f t="shared" si="368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7"/>
        <v>-15</v>
      </c>
    </row>
    <row r="11662" spans="1:8" x14ac:dyDescent="0.2">
      <c r="A11662" t="s">
        <v>18</v>
      </c>
      <c r="B11662" t="s">
        <v>31</v>
      </c>
      <c r="C11662" t="str">
        <f t="shared" si="368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19</v>
      </c>
      <c r="B11671" t="s">
        <v>31</v>
      </c>
      <c r="C11671" t="str">
        <f t="shared" si="368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18</v>
      </c>
      <c r="B11672" t="s">
        <v>31</v>
      </c>
      <c r="C11672" t="str">
        <f t="shared" si="368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19</v>
      </c>
      <c r="B11675" t="s">
        <v>31</v>
      </c>
      <c r="C11675" t="str">
        <f t="shared" si="368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18</v>
      </c>
      <c r="B11676" t="s">
        <v>31</v>
      </c>
      <c r="C11676" t="str">
        <f t="shared" si="368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7</v>
      </c>
      <c r="B11681" t="s">
        <v>31</v>
      </c>
      <c r="C11681" t="str">
        <f t="shared" si="368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18</v>
      </c>
      <c r="B11682" t="s">
        <v>31</v>
      </c>
      <c r="C11682" t="str">
        <f t="shared" si="368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Cumple</v>
      </c>
      <c r="D11686">
        <v>9948</v>
      </c>
      <c r="E11686" t="s">
        <v>12</v>
      </c>
      <c r="F11686" s="9">
        <v>20</v>
      </c>
      <c r="G11686">
        <v>20</v>
      </c>
      <c r="H11686">
        <f t="shared" si="367"/>
        <v>0</v>
      </c>
    </row>
    <row r="11687" spans="1:8" x14ac:dyDescent="0.2">
      <c r="A11687" t="s">
        <v>7</v>
      </c>
      <c r="B11687" t="s">
        <v>31</v>
      </c>
      <c r="C11687" t="str">
        <f t="shared" si="368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7"/>
        <v>15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67"/>
        <v>9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67"/>
        <v>8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67"/>
        <v>8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67"/>
        <v>7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67"/>
        <v>7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67"/>
        <v>6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67"/>
        <v>6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67"/>
        <v>8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67"/>
        <v>5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67"/>
        <v>5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988</v>
      </c>
      <c r="E11704" t="s">
        <v>13</v>
      </c>
      <c r="F11704">
        <v>11</v>
      </c>
      <c r="G11704">
        <v>3</v>
      </c>
      <c r="H11704">
        <f t="shared" si="367"/>
        <v>8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67"/>
        <v>5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67"/>
        <v>8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67"/>
        <v>5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67"/>
        <v>8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67"/>
        <v>5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67"/>
        <v>4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ref="H11714:H11777" si="369">F11714-G11714</f>
        <v>4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69"/>
        <v>7</v>
      </c>
    </row>
    <row r="11716" spans="1:8" x14ac:dyDescent="0.2">
      <c r="A11716" t="s">
        <v>7</v>
      </c>
      <c r="B11716" t="s">
        <v>31</v>
      </c>
      <c r="C11716" t="str">
        <f t="shared" ref="C11716:C11779" si="370">IF(H11716&gt;=0,"Cumple","No cumple")</f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69"/>
        <v>4</v>
      </c>
    </row>
    <row r="11717" spans="1:8" x14ac:dyDescent="0.2">
      <c r="A11717" t="s">
        <v>7</v>
      </c>
      <c r="B11717" t="s">
        <v>31</v>
      </c>
      <c r="C11717" t="str">
        <f t="shared" si="370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si="370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69"/>
        <v>7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69"/>
        <v>4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69"/>
        <v>4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21</v>
      </c>
      <c r="B11723" t="s">
        <v>31</v>
      </c>
      <c r="C11723" t="str">
        <f t="shared" si="370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69"/>
        <v>7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7</v>
      </c>
      <c r="B11725" t="s">
        <v>31</v>
      </c>
      <c r="C11725" t="str">
        <f t="shared" si="370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69"/>
        <v>4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69"/>
        <v>7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69"/>
        <v>3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69"/>
        <v>3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69"/>
        <v>6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69"/>
        <v>3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69"/>
        <v>6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69"/>
        <v>6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69"/>
        <v>3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69"/>
        <v>3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69"/>
        <v>6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69"/>
        <v>6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69"/>
        <v>2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69"/>
        <v>5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69"/>
        <v>2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si="369"/>
        <v>5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69"/>
        <v>2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69"/>
        <v>5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69"/>
        <v>2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69"/>
        <v>5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69"/>
        <v>4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69"/>
        <v>1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69"/>
        <v>1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69"/>
        <v>4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69"/>
        <v>1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ref="H11778:H11841" si="371">F11778-G11778</f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71"/>
        <v>1</v>
      </c>
    </row>
    <row r="11780" spans="1:8" x14ac:dyDescent="0.2">
      <c r="A11780" t="s">
        <v>7</v>
      </c>
      <c r="B11780" t="s">
        <v>31</v>
      </c>
      <c r="C11780" t="str">
        <f t="shared" ref="C11780:C11843" si="372">IF(H11780&gt;=0,"Cumple","No cumple")</f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71"/>
        <v>1</v>
      </c>
    </row>
    <row r="11781" spans="1:8" x14ac:dyDescent="0.2">
      <c r="A11781" t="s">
        <v>7</v>
      </c>
      <c r="B11781" t="s">
        <v>31</v>
      </c>
      <c r="C11781" t="str">
        <f t="shared" si="372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si="372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71"/>
        <v>4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71"/>
        <v>1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21</v>
      </c>
      <c r="B11788" t="s">
        <v>31</v>
      </c>
      <c r="C11788" t="str">
        <f t="shared" si="372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71"/>
        <v>4</v>
      </c>
    </row>
    <row r="11789" spans="1:8" x14ac:dyDescent="0.2">
      <c r="A11789" t="s">
        <v>21</v>
      </c>
      <c r="B11789" t="s">
        <v>31</v>
      </c>
      <c r="C11789" t="str">
        <f t="shared" si="372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71"/>
        <v>4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7</v>
      </c>
      <c r="B11791" t="s">
        <v>31</v>
      </c>
      <c r="C11791" t="str">
        <f t="shared" si="372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71"/>
        <v>1</v>
      </c>
    </row>
    <row r="11792" spans="1:8" x14ac:dyDescent="0.2">
      <c r="A11792" t="s">
        <v>7</v>
      </c>
      <c r="B11792" t="s">
        <v>31</v>
      </c>
      <c r="C11792" t="str">
        <f t="shared" si="372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71"/>
        <v>1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71"/>
        <v>4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9020</v>
      </c>
      <c r="E11798" t="s">
        <v>13</v>
      </c>
      <c r="F11798">
        <v>7</v>
      </c>
      <c r="G11798">
        <v>3</v>
      </c>
      <c r="H11798">
        <f t="shared" si="371"/>
        <v>4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71"/>
        <v>1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71"/>
        <v>1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9645</v>
      </c>
      <c r="E11801" t="s">
        <v>13</v>
      </c>
      <c r="F11801">
        <v>7</v>
      </c>
      <c r="G11801" s="9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71"/>
        <v>4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71"/>
        <v>3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71"/>
        <v>0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71"/>
        <v>0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71"/>
        <v>3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71"/>
        <v>3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71"/>
        <v>0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71"/>
        <v>0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2356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71"/>
        <v>3</v>
      </c>
    </row>
    <row r="11817" spans="1:8" x14ac:dyDescent="0.2">
      <c r="A11817" t="s">
        <v>21</v>
      </c>
      <c r="B11817" t="s">
        <v>31</v>
      </c>
      <c r="C11817" t="str">
        <f t="shared" si="372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71"/>
        <v>3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71"/>
        <v>0</v>
      </c>
    </row>
    <row r="11819" spans="1:8" x14ac:dyDescent="0.2">
      <c r="A11819" t="s">
        <v>7</v>
      </c>
      <c r="B11819" t="s">
        <v>31</v>
      </c>
      <c r="C11819" t="str">
        <f t="shared" si="372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71"/>
        <v>0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71"/>
        <v>3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18</v>
      </c>
      <c r="B11822" t="s">
        <v>31</v>
      </c>
      <c r="C11822" t="str">
        <f t="shared" si="372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71"/>
        <v>0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71"/>
        <v>3</v>
      </c>
    </row>
    <row r="11824" spans="1:8" x14ac:dyDescent="0.2">
      <c r="A11824" t="s">
        <v>7</v>
      </c>
      <c r="B11824" t="s">
        <v>31</v>
      </c>
      <c r="C11824" t="str">
        <f t="shared" si="372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9102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71"/>
        <v>3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71"/>
        <v>0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71"/>
        <v>-1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71"/>
        <v>2</v>
      </c>
    </row>
    <row r="11833" spans="1:8" x14ac:dyDescent="0.2">
      <c r="A11833" t="s">
        <v>7</v>
      </c>
      <c r="B11833" t="s">
        <v>31</v>
      </c>
      <c r="C11833" t="str">
        <f t="shared" si="372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71"/>
        <v>2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71"/>
        <v>-1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1847</v>
      </c>
      <c r="E11838" t="s">
        <v>13</v>
      </c>
      <c r="F11838" s="9">
        <v>6</v>
      </c>
      <c r="G11838">
        <v>6</v>
      </c>
      <c r="H11838">
        <f t="shared" si="371"/>
        <v>0</v>
      </c>
    </row>
    <row r="11839" spans="1:8" x14ac:dyDescent="0.2">
      <c r="A11839" t="s">
        <v>7</v>
      </c>
      <c r="B11839" t="s">
        <v>31</v>
      </c>
      <c r="C11839" t="str">
        <f t="shared" si="372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71"/>
        <v>2</v>
      </c>
    </row>
    <row r="11840" spans="1:8" x14ac:dyDescent="0.2">
      <c r="A11840" t="s">
        <v>21</v>
      </c>
      <c r="B11840" t="s">
        <v>31</v>
      </c>
      <c r="C11840" t="str">
        <f t="shared" si="372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71"/>
        <v>2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7</v>
      </c>
      <c r="B11842" t="s">
        <v>31</v>
      </c>
      <c r="C11842" t="str">
        <f t="shared" si="372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ref="H11842:H11905" si="373">F11842-G11842</f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73"/>
        <v>2</v>
      </c>
    </row>
    <row r="11844" spans="1:8" x14ac:dyDescent="0.2">
      <c r="A11844" t="s">
        <v>7</v>
      </c>
      <c r="B11844" t="s">
        <v>31</v>
      </c>
      <c r="C11844" t="str">
        <f t="shared" ref="C11844:C11907" si="374">IF(H11844&gt;=0,"Cumple","No cumple")</f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73"/>
        <v>2</v>
      </c>
    </row>
    <row r="11845" spans="1:8" x14ac:dyDescent="0.2">
      <c r="A11845" t="s">
        <v>7</v>
      </c>
      <c r="B11845" t="s">
        <v>31</v>
      </c>
      <c r="C11845" t="str">
        <f t="shared" si="374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si="374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73"/>
        <v>-1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73"/>
        <v>2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73"/>
        <v>1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73"/>
        <v>1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73"/>
        <v>-2</v>
      </c>
    </row>
    <row r="11857" spans="1:8" x14ac:dyDescent="0.2">
      <c r="A11857" t="s">
        <v>7</v>
      </c>
      <c r="B11857" t="s">
        <v>31</v>
      </c>
      <c r="C11857" t="str">
        <f t="shared" si="374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73"/>
        <v>-2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73"/>
        <v>1</v>
      </c>
    </row>
    <row r="11860" spans="1:8" x14ac:dyDescent="0.2">
      <c r="A11860" t="s">
        <v>7</v>
      </c>
      <c r="B11860" t="s">
        <v>31</v>
      </c>
      <c r="C11860" t="str">
        <f t="shared" si="374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73"/>
        <v>1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9017</v>
      </c>
      <c r="E11875" t="s">
        <v>13</v>
      </c>
      <c r="F11875" s="39">
        <v>6</v>
      </c>
      <c r="G11875">
        <v>6</v>
      </c>
      <c r="H11875">
        <f t="shared" si="373"/>
        <v>0</v>
      </c>
    </row>
    <row r="11876" spans="1:8" x14ac:dyDescent="0.2">
      <c r="A11876" t="s">
        <v>7</v>
      </c>
      <c r="B11876" t="s">
        <v>31</v>
      </c>
      <c r="C11876" t="str">
        <f t="shared" si="374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73"/>
        <v>-2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73"/>
        <v>1</v>
      </c>
    </row>
    <row r="11879" spans="1:8" x14ac:dyDescent="0.2">
      <c r="A11879" t="s">
        <v>7</v>
      </c>
      <c r="B11879" t="s">
        <v>31</v>
      </c>
      <c r="C11879" t="str">
        <f t="shared" si="374"/>
        <v>Cumple</v>
      </c>
      <c r="D11879">
        <v>9685</v>
      </c>
      <c r="E11879" t="s">
        <v>13</v>
      </c>
      <c r="F11879" s="9">
        <v>6</v>
      </c>
      <c r="G11879">
        <v>6</v>
      </c>
      <c r="H11879">
        <f t="shared" si="373"/>
        <v>0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73"/>
        <v>1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18</v>
      </c>
      <c r="B11885" t="s">
        <v>31</v>
      </c>
      <c r="C11885" t="str">
        <f t="shared" si="374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73"/>
        <v>0</v>
      </c>
    </row>
    <row r="11887" spans="1:8" x14ac:dyDescent="0.2">
      <c r="A11887" t="s">
        <v>7</v>
      </c>
      <c r="B11887" t="s">
        <v>31</v>
      </c>
      <c r="C11887" t="str">
        <f t="shared" si="374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73"/>
        <v>0</v>
      </c>
    </row>
    <row r="11888" spans="1:8" x14ac:dyDescent="0.2">
      <c r="A11888" t="s">
        <v>7</v>
      </c>
      <c r="B11888" t="s">
        <v>31</v>
      </c>
      <c r="C11888" t="str">
        <f t="shared" si="374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73"/>
        <v>-3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73"/>
        <v>0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73"/>
        <v>-3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73"/>
        <v>0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ref="H11906:H11969" si="375">F11906-G11906</f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75"/>
        <v>0</v>
      </c>
    </row>
    <row r="11908" spans="1:8" x14ac:dyDescent="0.2">
      <c r="A11908" t="s">
        <v>7</v>
      </c>
      <c r="B11908" t="s">
        <v>31</v>
      </c>
      <c r="C11908" t="str">
        <f t="shared" ref="C11908:C11971" si="376">IF(H11908&gt;=0,"Cumple","No cumple")</f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75"/>
        <v>0</v>
      </c>
    </row>
    <row r="11909" spans="1:8" x14ac:dyDescent="0.2">
      <c r="A11909" t="s">
        <v>7</v>
      </c>
      <c r="B11909" t="s">
        <v>31</v>
      </c>
      <c r="C11909" t="str">
        <f t="shared" si="376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si="376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213</v>
      </c>
      <c r="E11913" t="s">
        <v>13</v>
      </c>
      <c r="F11913" s="9">
        <v>6</v>
      </c>
      <c r="G11913">
        <v>6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75"/>
        <v>-1</v>
      </c>
    </row>
    <row r="11915" spans="1:8" x14ac:dyDescent="0.2">
      <c r="A11915" t="s">
        <v>7</v>
      </c>
      <c r="B11915" t="s">
        <v>31</v>
      </c>
      <c r="C11915" t="str">
        <f t="shared" si="376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75"/>
        <v>-1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75"/>
        <v>-4</v>
      </c>
    </row>
    <row r="11924" spans="1:8" x14ac:dyDescent="0.2">
      <c r="A11924" t="s">
        <v>18</v>
      </c>
      <c r="B11924" t="s">
        <v>31</v>
      </c>
      <c r="C11924" t="str">
        <f t="shared" si="376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75"/>
        <v>-1</v>
      </c>
    </row>
    <row r="11926" spans="1:8" x14ac:dyDescent="0.2">
      <c r="A11926" t="s">
        <v>7</v>
      </c>
      <c r="B11926" t="s">
        <v>31</v>
      </c>
      <c r="C11926" t="str">
        <f t="shared" si="376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75"/>
        <v>-2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75"/>
        <v>-2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75"/>
        <v>-5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75"/>
        <v>-2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si="375"/>
        <v>-5</v>
      </c>
    </row>
    <row r="11944" spans="1:8" x14ac:dyDescent="0.2">
      <c r="A11944" t="s">
        <v>7</v>
      </c>
      <c r="B11944" t="s">
        <v>31</v>
      </c>
      <c r="C11944" t="str">
        <f t="shared" si="376"/>
        <v>Cumple</v>
      </c>
      <c r="D11944">
        <v>2850</v>
      </c>
      <c r="E11944" t="s">
        <v>13</v>
      </c>
      <c r="F11944" s="9">
        <v>3</v>
      </c>
      <c r="G11944">
        <v>3</v>
      </c>
      <c r="H11944">
        <f t="shared" si="375"/>
        <v>0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75"/>
        <v>-2</v>
      </c>
    </row>
    <row r="11946" spans="1:8" x14ac:dyDescent="0.2">
      <c r="A11946" t="s">
        <v>18</v>
      </c>
      <c r="B11946" t="s">
        <v>31</v>
      </c>
      <c r="C11946" t="str">
        <f t="shared" si="376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75"/>
        <v>-2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7</v>
      </c>
      <c r="B11948" t="s">
        <v>31</v>
      </c>
      <c r="C11948" t="str">
        <f t="shared" si="376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18</v>
      </c>
      <c r="B11954" t="s">
        <v>31</v>
      </c>
      <c r="C11954" t="str">
        <f t="shared" si="376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18</v>
      </c>
      <c r="B11955" t="s">
        <v>31</v>
      </c>
      <c r="C11955" t="str">
        <f t="shared" si="376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75"/>
        <v>-3</v>
      </c>
    </row>
    <row r="11956" spans="1:8" x14ac:dyDescent="0.2">
      <c r="A11956" t="s">
        <v>19</v>
      </c>
      <c r="B11956" t="s">
        <v>31</v>
      </c>
      <c r="C11956" t="str">
        <f t="shared" si="376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75"/>
        <v>-3</v>
      </c>
    </row>
    <row r="11957" spans="1:8" x14ac:dyDescent="0.2">
      <c r="A11957" t="s">
        <v>7</v>
      </c>
      <c r="B11957" t="s">
        <v>31</v>
      </c>
      <c r="C11957" t="str">
        <f t="shared" si="376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18</v>
      </c>
      <c r="B11958" t="s">
        <v>31</v>
      </c>
      <c r="C11958" t="str">
        <f t="shared" si="376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19</v>
      </c>
      <c r="B11959" t="s">
        <v>31</v>
      </c>
      <c r="C11959" t="str">
        <f t="shared" si="376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7</v>
      </c>
      <c r="B11960" t="s">
        <v>31</v>
      </c>
      <c r="C11960" t="str">
        <f t="shared" si="376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7</v>
      </c>
      <c r="B11961" t="s">
        <v>31</v>
      </c>
      <c r="C11961" t="str">
        <f t="shared" si="376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18</v>
      </c>
      <c r="B11962" t="s">
        <v>31</v>
      </c>
      <c r="C11962" t="str">
        <f t="shared" si="376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Cumple</v>
      </c>
      <c r="D11963">
        <v>818</v>
      </c>
      <c r="E11963" t="s">
        <v>13</v>
      </c>
      <c r="F11963" s="9">
        <v>6</v>
      </c>
      <c r="G11963">
        <v>6</v>
      </c>
      <c r="H11963">
        <f t="shared" si="375"/>
        <v>0</v>
      </c>
    </row>
    <row r="11964" spans="1:8" x14ac:dyDescent="0.2">
      <c r="A11964" t="s">
        <v>7</v>
      </c>
      <c r="B11964" t="s">
        <v>31</v>
      </c>
      <c r="C11964" t="str">
        <f t="shared" si="376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19</v>
      </c>
      <c r="B11965" t="s">
        <v>31</v>
      </c>
      <c r="C11965" t="str">
        <f t="shared" si="376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75"/>
        <v>-3</v>
      </c>
    </row>
    <row r="11966" spans="1:8" x14ac:dyDescent="0.2">
      <c r="A11966" t="s">
        <v>18</v>
      </c>
      <c r="B11966" t="s">
        <v>31</v>
      </c>
      <c r="C11966" t="str">
        <f t="shared" si="376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7</v>
      </c>
      <c r="B11967" t="s">
        <v>31</v>
      </c>
      <c r="C11967" t="str">
        <f t="shared" si="376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7</v>
      </c>
      <c r="B11968" t="s">
        <v>31</v>
      </c>
      <c r="C11968" t="str">
        <f t="shared" si="376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18</v>
      </c>
      <c r="B11969" t="s">
        <v>31</v>
      </c>
      <c r="C11969" t="str">
        <f t="shared" si="376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ref="H11970:H12033" si="377">F11970-G11970</f>
        <v>-3</v>
      </c>
    </row>
    <row r="11971" spans="1:8" x14ac:dyDescent="0.2">
      <c r="A11971" t="s">
        <v>7</v>
      </c>
      <c r="B11971" t="s">
        <v>31</v>
      </c>
      <c r="C11971" t="str">
        <f t="shared" si="376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77"/>
        <v>-3</v>
      </c>
    </row>
    <row r="11972" spans="1:8" x14ac:dyDescent="0.2">
      <c r="A11972" t="s">
        <v>19</v>
      </c>
      <c r="B11972" t="s">
        <v>31</v>
      </c>
      <c r="C11972" t="str">
        <f t="shared" ref="C11972:C12035" si="378">IF(H11972&gt;=0,"Cumple","No cumple")</f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77"/>
        <v>-3</v>
      </c>
    </row>
    <row r="11973" spans="1:8" x14ac:dyDescent="0.2">
      <c r="A11973" t="s">
        <v>18</v>
      </c>
      <c r="B11973" t="s">
        <v>31</v>
      </c>
      <c r="C11973" t="str">
        <f t="shared" si="378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7</v>
      </c>
      <c r="B11974" t="s">
        <v>31</v>
      </c>
      <c r="C11974" t="str">
        <f t="shared" si="378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7</v>
      </c>
      <c r="B11977" t="s">
        <v>31</v>
      </c>
      <c r="C11977" t="str">
        <f t="shared" si="378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19</v>
      </c>
      <c r="B11978" t="s">
        <v>31</v>
      </c>
      <c r="C11978" t="str">
        <f t="shared" si="378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18</v>
      </c>
      <c r="B11979" t="s">
        <v>31</v>
      </c>
      <c r="C11979" t="str">
        <f t="shared" si="378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77"/>
        <v>-6</v>
      </c>
    </row>
    <row r="11980" spans="1:8" x14ac:dyDescent="0.2">
      <c r="A11980" t="s">
        <v>7</v>
      </c>
      <c r="B11980" t="s">
        <v>31</v>
      </c>
      <c r="C11980" t="str">
        <f t="shared" si="378"/>
        <v>Cumple</v>
      </c>
      <c r="D11980">
        <v>2810</v>
      </c>
      <c r="E11980" t="s">
        <v>13</v>
      </c>
      <c r="F11980" s="9">
        <v>6</v>
      </c>
      <c r="G11980">
        <v>6</v>
      </c>
      <c r="H11980">
        <f t="shared" si="377"/>
        <v>0</v>
      </c>
    </row>
    <row r="11981" spans="1:8" x14ac:dyDescent="0.2">
      <c r="A11981" t="s">
        <v>7</v>
      </c>
      <c r="B11981" t="s">
        <v>31</v>
      </c>
      <c r="C11981" t="str">
        <f t="shared" si="378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77"/>
        <v>-3</v>
      </c>
    </row>
    <row r="11982" spans="1:8" x14ac:dyDescent="0.2">
      <c r="A11982" t="s">
        <v>21</v>
      </c>
      <c r="B11982" t="s">
        <v>31</v>
      </c>
      <c r="C11982" t="str">
        <f t="shared" si="378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77"/>
        <v>-3</v>
      </c>
    </row>
    <row r="11983" spans="1:8" x14ac:dyDescent="0.2">
      <c r="A11983" t="s">
        <v>21</v>
      </c>
      <c r="B11983" t="s">
        <v>31</v>
      </c>
      <c r="C11983" t="str">
        <f t="shared" si="378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7</v>
      </c>
      <c r="B12008" t="s">
        <v>31</v>
      </c>
      <c r="C12008" t="str">
        <f t="shared" si="378"/>
        <v>Cumple</v>
      </c>
      <c r="D12008">
        <v>3079</v>
      </c>
      <c r="E12008" t="s">
        <v>13</v>
      </c>
      <c r="F12008" s="9">
        <v>6</v>
      </c>
      <c r="G12008">
        <v>6</v>
      </c>
      <c r="H12008">
        <f t="shared" si="377"/>
        <v>0</v>
      </c>
    </row>
    <row r="12009" spans="1:8" x14ac:dyDescent="0.2">
      <c r="A12009" t="s">
        <v>19</v>
      </c>
      <c r="B12009" t="s">
        <v>31</v>
      </c>
      <c r="C12009" t="str">
        <f t="shared" si="378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377"/>
        <v>-3</v>
      </c>
    </row>
    <row r="12011" spans="1:8" x14ac:dyDescent="0.2">
      <c r="A12011" t="s">
        <v>7</v>
      </c>
      <c r="B12011" t="s">
        <v>31</v>
      </c>
      <c r="C12011" t="str">
        <f t="shared" si="378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18</v>
      </c>
      <c r="B12012" t="s">
        <v>31</v>
      </c>
      <c r="C12012" t="str">
        <f t="shared" si="378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19</v>
      </c>
      <c r="B12017" t="s">
        <v>31</v>
      </c>
      <c r="C12017" t="str">
        <f t="shared" si="378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7</v>
      </c>
      <c r="B12018" t="s">
        <v>31</v>
      </c>
      <c r="C12018" t="str">
        <f t="shared" si="378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7</v>
      </c>
      <c r="B12019" t="s">
        <v>31</v>
      </c>
      <c r="C12019" t="str">
        <f t="shared" si="378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19</v>
      </c>
      <c r="B12020" t="s">
        <v>31</v>
      </c>
      <c r="C12020" t="str">
        <f t="shared" si="378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7</v>
      </c>
      <c r="B12022" t="s">
        <v>31</v>
      </c>
      <c r="C12022" t="str">
        <f t="shared" si="378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19</v>
      </c>
      <c r="B12023" t="s">
        <v>31</v>
      </c>
      <c r="C12023" t="str">
        <f t="shared" si="378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18</v>
      </c>
      <c r="B12024" t="s">
        <v>31</v>
      </c>
      <c r="C12024" t="str">
        <f t="shared" si="378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18</v>
      </c>
      <c r="B12025" t="s">
        <v>31</v>
      </c>
      <c r="C12025" t="str">
        <f t="shared" si="378"/>
        <v>Cumple</v>
      </c>
      <c r="D12025">
        <v>7597</v>
      </c>
      <c r="E12025" t="s">
        <v>13</v>
      </c>
      <c r="F12025" s="9">
        <v>6</v>
      </c>
      <c r="G12025">
        <v>6</v>
      </c>
      <c r="H12025">
        <f t="shared" si="377"/>
        <v>0</v>
      </c>
    </row>
    <row r="12026" spans="1:8" x14ac:dyDescent="0.2">
      <c r="A12026" t="s">
        <v>19</v>
      </c>
      <c r="B12026" t="s">
        <v>31</v>
      </c>
      <c r="C12026" t="str">
        <f t="shared" si="378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377"/>
        <v>-3</v>
      </c>
    </row>
    <row r="12028" spans="1:8" x14ac:dyDescent="0.2">
      <c r="A12028" t="s">
        <v>18</v>
      </c>
      <c r="B12028" t="s">
        <v>31</v>
      </c>
      <c r="C12028" t="str">
        <f t="shared" si="378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19</v>
      </c>
      <c r="B12029" t="s">
        <v>31</v>
      </c>
      <c r="C12029" t="str">
        <f t="shared" si="378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7</v>
      </c>
      <c r="B12030" t="s">
        <v>31</v>
      </c>
      <c r="C12030" t="str">
        <f t="shared" si="378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7</v>
      </c>
      <c r="B12031" t="s">
        <v>31</v>
      </c>
      <c r="C12031" t="str">
        <f t="shared" si="378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18</v>
      </c>
      <c r="B12034" t="s">
        <v>31</v>
      </c>
      <c r="C12034" t="str">
        <f t="shared" si="378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ref="H12034:H12097" si="379">F12034-G12034</f>
        <v>-3</v>
      </c>
    </row>
    <row r="12035" spans="1:8" x14ac:dyDescent="0.2">
      <c r="A12035" t="s">
        <v>18</v>
      </c>
      <c r="B12035" t="s">
        <v>31</v>
      </c>
      <c r="C12035" t="str">
        <f t="shared" si="378"/>
        <v>Cumple</v>
      </c>
      <c r="D12035">
        <v>4042</v>
      </c>
      <c r="E12035" t="s">
        <v>13</v>
      </c>
      <c r="F12035" s="9">
        <v>3</v>
      </c>
      <c r="G12035">
        <v>3</v>
      </c>
      <c r="H12035">
        <f t="shared" si="379"/>
        <v>0</v>
      </c>
    </row>
    <row r="12036" spans="1:8" x14ac:dyDescent="0.2">
      <c r="A12036" t="s">
        <v>18</v>
      </c>
      <c r="B12036" t="s">
        <v>31</v>
      </c>
      <c r="C12036" t="str">
        <f t="shared" ref="C12036:C12099" si="380">IF(H12036&gt;=0,"Cumple","No cumple")</f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379"/>
        <v>-3</v>
      </c>
    </row>
    <row r="12037" spans="1:8" x14ac:dyDescent="0.2">
      <c r="A12037" t="s">
        <v>7</v>
      </c>
      <c r="B12037" t="s">
        <v>31</v>
      </c>
      <c r="C12037" t="str">
        <f t="shared" si="380"/>
        <v>Cumple</v>
      </c>
      <c r="D12037">
        <v>2726</v>
      </c>
      <c r="E12037" t="s">
        <v>15</v>
      </c>
      <c r="F12037">
        <v>34</v>
      </c>
      <c r="G12037">
        <v>6</v>
      </c>
      <c r="H12037">
        <f t="shared" si="379"/>
        <v>28</v>
      </c>
    </row>
    <row r="12038" spans="1:8" x14ac:dyDescent="0.2">
      <c r="A12038" t="s">
        <v>7</v>
      </c>
      <c r="B12038" t="s">
        <v>31</v>
      </c>
      <c r="C12038" t="str">
        <f t="shared" si="380"/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si="379"/>
        <v>24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379"/>
        <v>17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379"/>
        <v>13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379"/>
        <v>12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379"/>
        <v>11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379"/>
        <v>9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379"/>
        <v>9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379"/>
        <v>8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379"/>
        <v>8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379"/>
        <v>7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379"/>
        <v>7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379"/>
        <v>6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379"/>
        <v>5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379"/>
        <v>5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379"/>
        <v>3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379"/>
        <v>3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379"/>
        <v>2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379"/>
        <v>2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379"/>
        <v>1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379"/>
        <v>1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379"/>
        <v>0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379"/>
        <v>0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379"/>
        <v>-1</v>
      </c>
    </row>
    <row r="12072" spans="1:8" x14ac:dyDescent="0.2">
      <c r="A12072" t="s">
        <v>7</v>
      </c>
      <c r="B12072" t="s">
        <v>31</v>
      </c>
      <c r="C12072" t="str">
        <f t="shared" si="380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379"/>
        <v>-1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379"/>
        <v>-2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379"/>
        <v>-2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379"/>
        <v>-3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379"/>
        <v>-3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379"/>
        <v>-4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379"/>
        <v>-4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379"/>
        <v>-5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379"/>
        <v>-5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ref="H12098:H12161" si="381">F12098-G12098</f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381"/>
        <v>-5</v>
      </c>
    </row>
    <row r="12100" spans="1:8" x14ac:dyDescent="0.2">
      <c r="A12100" t="s">
        <v>7</v>
      </c>
      <c r="B12100" t="s">
        <v>31</v>
      </c>
      <c r="C12100" t="str">
        <f t="shared" ref="C12100:C12163" si="382">IF(H12100&gt;=0,"Cumple","No cumple")</f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381"/>
        <v>-5</v>
      </c>
    </row>
    <row r="12101" spans="1:8" x14ac:dyDescent="0.2">
      <c r="A12101" t="s">
        <v>7</v>
      </c>
      <c r="B12101" t="s">
        <v>31</v>
      </c>
      <c r="C12101" t="str">
        <f t="shared" si="382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si="382"/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381"/>
        <v>-6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381"/>
        <v>-6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19</v>
      </c>
      <c r="B12155" t="s">
        <v>31</v>
      </c>
      <c r="C12155" t="str">
        <f t="shared" si="382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19</v>
      </c>
      <c r="B12156" t="s">
        <v>31</v>
      </c>
      <c r="C12156" t="str">
        <f t="shared" si="382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7</v>
      </c>
      <c r="B12157" t="s">
        <v>32</v>
      </c>
      <c r="C12157" t="str">
        <f t="shared" si="382"/>
        <v>Cumple</v>
      </c>
      <c r="D12157">
        <v>9214</v>
      </c>
      <c r="E12157" t="s">
        <v>8</v>
      </c>
      <c r="F12157">
        <v>27</v>
      </c>
      <c r="G12157">
        <v>8</v>
      </c>
      <c r="H12157">
        <f t="shared" si="381"/>
        <v>19</v>
      </c>
    </row>
    <row r="12158" spans="1:8" x14ac:dyDescent="0.2">
      <c r="A12158" t="s">
        <v>7</v>
      </c>
      <c r="B12158" t="s">
        <v>32</v>
      </c>
      <c r="C12158" t="str">
        <f t="shared" si="382"/>
        <v>Cumple</v>
      </c>
      <c r="D12158">
        <v>9211</v>
      </c>
      <c r="E12158" t="s">
        <v>8</v>
      </c>
      <c r="F12158">
        <v>22</v>
      </c>
      <c r="G12158">
        <v>8</v>
      </c>
      <c r="H12158">
        <f t="shared" si="381"/>
        <v>14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302</v>
      </c>
      <c r="E12159" t="s">
        <v>8</v>
      </c>
      <c r="F12159">
        <v>21</v>
      </c>
      <c r="G12159">
        <v>8</v>
      </c>
      <c r="H12159">
        <f t="shared" si="381"/>
        <v>13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1854</v>
      </c>
      <c r="E12160" t="s">
        <v>8</v>
      </c>
      <c r="F12160">
        <v>21</v>
      </c>
      <c r="G12160">
        <v>8</v>
      </c>
      <c r="H12160">
        <f t="shared" si="381"/>
        <v>13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2020</v>
      </c>
      <c r="E12161" t="s">
        <v>8</v>
      </c>
      <c r="F12161">
        <v>19</v>
      </c>
      <c r="G12161">
        <v>8</v>
      </c>
      <c r="H12161">
        <f t="shared" si="381"/>
        <v>11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3532</v>
      </c>
      <c r="E12162" t="s">
        <v>8</v>
      </c>
      <c r="F12162">
        <v>19</v>
      </c>
      <c r="G12162">
        <v>8</v>
      </c>
      <c r="H12162">
        <f t="shared" ref="H12162:H12225" si="383">F12162-G12162</f>
        <v>11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2394</v>
      </c>
      <c r="E12163" t="s">
        <v>8</v>
      </c>
      <c r="F12163">
        <v>18</v>
      </c>
      <c r="G12163">
        <v>8</v>
      </c>
      <c r="H12163">
        <f t="shared" si="383"/>
        <v>10</v>
      </c>
    </row>
    <row r="12164" spans="1:8" x14ac:dyDescent="0.2">
      <c r="A12164" t="s">
        <v>7</v>
      </c>
      <c r="B12164" t="s">
        <v>32</v>
      </c>
      <c r="C12164" t="str">
        <f t="shared" ref="C12164:C12227" si="384">IF(H12164&gt;=0,"Cumple","No cumple")</f>
        <v>Cumple</v>
      </c>
      <c r="D12164">
        <v>2422</v>
      </c>
      <c r="E12164" t="s">
        <v>8</v>
      </c>
      <c r="F12164">
        <v>18</v>
      </c>
      <c r="G12164">
        <v>8</v>
      </c>
      <c r="H12164">
        <f t="shared" si="383"/>
        <v>10</v>
      </c>
    </row>
    <row r="12165" spans="1:8" x14ac:dyDescent="0.2">
      <c r="A12165" t="s">
        <v>7</v>
      </c>
      <c r="B12165" t="s">
        <v>32</v>
      </c>
      <c r="C12165" t="str">
        <f t="shared" si="384"/>
        <v>Cumple</v>
      </c>
      <c r="D12165">
        <v>411</v>
      </c>
      <c r="E12165" t="s">
        <v>8</v>
      </c>
      <c r="F12165">
        <v>17</v>
      </c>
      <c r="G12165">
        <v>8</v>
      </c>
      <c r="H12165">
        <f t="shared" si="383"/>
        <v>9</v>
      </c>
    </row>
    <row r="12166" spans="1:8" x14ac:dyDescent="0.2">
      <c r="A12166" t="s">
        <v>7</v>
      </c>
      <c r="B12166" t="s">
        <v>32</v>
      </c>
      <c r="C12166" t="str">
        <f t="shared" si="384"/>
        <v>Cumple</v>
      </c>
      <c r="D12166">
        <v>3966</v>
      </c>
      <c r="E12166" t="s">
        <v>8</v>
      </c>
      <c r="F12166">
        <v>27</v>
      </c>
      <c r="G12166">
        <v>6</v>
      </c>
      <c r="H12166">
        <f t="shared" si="383"/>
        <v>21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9292</v>
      </c>
      <c r="E12167" t="s">
        <v>8</v>
      </c>
      <c r="F12167">
        <v>16</v>
      </c>
      <c r="G12167">
        <v>8</v>
      </c>
      <c r="H12167">
        <f t="shared" si="383"/>
        <v>8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2220</v>
      </c>
      <c r="E12168" t="s">
        <v>8</v>
      </c>
      <c r="F12168">
        <v>15</v>
      </c>
      <c r="G12168">
        <v>8</v>
      </c>
      <c r="H12168">
        <f t="shared" si="383"/>
        <v>7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2349</v>
      </c>
      <c r="E12169" t="s">
        <v>8</v>
      </c>
      <c r="F12169">
        <v>15</v>
      </c>
      <c r="G12169">
        <v>8</v>
      </c>
      <c r="H12169">
        <f t="shared" si="383"/>
        <v>7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2416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2446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2746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3399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3775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3943</v>
      </c>
      <c r="E12175" t="s">
        <v>8</v>
      </c>
      <c r="F12175">
        <v>25</v>
      </c>
      <c r="G12175">
        <v>6</v>
      </c>
      <c r="H12175">
        <f t="shared" si="383"/>
        <v>19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561</v>
      </c>
      <c r="E12176" t="s">
        <v>8</v>
      </c>
      <c r="F12176">
        <v>14</v>
      </c>
      <c r="G12176">
        <v>8</v>
      </c>
      <c r="H12176">
        <f t="shared" si="383"/>
        <v>6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643</v>
      </c>
      <c r="E12177" t="s">
        <v>8</v>
      </c>
      <c r="F12177">
        <v>14</v>
      </c>
      <c r="G12177">
        <v>8</v>
      </c>
      <c r="H12177">
        <f t="shared" si="383"/>
        <v>6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1549</v>
      </c>
      <c r="E12178" t="s">
        <v>8</v>
      </c>
      <c r="F12178">
        <v>25</v>
      </c>
      <c r="G12178">
        <v>6</v>
      </c>
      <c r="H12178">
        <f t="shared" si="383"/>
        <v>19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3398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9220</v>
      </c>
      <c r="E12180" t="s">
        <v>8</v>
      </c>
      <c r="F12180">
        <v>14</v>
      </c>
      <c r="G12180">
        <v>8</v>
      </c>
      <c r="H12180">
        <f t="shared" si="383"/>
        <v>6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596</v>
      </c>
      <c r="E12181" t="s">
        <v>8</v>
      </c>
      <c r="F12181">
        <v>20</v>
      </c>
      <c r="G12181">
        <v>6</v>
      </c>
      <c r="H12181">
        <f t="shared" si="383"/>
        <v>14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688</v>
      </c>
      <c r="E12182" t="s">
        <v>8</v>
      </c>
      <c r="F12182">
        <v>22</v>
      </c>
      <c r="G12182">
        <v>6</v>
      </c>
      <c r="H12182">
        <f t="shared" si="383"/>
        <v>16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722</v>
      </c>
      <c r="E12183" t="s">
        <v>8</v>
      </c>
      <c r="F12183">
        <v>13</v>
      </c>
      <c r="G12183">
        <v>8</v>
      </c>
      <c r="H12183">
        <f t="shared" si="383"/>
        <v>5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3598</v>
      </c>
      <c r="E12184" t="s">
        <v>8</v>
      </c>
      <c r="F12184">
        <v>13</v>
      </c>
      <c r="G12184">
        <v>8</v>
      </c>
      <c r="H12184">
        <f t="shared" si="383"/>
        <v>5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3719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5032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9896</v>
      </c>
      <c r="E12187" t="s">
        <v>8</v>
      </c>
      <c r="F12187">
        <v>28</v>
      </c>
      <c r="G12187">
        <v>6</v>
      </c>
      <c r="H12187">
        <f t="shared" si="383"/>
        <v>22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3659</v>
      </c>
      <c r="E12188" t="s">
        <v>8</v>
      </c>
      <c r="F12188">
        <v>21</v>
      </c>
      <c r="G12188">
        <v>6</v>
      </c>
      <c r="H12188">
        <f t="shared" si="383"/>
        <v>15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3848</v>
      </c>
      <c r="E12189" t="s">
        <v>8</v>
      </c>
      <c r="F12189">
        <v>12</v>
      </c>
      <c r="G12189">
        <v>8</v>
      </c>
      <c r="H12189">
        <f t="shared" si="383"/>
        <v>4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3960</v>
      </c>
      <c r="E12190" t="s">
        <v>8</v>
      </c>
      <c r="F12190">
        <v>28</v>
      </c>
      <c r="G12190">
        <v>6</v>
      </c>
      <c r="H12190">
        <f t="shared" si="383"/>
        <v>22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9228</v>
      </c>
      <c r="E12191" t="s">
        <v>8</v>
      </c>
      <c r="F12191">
        <v>13</v>
      </c>
      <c r="G12191">
        <v>6</v>
      </c>
      <c r="H12191">
        <f t="shared" si="383"/>
        <v>7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4036</v>
      </c>
      <c r="E12192" t="s">
        <v>8</v>
      </c>
      <c r="F12192">
        <v>27</v>
      </c>
      <c r="G12192">
        <v>6</v>
      </c>
      <c r="H12192">
        <f t="shared" si="383"/>
        <v>21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460</v>
      </c>
      <c r="E12193" t="s">
        <v>8</v>
      </c>
      <c r="F12193">
        <v>11</v>
      </c>
      <c r="G12193">
        <v>8</v>
      </c>
      <c r="H12193">
        <f t="shared" si="383"/>
        <v>3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467</v>
      </c>
      <c r="E12194" t="s">
        <v>8</v>
      </c>
      <c r="F12194">
        <v>11</v>
      </c>
      <c r="G12194">
        <v>8</v>
      </c>
      <c r="H12194">
        <f t="shared" si="383"/>
        <v>3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1424</v>
      </c>
      <c r="E12195" t="s">
        <v>8</v>
      </c>
      <c r="F12195">
        <v>23</v>
      </c>
      <c r="G12195">
        <v>6</v>
      </c>
      <c r="H12195">
        <f t="shared" si="383"/>
        <v>17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1868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1915</v>
      </c>
      <c r="E12197" t="s">
        <v>8</v>
      </c>
      <c r="F12197">
        <v>11</v>
      </c>
      <c r="G12197">
        <v>8</v>
      </c>
      <c r="H12197">
        <f t="shared" si="383"/>
        <v>3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2168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571</v>
      </c>
      <c r="E12199" t="s">
        <v>8</v>
      </c>
      <c r="F12199">
        <v>10</v>
      </c>
      <c r="G12199">
        <v>8</v>
      </c>
      <c r="H12199">
        <f t="shared" si="383"/>
        <v>2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627</v>
      </c>
      <c r="E12200" t="s">
        <v>8</v>
      </c>
      <c r="F12200">
        <v>17</v>
      </c>
      <c r="G12200">
        <v>6</v>
      </c>
      <c r="H12200">
        <f t="shared" si="383"/>
        <v>11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2520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9204</v>
      </c>
      <c r="E12202" t="s">
        <v>8</v>
      </c>
      <c r="F12202">
        <v>11</v>
      </c>
      <c r="G12202">
        <v>6</v>
      </c>
      <c r="H12202">
        <f t="shared" si="383"/>
        <v>5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9234</v>
      </c>
      <c r="E12203" t="s">
        <v>8</v>
      </c>
      <c r="F12203">
        <v>18</v>
      </c>
      <c r="G12203">
        <v>6</v>
      </c>
      <c r="H12203">
        <f t="shared" si="383"/>
        <v>12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1543</v>
      </c>
      <c r="E12204" t="s">
        <v>8</v>
      </c>
      <c r="F12204">
        <v>14</v>
      </c>
      <c r="G12204">
        <v>6</v>
      </c>
      <c r="H12204">
        <f t="shared" si="383"/>
        <v>8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3978</v>
      </c>
      <c r="E12205" t="s">
        <v>8</v>
      </c>
      <c r="F12205">
        <v>23</v>
      </c>
      <c r="G12205">
        <v>6</v>
      </c>
      <c r="H12205">
        <f t="shared" si="383"/>
        <v>17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412</v>
      </c>
      <c r="E12206" t="s">
        <v>8</v>
      </c>
      <c r="F12206">
        <v>9</v>
      </c>
      <c r="G12206">
        <v>8</v>
      </c>
      <c r="H12206">
        <f t="shared" si="383"/>
        <v>1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591</v>
      </c>
      <c r="E12207" t="s">
        <v>8</v>
      </c>
      <c r="F12207">
        <v>14</v>
      </c>
      <c r="G12207">
        <v>6</v>
      </c>
      <c r="H12207">
        <f t="shared" si="383"/>
        <v>8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2122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2221</v>
      </c>
      <c r="E12209" t="s">
        <v>8</v>
      </c>
      <c r="F12209">
        <v>13</v>
      </c>
      <c r="G12209">
        <v>6</v>
      </c>
      <c r="H12209">
        <f t="shared" si="383"/>
        <v>7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2547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2913</v>
      </c>
      <c r="E12211" t="s">
        <v>8</v>
      </c>
      <c r="F12211">
        <v>9</v>
      </c>
      <c r="G12211">
        <v>8</v>
      </c>
      <c r="H12211">
        <f t="shared" si="383"/>
        <v>1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3799</v>
      </c>
      <c r="E12212" t="s">
        <v>8</v>
      </c>
      <c r="F12212">
        <v>20</v>
      </c>
      <c r="G12212">
        <v>6</v>
      </c>
      <c r="H12212">
        <f t="shared" si="383"/>
        <v>14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5130</v>
      </c>
      <c r="E12213" t="s">
        <v>8</v>
      </c>
      <c r="F12213">
        <v>11</v>
      </c>
      <c r="G12213">
        <v>6</v>
      </c>
      <c r="H12213">
        <f t="shared" si="383"/>
        <v>5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9811</v>
      </c>
      <c r="E12214" t="s">
        <v>8</v>
      </c>
      <c r="F12214">
        <v>9</v>
      </c>
      <c r="G12214">
        <v>8</v>
      </c>
      <c r="H12214">
        <f t="shared" si="383"/>
        <v>1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9922</v>
      </c>
      <c r="E12215" t="s">
        <v>8</v>
      </c>
      <c r="F12215">
        <v>9</v>
      </c>
      <c r="G12215">
        <v>8</v>
      </c>
      <c r="H12215">
        <f t="shared" si="383"/>
        <v>1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423</v>
      </c>
      <c r="E12216" t="s">
        <v>8</v>
      </c>
      <c r="F12216">
        <v>8</v>
      </c>
      <c r="G12216">
        <v>8</v>
      </c>
      <c r="H12216">
        <f t="shared" si="383"/>
        <v>0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633</v>
      </c>
      <c r="E12217" t="s">
        <v>8</v>
      </c>
      <c r="F12217">
        <v>8</v>
      </c>
      <c r="G12217">
        <v>8</v>
      </c>
      <c r="H12217">
        <f t="shared" si="383"/>
        <v>0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1440</v>
      </c>
      <c r="E12218" t="s">
        <v>8</v>
      </c>
      <c r="F12218">
        <v>15</v>
      </c>
      <c r="G12218">
        <v>6</v>
      </c>
      <c r="H12218">
        <f t="shared" si="383"/>
        <v>9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1786</v>
      </c>
      <c r="E12219" t="s">
        <v>8</v>
      </c>
      <c r="F12219">
        <v>13</v>
      </c>
      <c r="G12219">
        <v>6</v>
      </c>
      <c r="H12219">
        <f t="shared" si="383"/>
        <v>7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2047</v>
      </c>
      <c r="E12220" t="s">
        <v>8</v>
      </c>
      <c r="F12220">
        <v>10</v>
      </c>
      <c r="G12220">
        <v>6</v>
      </c>
      <c r="H12220">
        <f t="shared" si="383"/>
        <v>4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2246</v>
      </c>
      <c r="E12221" t="s">
        <v>8</v>
      </c>
      <c r="F12221">
        <v>17</v>
      </c>
      <c r="G12221">
        <v>6</v>
      </c>
      <c r="H12221">
        <f t="shared" si="383"/>
        <v>11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2441</v>
      </c>
      <c r="E12222" t="s">
        <v>8</v>
      </c>
      <c r="F12222">
        <v>13</v>
      </c>
      <c r="G12222">
        <v>6</v>
      </c>
      <c r="H12222">
        <f t="shared" si="383"/>
        <v>7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2808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7065</v>
      </c>
      <c r="E12224" t="s">
        <v>8</v>
      </c>
      <c r="F12224">
        <v>8</v>
      </c>
      <c r="G12224">
        <v>8</v>
      </c>
      <c r="H12224">
        <f t="shared" si="383"/>
        <v>0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9224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9241</v>
      </c>
      <c r="E12226" t="s">
        <v>8</v>
      </c>
      <c r="F12226">
        <v>16</v>
      </c>
      <c r="G12226">
        <v>6</v>
      </c>
      <c r="H12226">
        <f t="shared" ref="H12226:H12289" si="385">F12226-G12226</f>
        <v>10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9883</v>
      </c>
      <c r="E12227" t="s">
        <v>8</v>
      </c>
      <c r="F12227">
        <v>8</v>
      </c>
      <c r="G12227">
        <v>8</v>
      </c>
      <c r="H12227">
        <f t="shared" si="385"/>
        <v>0</v>
      </c>
    </row>
    <row r="12228" spans="1:8" x14ac:dyDescent="0.2">
      <c r="A12228" t="s">
        <v>7</v>
      </c>
      <c r="B12228" t="s">
        <v>32</v>
      </c>
      <c r="C12228" t="str">
        <f t="shared" ref="C12228:C12291" si="386">IF(H12228&gt;=0,"Cumple","No cumple")</f>
        <v>Cumple</v>
      </c>
      <c r="D12228">
        <v>9237</v>
      </c>
      <c r="E12228" t="s">
        <v>8</v>
      </c>
      <c r="F12228">
        <v>15</v>
      </c>
      <c r="G12228">
        <v>6</v>
      </c>
      <c r="H12228">
        <f t="shared" si="385"/>
        <v>9</v>
      </c>
    </row>
    <row r="12229" spans="1:8" x14ac:dyDescent="0.2">
      <c r="A12229" t="s">
        <v>7</v>
      </c>
      <c r="B12229" t="s">
        <v>32</v>
      </c>
      <c r="C12229" t="str">
        <f t="shared" si="386"/>
        <v>Cumple</v>
      </c>
      <c r="D12229">
        <v>675</v>
      </c>
      <c r="E12229" t="s">
        <v>8</v>
      </c>
      <c r="F12229">
        <v>12</v>
      </c>
      <c r="G12229">
        <v>6</v>
      </c>
      <c r="H12229">
        <f t="shared" si="385"/>
        <v>6</v>
      </c>
    </row>
    <row r="12230" spans="1:8" x14ac:dyDescent="0.2">
      <c r="A12230" t="s">
        <v>7</v>
      </c>
      <c r="B12230" t="s">
        <v>32</v>
      </c>
      <c r="C12230" t="str">
        <f t="shared" si="386"/>
        <v>Cumple</v>
      </c>
      <c r="D12230">
        <v>1981</v>
      </c>
      <c r="E12230" t="s">
        <v>8</v>
      </c>
      <c r="F12230">
        <v>17</v>
      </c>
      <c r="G12230">
        <v>6</v>
      </c>
      <c r="H12230">
        <f t="shared" si="385"/>
        <v>11</v>
      </c>
    </row>
    <row r="12231" spans="1:8" x14ac:dyDescent="0.2">
      <c r="A12231" t="s">
        <v>7</v>
      </c>
      <c r="B12231" t="s">
        <v>32</v>
      </c>
      <c r="C12231" t="str">
        <f t="shared" si="386"/>
        <v>No cumple</v>
      </c>
      <c r="D12231">
        <v>2005</v>
      </c>
      <c r="E12231" t="s">
        <v>8</v>
      </c>
      <c r="F12231">
        <v>7</v>
      </c>
      <c r="G12231">
        <v>8</v>
      </c>
      <c r="H12231">
        <f t="shared" si="385"/>
        <v>-1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2190</v>
      </c>
      <c r="E12232" t="s">
        <v>8</v>
      </c>
      <c r="F12232">
        <v>16</v>
      </c>
      <c r="G12232">
        <v>6</v>
      </c>
      <c r="H12232">
        <f t="shared" si="385"/>
        <v>10</v>
      </c>
    </row>
    <row r="12233" spans="1:8" x14ac:dyDescent="0.2">
      <c r="A12233" t="s">
        <v>7</v>
      </c>
      <c r="B12233" t="s">
        <v>32</v>
      </c>
      <c r="C12233" t="str">
        <f t="shared" si="386"/>
        <v>Cumple</v>
      </c>
      <c r="D12233">
        <v>2395</v>
      </c>
      <c r="E12233" t="s">
        <v>8</v>
      </c>
      <c r="F12233">
        <v>7</v>
      </c>
      <c r="G12233">
        <v>6</v>
      </c>
      <c r="H12233">
        <f t="shared" si="385"/>
        <v>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2720</v>
      </c>
      <c r="E12234" t="s">
        <v>8</v>
      </c>
      <c r="F12234">
        <v>13</v>
      </c>
      <c r="G12234">
        <v>6</v>
      </c>
      <c r="H12234">
        <f t="shared" si="385"/>
        <v>7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3593</v>
      </c>
      <c r="E12235" t="s">
        <v>8</v>
      </c>
      <c r="F12235">
        <v>15</v>
      </c>
      <c r="G12235">
        <v>6</v>
      </c>
      <c r="H12235">
        <f t="shared" si="385"/>
        <v>9</v>
      </c>
    </row>
    <row r="12236" spans="1:8" x14ac:dyDescent="0.2">
      <c r="A12236" t="s">
        <v>7</v>
      </c>
      <c r="B12236" t="s">
        <v>32</v>
      </c>
      <c r="C12236" t="str">
        <f t="shared" si="386"/>
        <v>No cumple</v>
      </c>
      <c r="D12236">
        <v>5023</v>
      </c>
      <c r="E12236" t="s">
        <v>8</v>
      </c>
      <c r="F12236">
        <v>7</v>
      </c>
      <c r="G12236">
        <v>8</v>
      </c>
      <c r="H12236">
        <f t="shared" si="385"/>
        <v>-1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9190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Cumple</v>
      </c>
      <c r="D12238">
        <v>9216</v>
      </c>
      <c r="E12238" t="s">
        <v>8</v>
      </c>
      <c r="F12238">
        <v>18</v>
      </c>
      <c r="G12238">
        <v>6</v>
      </c>
      <c r="H12238">
        <f t="shared" si="385"/>
        <v>12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4051</v>
      </c>
      <c r="E12239" t="s">
        <v>8</v>
      </c>
      <c r="F12239">
        <v>14</v>
      </c>
      <c r="G12239">
        <v>6</v>
      </c>
      <c r="H12239">
        <f t="shared" si="385"/>
        <v>8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4052</v>
      </c>
      <c r="E12240" t="s">
        <v>8</v>
      </c>
      <c r="F12240">
        <v>15</v>
      </c>
      <c r="G12240">
        <v>6</v>
      </c>
      <c r="H12240">
        <f t="shared" si="385"/>
        <v>9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373</v>
      </c>
      <c r="E12241" t="s">
        <v>8</v>
      </c>
      <c r="F12241">
        <v>11</v>
      </c>
      <c r="G12241">
        <v>6</v>
      </c>
      <c r="H12241">
        <f t="shared" si="385"/>
        <v>5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515</v>
      </c>
      <c r="E12242" t="s">
        <v>8</v>
      </c>
      <c r="F12242">
        <v>8</v>
      </c>
      <c r="G12242">
        <v>6</v>
      </c>
      <c r="H12242">
        <f t="shared" si="385"/>
        <v>2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557</v>
      </c>
      <c r="E12243" t="s">
        <v>8</v>
      </c>
      <c r="F12243">
        <v>12</v>
      </c>
      <c r="G12243">
        <v>6</v>
      </c>
      <c r="H12243">
        <f t="shared" si="385"/>
        <v>6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658</v>
      </c>
      <c r="E12244" t="s">
        <v>8</v>
      </c>
      <c r="F12244">
        <v>11</v>
      </c>
      <c r="G12244">
        <v>6</v>
      </c>
      <c r="H12244">
        <f t="shared" si="385"/>
        <v>5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2030</v>
      </c>
      <c r="E12245" t="s">
        <v>8</v>
      </c>
      <c r="F12245">
        <v>15</v>
      </c>
      <c r="G12245">
        <v>6</v>
      </c>
      <c r="H12245">
        <f t="shared" si="385"/>
        <v>9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2104</v>
      </c>
      <c r="E12246" t="s">
        <v>8</v>
      </c>
      <c r="F12246">
        <v>7</v>
      </c>
      <c r="G12246">
        <v>6</v>
      </c>
      <c r="H12246">
        <f t="shared" si="385"/>
        <v>1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2135</v>
      </c>
      <c r="E12247" t="s">
        <v>8</v>
      </c>
      <c r="F12247">
        <v>12</v>
      </c>
      <c r="G12247">
        <v>6</v>
      </c>
      <c r="H12247">
        <f t="shared" si="385"/>
        <v>6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2218</v>
      </c>
      <c r="E12248" t="s">
        <v>8</v>
      </c>
      <c r="F12248">
        <v>22</v>
      </c>
      <c r="G12248">
        <v>6</v>
      </c>
      <c r="H12248">
        <f t="shared" si="385"/>
        <v>16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2235</v>
      </c>
      <c r="E12249" t="s">
        <v>8</v>
      </c>
      <c r="F12249">
        <v>6</v>
      </c>
      <c r="G12249">
        <v>6</v>
      </c>
      <c r="H12249">
        <f t="shared" si="385"/>
        <v>0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2308</v>
      </c>
      <c r="E12250" t="s">
        <v>8</v>
      </c>
      <c r="F12250">
        <v>11</v>
      </c>
      <c r="G12250">
        <v>6</v>
      </c>
      <c r="H12250">
        <f t="shared" si="385"/>
        <v>5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3349</v>
      </c>
      <c r="E12251" t="s">
        <v>8</v>
      </c>
      <c r="F12251">
        <v>19</v>
      </c>
      <c r="G12251">
        <v>6</v>
      </c>
      <c r="H12251">
        <f t="shared" si="385"/>
        <v>13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3967</v>
      </c>
      <c r="E12252" t="s">
        <v>8</v>
      </c>
      <c r="F12252">
        <v>14</v>
      </c>
      <c r="G12252">
        <v>6</v>
      </c>
      <c r="H12252">
        <f t="shared" si="385"/>
        <v>8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9112</v>
      </c>
      <c r="E12253" t="s">
        <v>8</v>
      </c>
      <c r="F12253">
        <v>10</v>
      </c>
      <c r="G12253">
        <v>6</v>
      </c>
      <c r="H12253">
        <f t="shared" si="385"/>
        <v>4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9561</v>
      </c>
      <c r="E12254" t="s">
        <v>8</v>
      </c>
      <c r="F12254">
        <v>13</v>
      </c>
      <c r="G12254">
        <v>6</v>
      </c>
      <c r="H12254">
        <f t="shared" si="385"/>
        <v>7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9880</v>
      </c>
      <c r="E12255" t="s">
        <v>8</v>
      </c>
      <c r="F12255">
        <v>16</v>
      </c>
      <c r="G12255">
        <v>6</v>
      </c>
      <c r="H12255">
        <f t="shared" si="385"/>
        <v>10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365</v>
      </c>
      <c r="E12256" t="s">
        <v>8</v>
      </c>
      <c r="F12256">
        <v>11</v>
      </c>
      <c r="G12256">
        <v>6</v>
      </c>
      <c r="H12256">
        <f t="shared" si="385"/>
        <v>5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660</v>
      </c>
      <c r="E12257" t="s">
        <v>8</v>
      </c>
      <c r="F12257">
        <v>11</v>
      </c>
      <c r="G12257">
        <v>6</v>
      </c>
      <c r="H12257">
        <f t="shared" si="385"/>
        <v>5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1799</v>
      </c>
      <c r="E12258" t="s">
        <v>8</v>
      </c>
      <c r="F12258">
        <v>9</v>
      </c>
      <c r="G12258">
        <v>6</v>
      </c>
      <c r="H12258">
        <f t="shared" si="385"/>
        <v>3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2186</v>
      </c>
      <c r="E12259" t="s">
        <v>8</v>
      </c>
      <c r="F12259">
        <v>13</v>
      </c>
      <c r="G12259">
        <v>6</v>
      </c>
      <c r="H12259">
        <f t="shared" si="385"/>
        <v>7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2501</v>
      </c>
      <c r="E12260" t="s">
        <v>8</v>
      </c>
      <c r="F12260">
        <v>16</v>
      </c>
      <c r="G12260">
        <v>6</v>
      </c>
      <c r="H12260">
        <f t="shared" si="385"/>
        <v>10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2928</v>
      </c>
      <c r="E12261" t="s">
        <v>8</v>
      </c>
      <c r="F12261">
        <v>8</v>
      </c>
      <c r="G12261">
        <v>6</v>
      </c>
      <c r="H12261">
        <f t="shared" si="385"/>
        <v>2</v>
      </c>
    </row>
    <row r="12262" spans="1:8" x14ac:dyDescent="0.2">
      <c r="A12262" t="s">
        <v>7</v>
      </c>
      <c r="B12262" t="s">
        <v>32</v>
      </c>
      <c r="C12262" t="str">
        <f t="shared" si="386"/>
        <v>No cumple</v>
      </c>
      <c r="D12262">
        <v>3513</v>
      </c>
      <c r="E12262" t="s">
        <v>8</v>
      </c>
      <c r="F12262">
        <v>5</v>
      </c>
      <c r="G12262">
        <v>6</v>
      </c>
      <c r="H12262">
        <f t="shared" si="385"/>
        <v>-1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3557</v>
      </c>
      <c r="E12263" t="s">
        <v>8</v>
      </c>
      <c r="F12263">
        <v>6</v>
      </c>
      <c r="G12263">
        <v>6</v>
      </c>
      <c r="H12263">
        <f t="shared" si="385"/>
        <v>0</v>
      </c>
    </row>
    <row r="12264" spans="1:8" x14ac:dyDescent="0.2">
      <c r="A12264" t="s">
        <v>7</v>
      </c>
      <c r="B12264" t="s">
        <v>32</v>
      </c>
      <c r="C12264" t="str">
        <f t="shared" si="386"/>
        <v>Cumple</v>
      </c>
      <c r="D12264">
        <v>3700</v>
      </c>
      <c r="E12264" t="s">
        <v>8</v>
      </c>
      <c r="F12264">
        <v>13</v>
      </c>
      <c r="G12264">
        <v>6</v>
      </c>
      <c r="H12264">
        <f t="shared" si="385"/>
        <v>7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3900</v>
      </c>
      <c r="E12265" t="s">
        <v>8</v>
      </c>
      <c r="F12265">
        <v>11</v>
      </c>
      <c r="G12265">
        <v>6</v>
      </c>
      <c r="H12265">
        <f t="shared" si="385"/>
        <v>5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3917</v>
      </c>
      <c r="E12266" t="s">
        <v>8</v>
      </c>
      <c r="F12266">
        <v>12</v>
      </c>
      <c r="G12266">
        <v>6</v>
      </c>
      <c r="H12266">
        <f t="shared" si="385"/>
        <v>6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5142</v>
      </c>
      <c r="E12267" t="s">
        <v>8</v>
      </c>
      <c r="F12267">
        <v>8</v>
      </c>
      <c r="G12267">
        <v>6</v>
      </c>
      <c r="H12267">
        <f t="shared" si="385"/>
        <v>2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9139</v>
      </c>
      <c r="E12268" t="s">
        <v>8</v>
      </c>
      <c r="F12268">
        <v>8</v>
      </c>
      <c r="G12268">
        <v>6</v>
      </c>
      <c r="H12268">
        <f t="shared" si="385"/>
        <v>2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9472</v>
      </c>
      <c r="E12269" t="s">
        <v>8</v>
      </c>
      <c r="F12269">
        <v>12</v>
      </c>
      <c r="G12269">
        <v>6</v>
      </c>
      <c r="H12269">
        <f t="shared" si="385"/>
        <v>6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9636</v>
      </c>
      <c r="E12270" t="s">
        <v>8</v>
      </c>
      <c r="F12270">
        <v>12</v>
      </c>
      <c r="G12270">
        <v>6</v>
      </c>
      <c r="H12270">
        <f t="shared" si="385"/>
        <v>6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9682</v>
      </c>
      <c r="E12271" t="s">
        <v>8</v>
      </c>
      <c r="F12271">
        <v>8</v>
      </c>
      <c r="G12271">
        <v>6</v>
      </c>
      <c r="H12271">
        <f t="shared" si="385"/>
        <v>2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9715</v>
      </c>
      <c r="E12272" t="s">
        <v>8</v>
      </c>
      <c r="F12272">
        <v>14</v>
      </c>
      <c r="G12272">
        <v>6</v>
      </c>
      <c r="H12272">
        <f t="shared" si="385"/>
        <v>8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3980</v>
      </c>
      <c r="E12273" t="s">
        <v>8</v>
      </c>
      <c r="F12273">
        <v>9</v>
      </c>
      <c r="G12273">
        <v>6</v>
      </c>
      <c r="H12273">
        <f t="shared" si="385"/>
        <v>3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4047</v>
      </c>
      <c r="E12274" t="s">
        <v>8</v>
      </c>
      <c r="F12274">
        <v>11</v>
      </c>
      <c r="G12274">
        <v>6</v>
      </c>
      <c r="H12274">
        <f t="shared" si="385"/>
        <v>5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4053</v>
      </c>
      <c r="E12275" t="s">
        <v>8</v>
      </c>
      <c r="F12275">
        <v>14</v>
      </c>
      <c r="G12275">
        <v>6</v>
      </c>
      <c r="H12275">
        <f t="shared" si="385"/>
        <v>8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380</v>
      </c>
      <c r="E12276" t="s">
        <v>8</v>
      </c>
      <c r="F12276" s="9">
        <v>8</v>
      </c>
      <c r="G12276">
        <v>8</v>
      </c>
      <c r="H12276">
        <f t="shared" si="385"/>
        <v>0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674</v>
      </c>
      <c r="E12277" t="s">
        <v>8</v>
      </c>
      <c r="F12277">
        <v>11</v>
      </c>
      <c r="G12277">
        <v>6</v>
      </c>
      <c r="H12277">
        <f t="shared" si="385"/>
        <v>5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680</v>
      </c>
      <c r="E12278" t="s">
        <v>8</v>
      </c>
      <c r="F12278">
        <v>12</v>
      </c>
      <c r="G12278">
        <v>6</v>
      </c>
      <c r="H12278">
        <f t="shared" si="385"/>
        <v>6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1718</v>
      </c>
      <c r="E12279" t="s">
        <v>8</v>
      </c>
      <c r="F12279">
        <v>10</v>
      </c>
      <c r="G12279">
        <v>6</v>
      </c>
      <c r="H12279">
        <f t="shared" si="385"/>
        <v>4</v>
      </c>
    </row>
    <row r="12280" spans="1:8" x14ac:dyDescent="0.2">
      <c r="A12280" t="s">
        <v>7</v>
      </c>
      <c r="B12280" t="s">
        <v>32</v>
      </c>
      <c r="C12280" t="str">
        <f t="shared" si="386"/>
        <v>No cumple</v>
      </c>
      <c r="D12280">
        <v>2039</v>
      </c>
      <c r="E12280" t="s">
        <v>8</v>
      </c>
      <c r="F12280">
        <v>4</v>
      </c>
      <c r="G12280">
        <v>6</v>
      </c>
      <c r="H12280">
        <f t="shared" si="385"/>
        <v>-2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2082</v>
      </c>
      <c r="E12281" t="s">
        <v>8</v>
      </c>
      <c r="F12281">
        <v>11</v>
      </c>
      <c r="G12281">
        <v>6</v>
      </c>
      <c r="H12281">
        <f t="shared" si="385"/>
        <v>5</v>
      </c>
    </row>
    <row r="12282" spans="1:8" x14ac:dyDescent="0.2">
      <c r="A12282" t="s">
        <v>7</v>
      </c>
      <c r="B12282" t="s">
        <v>32</v>
      </c>
      <c r="C12282" t="str">
        <f t="shared" si="386"/>
        <v>Cumple</v>
      </c>
      <c r="D12282">
        <v>2912</v>
      </c>
      <c r="E12282" t="s">
        <v>8</v>
      </c>
      <c r="F12282">
        <v>6</v>
      </c>
      <c r="G12282">
        <v>6</v>
      </c>
      <c r="H12282">
        <f t="shared" si="385"/>
        <v>0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2916</v>
      </c>
      <c r="E12283" t="s">
        <v>8</v>
      </c>
      <c r="F12283">
        <v>6</v>
      </c>
      <c r="G12283">
        <v>6</v>
      </c>
      <c r="H12283">
        <f t="shared" si="385"/>
        <v>0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3458</v>
      </c>
      <c r="E12284" t="s">
        <v>8</v>
      </c>
      <c r="F12284">
        <v>11</v>
      </c>
      <c r="G12284">
        <v>6</v>
      </c>
      <c r="H12284">
        <f t="shared" si="385"/>
        <v>5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3655</v>
      </c>
      <c r="E12285" t="s">
        <v>8</v>
      </c>
      <c r="F12285">
        <v>10</v>
      </c>
      <c r="G12285">
        <v>6</v>
      </c>
      <c r="H12285">
        <f t="shared" si="385"/>
        <v>4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9074</v>
      </c>
      <c r="E12286" t="s">
        <v>8</v>
      </c>
      <c r="F12286">
        <v>7</v>
      </c>
      <c r="G12286">
        <v>6</v>
      </c>
      <c r="H12286">
        <f t="shared" si="385"/>
        <v>1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9159</v>
      </c>
      <c r="E12287" t="s">
        <v>8</v>
      </c>
      <c r="F12287">
        <v>14</v>
      </c>
      <c r="G12287">
        <v>6</v>
      </c>
      <c r="H12287">
        <f t="shared" si="385"/>
        <v>8</v>
      </c>
    </row>
    <row r="12288" spans="1:8" x14ac:dyDescent="0.2">
      <c r="A12288" t="s">
        <v>7</v>
      </c>
      <c r="B12288" t="s">
        <v>32</v>
      </c>
      <c r="C12288" t="str">
        <f t="shared" si="386"/>
        <v>No cumple</v>
      </c>
      <c r="D12288">
        <v>9174</v>
      </c>
      <c r="E12288" t="s">
        <v>8</v>
      </c>
      <c r="F12288">
        <v>4</v>
      </c>
      <c r="G12288">
        <v>6</v>
      </c>
      <c r="H12288">
        <f t="shared" si="385"/>
        <v>-2</v>
      </c>
    </row>
    <row r="12289" spans="1:8" x14ac:dyDescent="0.2">
      <c r="A12289" t="s">
        <v>7</v>
      </c>
      <c r="B12289" t="s">
        <v>32</v>
      </c>
      <c r="C12289" t="str">
        <f t="shared" si="386"/>
        <v>No cumple</v>
      </c>
      <c r="D12289">
        <v>9226</v>
      </c>
      <c r="E12289" t="s">
        <v>8</v>
      </c>
      <c r="F12289">
        <v>4</v>
      </c>
      <c r="G12289">
        <v>8</v>
      </c>
      <c r="H12289">
        <f t="shared" si="385"/>
        <v>-4</v>
      </c>
    </row>
    <row r="12290" spans="1:8" x14ac:dyDescent="0.2">
      <c r="A12290" t="s">
        <v>7</v>
      </c>
      <c r="B12290" t="s">
        <v>32</v>
      </c>
      <c r="C12290" t="str">
        <f t="shared" si="386"/>
        <v>Cumple</v>
      </c>
      <c r="D12290">
        <v>9609</v>
      </c>
      <c r="E12290" t="s">
        <v>8</v>
      </c>
      <c r="F12290">
        <v>10</v>
      </c>
      <c r="G12290">
        <v>6</v>
      </c>
      <c r="H12290">
        <f t="shared" ref="H12290:H12353" si="387">F12290-G12290</f>
        <v>4</v>
      </c>
    </row>
    <row r="12291" spans="1:8" x14ac:dyDescent="0.2">
      <c r="A12291" t="s">
        <v>7</v>
      </c>
      <c r="B12291" t="s">
        <v>32</v>
      </c>
      <c r="C12291" t="str">
        <f t="shared" si="386"/>
        <v>Cumple</v>
      </c>
      <c r="D12291">
        <v>9641</v>
      </c>
      <c r="E12291" t="s">
        <v>8</v>
      </c>
      <c r="F12291">
        <v>10</v>
      </c>
      <c r="G12291">
        <v>6</v>
      </c>
      <c r="H12291">
        <f t="shared" si="387"/>
        <v>4</v>
      </c>
    </row>
    <row r="12292" spans="1:8" x14ac:dyDescent="0.2">
      <c r="A12292" t="s">
        <v>7</v>
      </c>
      <c r="B12292" t="s">
        <v>32</v>
      </c>
      <c r="C12292" t="str">
        <f t="shared" ref="C12292:C12355" si="388">IF(H12292&gt;=0,"Cumple","No cumple")</f>
        <v>No cumple</v>
      </c>
      <c r="D12292">
        <v>2776</v>
      </c>
      <c r="E12292" t="s">
        <v>8</v>
      </c>
      <c r="F12292">
        <v>5</v>
      </c>
      <c r="G12292">
        <v>6</v>
      </c>
      <c r="H12292">
        <f t="shared" si="387"/>
        <v>-1</v>
      </c>
    </row>
    <row r="12293" spans="1:8" x14ac:dyDescent="0.2">
      <c r="A12293" t="s">
        <v>7</v>
      </c>
      <c r="B12293" t="s">
        <v>32</v>
      </c>
      <c r="C12293" t="str">
        <f t="shared" si="388"/>
        <v>Cumple</v>
      </c>
      <c r="D12293">
        <v>2923</v>
      </c>
      <c r="E12293" t="s">
        <v>8</v>
      </c>
      <c r="F12293">
        <v>8</v>
      </c>
      <c r="G12293">
        <v>6</v>
      </c>
      <c r="H12293">
        <f t="shared" si="387"/>
        <v>2</v>
      </c>
    </row>
    <row r="12294" spans="1:8" x14ac:dyDescent="0.2">
      <c r="A12294" t="s">
        <v>7</v>
      </c>
      <c r="B12294" t="s">
        <v>32</v>
      </c>
      <c r="C12294" t="str">
        <f t="shared" si="388"/>
        <v>Cumple</v>
      </c>
      <c r="D12294">
        <v>361</v>
      </c>
      <c r="E12294" t="s">
        <v>8</v>
      </c>
      <c r="F12294">
        <v>8</v>
      </c>
      <c r="G12294">
        <v>6</v>
      </c>
      <c r="H12294">
        <f t="shared" si="387"/>
        <v>2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507</v>
      </c>
      <c r="E12295" t="s">
        <v>8</v>
      </c>
      <c r="F12295">
        <v>6</v>
      </c>
      <c r="G12295">
        <v>6</v>
      </c>
      <c r="H12295">
        <f t="shared" si="387"/>
        <v>0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529</v>
      </c>
      <c r="E12296" t="s">
        <v>8</v>
      </c>
      <c r="F12296">
        <v>6</v>
      </c>
      <c r="G12296">
        <v>6</v>
      </c>
      <c r="H12296">
        <f t="shared" si="387"/>
        <v>0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553</v>
      </c>
      <c r="E12297" t="s">
        <v>8</v>
      </c>
      <c r="F12297">
        <v>9</v>
      </c>
      <c r="G12297">
        <v>6</v>
      </c>
      <c r="H12297">
        <f t="shared" si="387"/>
        <v>3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1406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1779</v>
      </c>
      <c r="E12299" t="s">
        <v>8</v>
      </c>
      <c r="F12299">
        <v>6</v>
      </c>
      <c r="G12299">
        <v>6</v>
      </c>
      <c r="H12299">
        <f t="shared" si="387"/>
        <v>0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2321</v>
      </c>
      <c r="E12300" t="s">
        <v>8</v>
      </c>
      <c r="F12300">
        <v>13</v>
      </c>
      <c r="G12300">
        <v>6</v>
      </c>
      <c r="H12300">
        <f t="shared" si="387"/>
        <v>7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2410</v>
      </c>
      <c r="E12301" t="s">
        <v>8</v>
      </c>
      <c r="F12301">
        <v>8</v>
      </c>
      <c r="G12301">
        <v>6</v>
      </c>
      <c r="H12301">
        <f t="shared" si="387"/>
        <v>2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2631</v>
      </c>
      <c r="E12302" t="s">
        <v>8</v>
      </c>
      <c r="F12302">
        <v>11</v>
      </c>
      <c r="G12302">
        <v>6</v>
      </c>
      <c r="H12302">
        <f t="shared" si="387"/>
        <v>5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2672</v>
      </c>
      <c r="E12303" t="s">
        <v>8</v>
      </c>
      <c r="F12303" s="9">
        <v>6</v>
      </c>
      <c r="G12303" s="9">
        <v>6</v>
      </c>
      <c r="H12303">
        <f t="shared" si="387"/>
        <v>0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2763</v>
      </c>
      <c r="E12304" t="s">
        <v>8</v>
      </c>
      <c r="F12304">
        <v>8</v>
      </c>
      <c r="G12304">
        <v>6</v>
      </c>
      <c r="H12304">
        <f t="shared" si="387"/>
        <v>2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2790</v>
      </c>
      <c r="E12305" t="s">
        <v>8</v>
      </c>
      <c r="F12305">
        <v>8</v>
      </c>
      <c r="G12305">
        <v>6</v>
      </c>
      <c r="H12305">
        <f t="shared" si="387"/>
        <v>2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2836</v>
      </c>
      <c r="E12306" t="s">
        <v>8</v>
      </c>
      <c r="F12306">
        <v>23</v>
      </c>
      <c r="G12306">
        <v>6</v>
      </c>
      <c r="H12306">
        <f t="shared" si="387"/>
        <v>17</v>
      </c>
    </row>
    <row r="12307" spans="1:8" x14ac:dyDescent="0.2">
      <c r="A12307" t="s">
        <v>7</v>
      </c>
      <c r="B12307" t="s">
        <v>32</v>
      </c>
      <c r="C12307" t="str">
        <f t="shared" si="388"/>
        <v>No cumple</v>
      </c>
      <c r="D12307">
        <v>2871</v>
      </c>
      <c r="E12307" t="s">
        <v>8</v>
      </c>
      <c r="F12307">
        <v>3</v>
      </c>
      <c r="G12307">
        <v>6</v>
      </c>
      <c r="H12307">
        <f t="shared" si="387"/>
        <v>-3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3575</v>
      </c>
      <c r="E12308" t="s">
        <v>8</v>
      </c>
      <c r="F12308">
        <v>7</v>
      </c>
      <c r="G12308">
        <v>6</v>
      </c>
      <c r="H12308">
        <f t="shared" si="387"/>
        <v>1</v>
      </c>
    </row>
    <row r="12309" spans="1:8" x14ac:dyDescent="0.2">
      <c r="A12309" t="s">
        <v>7</v>
      </c>
      <c r="B12309" t="s">
        <v>32</v>
      </c>
      <c r="C12309" t="str">
        <f t="shared" si="388"/>
        <v>Cumple</v>
      </c>
      <c r="D12309">
        <v>3880</v>
      </c>
      <c r="E12309" t="s">
        <v>8</v>
      </c>
      <c r="F12309">
        <v>6</v>
      </c>
      <c r="G12309">
        <v>6</v>
      </c>
      <c r="H12309">
        <f t="shared" si="387"/>
        <v>0</v>
      </c>
    </row>
    <row r="12310" spans="1:8" x14ac:dyDescent="0.2">
      <c r="A12310" t="s">
        <v>7</v>
      </c>
      <c r="B12310" t="s">
        <v>32</v>
      </c>
      <c r="C12310" t="str">
        <f t="shared" si="388"/>
        <v>No cumple</v>
      </c>
      <c r="D12310">
        <v>3904</v>
      </c>
      <c r="E12310" t="s">
        <v>8</v>
      </c>
      <c r="F12310">
        <v>5</v>
      </c>
      <c r="G12310">
        <v>6</v>
      </c>
      <c r="H12310">
        <f t="shared" si="387"/>
        <v>-1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7027</v>
      </c>
      <c r="E12311" t="s">
        <v>8</v>
      </c>
      <c r="F12311">
        <v>8</v>
      </c>
      <c r="G12311">
        <v>6</v>
      </c>
      <c r="H12311">
        <f t="shared" si="387"/>
        <v>2</v>
      </c>
    </row>
    <row r="12312" spans="1:8" x14ac:dyDescent="0.2">
      <c r="A12312" t="s">
        <v>7</v>
      </c>
      <c r="B12312" t="s">
        <v>32</v>
      </c>
      <c r="C12312" t="str">
        <f t="shared" si="388"/>
        <v>Cumple</v>
      </c>
      <c r="D12312">
        <v>9119</v>
      </c>
      <c r="E12312" t="s">
        <v>8</v>
      </c>
      <c r="F12312">
        <v>11</v>
      </c>
      <c r="G12312">
        <v>6</v>
      </c>
      <c r="H12312">
        <f t="shared" si="387"/>
        <v>5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9231</v>
      </c>
      <c r="E12313" t="s">
        <v>8</v>
      </c>
      <c r="F12313">
        <v>11</v>
      </c>
      <c r="G12313">
        <v>6</v>
      </c>
      <c r="H12313">
        <f t="shared" si="387"/>
        <v>5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9320</v>
      </c>
      <c r="E12314" t="s">
        <v>8</v>
      </c>
      <c r="F12314">
        <v>6</v>
      </c>
      <c r="G12314">
        <v>6</v>
      </c>
      <c r="H12314">
        <f t="shared" si="387"/>
        <v>0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9484</v>
      </c>
      <c r="E12315" t="s">
        <v>8</v>
      </c>
      <c r="F12315">
        <v>9</v>
      </c>
      <c r="G12315">
        <v>6</v>
      </c>
      <c r="H12315">
        <f t="shared" si="387"/>
        <v>3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9617</v>
      </c>
      <c r="E12316" t="s">
        <v>8</v>
      </c>
      <c r="F12316">
        <v>8</v>
      </c>
      <c r="G12316">
        <v>6</v>
      </c>
      <c r="H12316">
        <f t="shared" si="387"/>
        <v>2</v>
      </c>
    </row>
    <row r="12317" spans="1:8" x14ac:dyDescent="0.2">
      <c r="A12317" t="s">
        <v>7</v>
      </c>
      <c r="B12317" t="s">
        <v>32</v>
      </c>
      <c r="C12317" t="str">
        <f t="shared" si="388"/>
        <v>No cumple</v>
      </c>
      <c r="D12317">
        <v>9839</v>
      </c>
      <c r="E12317" t="s">
        <v>8</v>
      </c>
      <c r="F12317">
        <v>4</v>
      </c>
      <c r="G12317">
        <v>6</v>
      </c>
      <c r="H12317">
        <f t="shared" si="387"/>
        <v>-2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3990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Cumple</v>
      </c>
      <c r="D12319">
        <v>4037</v>
      </c>
      <c r="E12319" t="s">
        <v>8</v>
      </c>
      <c r="F12319">
        <v>10</v>
      </c>
      <c r="G12319">
        <v>6</v>
      </c>
      <c r="H12319">
        <f t="shared" si="387"/>
        <v>4</v>
      </c>
    </row>
    <row r="12320" spans="1:8" x14ac:dyDescent="0.2">
      <c r="A12320" t="s">
        <v>7</v>
      </c>
      <c r="B12320" t="s">
        <v>32</v>
      </c>
      <c r="C12320" t="str">
        <f t="shared" si="388"/>
        <v>No cumple</v>
      </c>
      <c r="D12320">
        <v>2905</v>
      </c>
      <c r="E12320" t="s">
        <v>8</v>
      </c>
      <c r="F12320">
        <v>5</v>
      </c>
      <c r="G12320">
        <v>6</v>
      </c>
      <c r="H12320">
        <f t="shared" si="387"/>
        <v>-1</v>
      </c>
    </row>
    <row r="12321" spans="1:8" x14ac:dyDescent="0.2">
      <c r="A12321" t="s">
        <v>7</v>
      </c>
      <c r="B12321" t="s">
        <v>32</v>
      </c>
      <c r="C12321" t="str">
        <f t="shared" si="388"/>
        <v>No cumple</v>
      </c>
      <c r="D12321">
        <v>504</v>
      </c>
      <c r="E12321" t="s">
        <v>8</v>
      </c>
      <c r="F12321">
        <v>2</v>
      </c>
      <c r="G12321">
        <v>6</v>
      </c>
      <c r="H12321">
        <f t="shared" si="387"/>
        <v>-4</v>
      </c>
    </row>
    <row r="12322" spans="1:8" x14ac:dyDescent="0.2">
      <c r="A12322" t="s">
        <v>7</v>
      </c>
      <c r="B12322" t="s">
        <v>32</v>
      </c>
      <c r="C12322" t="str">
        <f t="shared" si="388"/>
        <v>Cumple</v>
      </c>
      <c r="D12322">
        <v>659</v>
      </c>
      <c r="E12322" t="s">
        <v>8</v>
      </c>
      <c r="F12322" s="39">
        <v>6</v>
      </c>
      <c r="G12322">
        <v>6</v>
      </c>
      <c r="H12322">
        <f t="shared" si="387"/>
        <v>0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1713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No cumple</v>
      </c>
      <c r="D12324">
        <v>1826</v>
      </c>
      <c r="E12324" t="s">
        <v>8</v>
      </c>
      <c r="F12324">
        <v>4</v>
      </c>
      <c r="G12324">
        <v>6</v>
      </c>
      <c r="H12324">
        <f t="shared" si="387"/>
        <v>-2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2102</v>
      </c>
      <c r="E12325" t="s">
        <v>8</v>
      </c>
      <c r="F12325">
        <v>3</v>
      </c>
      <c r="G12325">
        <v>6</v>
      </c>
      <c r="H12325">
        <f t="shared" si="387"/>
        <v>-3</v>
      </c>
    </row>
    <row r="12326" spans="1:8" x14ac:dyDescent="0.2">
      <c r="A12326" t="s">
        <v>7</v>
      </c>
      <c r="B12326" t="s">
        <v>32</v>
      </c>
      <c r="C12326" t="str">
        <f t="shared" si="388"/>
        <v>Cumple</v>
      </c>
      <c r="D12326">
        <v>2367</v>
      </c>
      <c r="E12326" t="s">
        <v>8</v>
      </c>
      <c r="F12326">
        <v>15</v>
      </c>
      <c r="G12326">
        <v>6</v>
      </c>
      <c r="H12326">
        <f t="shared" si="387"/>
        <v>9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2390</v>
      </c>
      <c r="E12327" t="s">
        <v>8</v>
      </c>
      <c r="F12327">
        <v>5</v>
      </c>
      <c r="G12327">
        <v>6</v>
      </c>
      <c r="H12327">
        <f t="shared" si="387"/>
        <v>-1</v>
      </c>
    </row>
    <row r="12328" spans="1:8" x14ac:dyDescent="0.2">
      <c r="A12328" t="s">
        <v>7</v>
      </c>
      <c r="B12328" t="s">
        <v>32</v>
      </c>
      <c r="C12328" t="str">
        <f t="shared" si="388"/>
        <v>No cumple</v>
      </c>
      <c r="D12328">
        <v>2753</v>
      </c>
      <c r="E12328" t="s">
        <v>8</v>
      </c>
      <c r="F12328">
        <v>5</v>
      </c>
      <c r="G12328">
        <v>6</v>
      </c>
      <c r="H12328">
        <f t="shared" si="387"/>
        <v>-1</v>
      </c>
    </row>
    <row r="12329" spans="1:8" x14ac:dyDescent="0.2">
      <c r="A12329" t="s">
        <v>7</v>
      </c>
      <c r="B12329" t="s">
        <v>32</v>
      </c>
      <c r="C12329" t="str">
        <f t="shared" si="388"/>
        <v>Cumple</v>
      </c>
      <c r="D12329">
        <v>2755</v>
      </c>
      <c r="E12329" t="s">
        <v>8</v>
      </c>
      <c r="F12329">
        <v>7</v>
      </c>
      <c r="G12329">
        <v>6</v>
      </c>
      <c r="H12329">
        <f t="shared" si="387"/>
        <v>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3368</v>
      </c>
      <c r="E12330" t="s">
        <v>8</v>
      </c>
      <c r="F12330">
        <v>4</v>
      </c>
      <c r="G12330">
        <v>6</v>
      </c>
      <c r="H12330">
        <f t="shared" si="387"/>
        <v>-2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3940</v>
      </c>
      <c r="E12331" t="s">
        <v>8</v>
      </c>
      <c r="F12331">
        <v>13</v>
      </c>
      <c r="G12331">
        <v>6</v>
      </c>
      <c r="H12331">
        <f t="shared" si="387"/>
        <v>7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9031</v>
      </c>
      <c r="E12332" t="s">
        <v>8</v>
      </c>
      <c r="F12332">
        <v>3</v>
      </c>
      <c r="G12332">
        <v>6</v>
      </c>
      <c r="H12332">
        <f t="shared" si="387"/>
        <v>-3</v>
      </c>
    </row>
    <row r="12333" spans="1:8" x14ac:dyDescent="0.2">
      <c r="A12333" t="s">
        <v>7</v>
      </c>
      <c r="B12333" t="s">
        <v>32</v>
      </c>
      <c r="C12333" t="str">
        <f t="shared" si="388"/>
        <v>No cumple</v>
      </c>
      <c r="D12333">
        <v>9082</v>
      </c>
      <c r="E12333" t="s">
        <v>8</v>
      </c>
      <c r="F12333">
        <v>2</v>
      </c>
      <c r="G12333">
        <v>6</v>
      </c>
      <c r="H12333">
        <f t="shared" si="387"/>
        <v>-4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9200</v>
      </c>
      <c r="E12334" t="s">
        <v>8</v>
      </c>
      <c r="F12334">
        <v>2</v>
      </c>
      <c r="G12334">
        <v>6</v>
      </c>
      <c r="H12334">
        <f t="shared" si="387"/>
        <v>-4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9468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Cumple</v>
      </c>
      <c r="D12336">
        <v>9470</v>
      </c>
      <c r="E12336" t="s">
        <v>8</v>
      </c>
      <c r="F12336">
        <v>9</v>
      </c>
      <c r="G12336">
        <v>6</v>
      </c>
      <c r="H12336">
        <f t="shared" si="387"/>
        <v>3</v>
      </c>
    </row>
    <row r="12337" spans="1:8" x14ac:dyDescent="0.2">
      <c r="A12337" t="s">
        <v>7</v>
      </c>
      <c r="B12337" t="s">
        <v>32</v>
      </c>
      <c r="C12337" t="str">
        <f t="shared" si="388"/>
        <v>No cumple</v>
      </c>
      <c r="D12337">
        <v>9794</v>
      </c>
      <c r="E12337" t="s">
        <v>8</v>
      </c>
      <c r="F12337">
        <v>3</v>
      </c>
      <c r="G12337">
        <v>6</v>
      </c>
      <c r="H12337">
        <f t="shared" si="387"/>
        <v>-3</v>
      </c>
    </row>
    <row r="12338" spans="1:8" x14ac:dyDescent="0.2">
      <c r="A12338" t="s">
        <v>7</v>
      </c>
      <c r="B12338" t="s">
        <v>32</v>
      </c>
      <c r="C12338" t="str">
        <f t="shared" si="388"/>
        <v>No cumple</v>
      </c>
      <c r="D12338">
        <v>2194</v>
      </c>
      <c r="E12338" t="s">
        <v>8</v>
      </c>
      <c r="F12338">
        <v>2</v>
      </c>
      <c r="G12338">
        <v>6</v>
      </c>
      <c r="H12338">
        <f t="shared" si="387"/>
        <v>-4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208</v>
      </c>
      <c r="E12339" t="s">
        <v>8</v>
      </c>
      <c r="F12339">
        <v>2</v>
      </c>
      <c r="G12339">
        <v>6</v>
      </c>
      <c r="H12339">
        <f t="shared" si="387"/>
        <v>-4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301</v>
      </c>
      <c r="E12340" t="s">
        <v>8</v>
      </c>
      <c r="F12340">
        <v>4</v>
      </c>
      <c r="G12340">
        <v>6</v>
      </c>
      <c r="H12340">
        <f t="shared" si="387"/>
        <v>-2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307</v>
      </c>
      <c r="E12341" t="s">
        <v>8</v>
      </c>
      <c r="F12341">
        <v>3</v>
      </c>
      <c r="G12341">
        <v>6</v>
      </c>
      <c r="H12341">
        <f t="shared" si="387"/>
        <v>-3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331</v>
      </c>
      <c r="E12342" t="s">
        <v>8</v>
      </c>
      <c r="F12342">
        <v>1</v>
      </c>
      <c r="G12342">
        <v>6</v>
      </c>
      <c r="H12342">
        <f t="shared" si="387"/>
        <v>-5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517</v>
      </c>
      <c r="E12343" t="s">
        <v>8</v>
      </c>
      <c r="F12343">
        <v>1</v>
      </c>
      <c r="G12343">
        <v>6</v>
      </c>
      <c r="H12343">
        <f t="shared" si="387"/>
        <v>-5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559</v>
      </c>
      <c r="E12344" t="s">
        <v>8</v>
      </c>
      <c r="F12344">
        <v>4</v>
      </c>
      <c r="G12344">
        <v>6</v>
      </c>
      <c r="H12344">
        <f t="shared" si="387"/>
        <v>-2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692</v>
      </c>
      <c r="E12345" t="s">
        <v>8</v>
      </c>
      <c r="F12345">
        <v>4</v>
      </c>
      <c r="G12345">
        <v>6</v>
      </c>
      <c r="H12345">
        <f t="shared" si="387"/>
        <v>-2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761</v>
      </c>
      <c r="E12346" t="s">
        <v>8</v>
      </c>
      <c r="F12346">
        <v>2</v>
      </c>
      <c r="G12346">
        <v>6</v>
      </c>
      <c r="H12346">
        <f t="shared" si="387"/>
        <v>-4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1785</v>
      </c>
      <c r="E12347" t="s">
        <v>8</v>
      </c>
      <c r="F12347">
        <v>3</v>
      </c>
      <c r="G12347">
        <v>6</v>
      </c>
      <c r="H12347">
        <f t="shared" si="387"/>
        <v>-3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1790</v>
      </c>
      <c r="E12348" t="s">
        <v>8</v>
      </c>
      <c r="F12348">
        <v>1</v>
      </c>
      <c r="G12348">
        <v>6</v>
      </c>
      <c r="H12348">
        <f t="shared" si="387"/>
        <v>-5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2189</v>
      </c>
      <c r="E12349" t="s">
        <v>8</v>
      </c>
      <c r="F12349">
        <v>1</v>
      </c>
      <c r="G12349">
        <v>6</v>
      </c>
      <c r="H12349">
        <f t="shared" si="387"/>
        <v>-5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2227</v>
      </c>
      <c r="E12350" t="s">
        <v>8</v>
      </c>
      <c r="F12350">
        <v>2</v>
      </c>
      <c r="G12350">
        <v>6</v>
      </c>
      <c r="H12350">
        <f t="shared" si="387"/>
        <v>-4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2239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Cumple</v>
      </c>
      <c r="D12352">
        <v>2331</v>
      </c>
      <c r="E12352" t="s">
        <v>8</v>
      </c>
      <c r="F12352">
        <v>6</v>
      </c>
      <c r="G12352">
        <v>6</v>
      </c>
      <c r="H12352">
        <f t="shared" si="387"/>
        <v>0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2421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No cumple</v>
      </c>
      <c r="D12354">
        <v>2463</v>
      </c>
      <c r="E12354" t="s">
        <v>8</v>
      </c>
      <c r="F12354">
        <v>2</v>
      </c>
      <c r="G12354">
        <v>6</v>
      </c>
      <c r="H12354">
        <f t="shared" ref="H12354:H12417" si="389">F12354-G12354</f>
        <v>-4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2479</v>
      </c>
      <c r="E12355" t="s">
        <v>8</v>
      </c>
      <c r="F12355">
        <v>1</v>
      </c>
      <c r="G12355">
        <v>6</v>
      </c>
      <c r="H12355">
        <f t="shared" si="389"/>
        <v>-5</v>
      </c>
    </row>
    <row r="12356" spans="1:8" x14ac:dyDescent="0.2">
      <c r="A12356" t="s">
        <v>7</v>
      </c>
      <c r="B12356" t="s">
        <v>32</v>
      </c>
      <c r="C12356" t="str">
        <f t="shared" ref="C12356:C12419" si="390">IF(H12356&gt;=0,"Cumple","No cumple")</f>
        <v>No cumple</v>
      </c>
      <c r="D12356">
        <v>2546</v>
      </c>
      <c r="E12356" t="s">
        <v>8</v>
      </c>
      <c r="F12356">
        <v>1</v>
      </c>
      <c r="G12356">
        <v>6</v>
      </c>
      <c r="H12356">
        <f t="shared" si="389"/>
        <v>-5</v>
      </c>
    </row>
    <row r="12357" spans="1:8" x14ac:dyDescent="0.2">
      <c r="A12357" t="s">
        <v>7</v>
      </c>
      <c r="B12357" t="s">
        <v>32</v>
      </c>
      <c r="C12357" t="str">
        <f t="shared" si="390"/>
        <v>No cumple</v>
      </c>
      <c r="D12357">
        <v>2784</v>
      </c>
      <c r="E12357" t="s">
        <v>8</v>
      </c>
      <c r="F12357">
        <v>4</v>
      </c>
      <c r="G12357">
        <v>6</v>
      </c>
      <c r="H12357">
        <f t="shared" si="389"/>
        <v>-2</v>
      </c>
    </row>
    <row r="12358" spans="1:8" x14ac:dyDescent="0.2">
      <c r="A12358" t="s">
        <v>7</v>
      </c>
      <c r="B12358" t="s">
        <v>32</v>
      </c>
      <c r="C12358" t="str">
        <f t="shared" si="390"/>
        <v>No cumple</v>
      </c>
      <c r="D12358">
        <v>3049</v>
      </c>
      <c r="E12358" t="s">
        <v>8</v>
      </c>
      <c r="F12358">
        <v>4</v>
      </c>
      <c r="G12358">
        <v>6</v>
      </c>
      <c r="H12358">
        <f t="shared" si="389"/>
        <v>-2</v>
      </c>
    </row>
    <row r="12359" spans="1:8" x14ac:dyDescent="0.2">
      <c r="A12359" t="s">
        <v>7</v>
      </c>
      <c r="B12359" t="s">
        <v>32</v>
      </c>
      <c r="C12359" t="str">
        <f t="shared" si="390"/>
        <v>Cumple</v>
      </c>
      <c r="D12359">
        <v>3559</v>
      </c>
      <c r="E12359" t="s">
        <v>8</v>
      </c>
      <c r="F12359">
        <v>6</v>
      </c>
      <c r="G12359">
        <v>6</v>
      </c>
      <c r="H12359">
        <f t="shared" si="389"/>
        <v>0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3629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No cumple</v>
      </c>
      <c r="D12361">
        <v>3802</v>
      </c>
      <c r="E12361" t="s">
        <v>8</v>
      </c>
      <c r="F12361">
        <v>1</v>
      </c>
      <c r="G12361">
        <v>6</v>
      </c>
      <c r="H12361">
        <f t="shared" si="389"/>
        <v>-5</v>
      </c>
    </row>
    <row r="12362" spans="1:8" x14ac:dyDescent="0.2">
      <c r="A12362" t="s">
        <v>7</v>
      </c>
      <c r="B12362" t="s">
        <v>32</v>
      </c>
      <c r="C12362" t="str">
        <f t="shared" si="390"/>
        <v>Cumple</v>
      </c>
      <c r="D12362">
        <v>3820</v>
      </c>
      <c r="E12362" t="s">
        <v>8</v>
      </c>
      <c r="F12362">
        <v>9</v>
      </c>
      <c r="G12362">
        <v>6</v>
      </c>
      <c r="H12362">
        <f t="shared" si="389"/>
        <v>3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3858</v>
      </c>
      <c r="E12363" t="s">
        <v>8</v>
      </c>
      <c r="F12363">
        <v>2</v>
      </c>
      <c r="G12363">
        <v>6</v>
      </c>
      <c r="H12363">
        <f t="shared" si="389"/>
        <v>-4</v>
      </c>
    </row>
    <row r="12364" spans="1:8" x14ac:dyDescent="0.2">
      <c r="A12364" t="s">
        <v>7</v>
      </c>
      <c r="B12364" t="s">
        <v>32</v>
      </c>
      <c r="C12364" t="str">
        <f t="shared" si="390"/>
        <v>No cumple</v>
      </c>
      <c r="D12364">
        <v>3875</v>
      </c>
      <c r="E12364" t="s">
        <v>8</v>
      </c>
      <c r="F12364">
        <v>3</v>
      </c>
      <c r="G12364">
        <v>6</v>
      </c>
      <c r="H12364">
        <f t="shared" si="389"/>
        <v>-3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3902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3909</v>
      </c>
      <c r="E12366" t="s">
        <v>8</v>
      </c>
      <c r="F12366">
        <v>2</v>
      </c>
      <c r="G12366">
        <v>6</v>
      </c>
      <c r="H12366">
        <f t="shared" si="389"/>
        <v>-4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3919</v>
      </c>
      <c r="E12367" t="s">
        <v>8</v>
      </c>
      <c r="F12367">
        <v>1</v>
      </c>
      <c r="G12367">
        <v>6</v>
      </c>
      <c r="H12367">
        <f t="shared" si="389"/>
        <v>-5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3929</v>
      </c>
      <c r="E12368" t="s">
        <v>8</v>
      </c>
      <c r="F12368">
        <v>1</v>
      </c>
      <c r="G12368">
        <v>6</v>
      </c>
      <c r="H12368">
        <f t="shared" si="389"/>
        <v>-5</v>
      </c>
    </row>
    <row r="12369" spans="1:8" x14ac:dyDescent="0.2">
      <c r="A12369" t="s">
        <v>7</v>
      </c>
      <c r="B12369" t="s">
        <v>32</v>
      </c>
      <c r="C12369" t="str">
        <f t="shared" si="390"/>
        <v>Cumple</v>
      </c>
      <c r="D12369">
        <v>3962</v>
      </c>
      <c r="E12369" t="s">
        <v>8</v>
      </c>
      <c r="F12369">
        <v>6</v>
      </c>
      <c r="G12369">
        <v>6</v>
      </c>
      <c r="H12369">
        <f t="shared" si="389"/>
        <v>0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5002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No cumple</v>
      </c>
      <c r="D12371">
        <v>9022</v>
      </c>
      <c r="E12371" t="s">
        <v>8</v>
      </c>
      <c r="F12371">
        <v>1</v>
      </c>
      <c r="G12371">
        <v>6</v>
      </c>
      <c r="H12371">
        <f t="shared" si="389"/>
        <v>-5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9121</v>
      </c>
      <c r="E12372" t="s">
        <v>8</v>
      </c>
      <c r="F12372">
        <v>2</v>
      </c>
      <c r="G12372">
        <v>6</v>
      </c>
      <c r="H12372">
        <f t="shared" si="389"/>
        <v>-4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9177</v>
      </c>
      <c r="E12373" t="s">
        <v>8</v>
      </c>
      <c r="F12373">
        <v>3</v>
      </c>
      <c r="G12373">
        <v>6</v>
      </c>
      <c r="H12373">
        <f t="shared" si="389"/>
        <v>-3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9329</v>
      </c>
      <c r="E12374" t="s">
        <v>8</v>
      </c>
      <c r="F12374">
        <v>4</v>
      </c>
      <c r="G12374">
        <v>6</v>
      </c>
      <c r="H12374">
        <f t="shared" si="389"/>
        <v>-2</v>
      </c>
    </row>
    <row r="12375" spans="1:8" x14ac:dyDescent="0.2">
      <c r="A12375" t="s">
        <v>7</v>
      </c>
      <c r="B12375" t="s">
        <v>32</v>
      </c>
      <c r="C12375" t="str">
        <f t="shared" si="390"/>
        <v>Cumple</v>
      </c>
      <c r="D12375">
        <v>9364</v>
      </c>
      <c r="E12375" t="s">
        <v>8</v>
      </c>
      <c r="F12375">
        <v>8</v>
      </c>
      <c r="G12375">
        <v>6</v>
      </c>
      <c r="H12375">
        <f t="shared" si="389"/>
        <v>2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9365</v>
      </c>
      <c r="E12376" t="s">
        <v>8</v>
      </c>
      <c r="F12376">
        <v>3</v>
      </c>
      <c r="G12376">
        <v>6</v>
      </c>
      <c r="H12376">
        <f t="shared" si="389"/>
        <v>-3</v>
      </c>
    </row>
    <row r="12377" spans="1:8" x14ac:dyDescent="0.2">
      <c r="A12377" t="s">
        <v>7</v>
      </c>
      <c r="B12377" t="s">
        <v>32</v>
      </c>
      <c r="C12377" t="str">
        <f t="shared" si="390"/>
        <v>No cumple</v>
      </c>
      <c r="D12377">
        <v>9642</v>
      </c>
      <c r="E12377" t="s">
        <v>8</v>
      </c>
      <c r="F12377">
        <v>1</v>
      </c>
      <c r="G12377">
        <v>8</v>
      </c>
      <c r="H12377">
        <f t="shared" si="389"/>
        <v>-7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9701</v>
      </c>
      <c r="E12378" t="s">
        <v>8</v>
      </c>
      <c r="F12378">
        <v>2</v>
      </c>
      <c r="G12378">
        <v>6</v>
      </c>
      <c r="H12378">
        <f t="shared" si="389"/>
        <v>-4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9726</v>
      </c>
      <c r="E12379" t="s">
        <v>8</v>
      </c>
      <c r="F12379">
        <v>2</v>
      </c>
      <c r="G12379">
        <v>6</v>
      </c>
      <c r="H12379">
        <f t="shared" si="389"/>
        <v>-4</v>
      </c>
    </row>
    <row r="12380" spans="1:8" x14ac:dyDescent="0.2">
      <c r="A12380" t="s">
        <v>7</v>
      </c>
      <c r="B12380" t="s">
        <v>32</v>
      </c>
      <c r="C12380" t="str">
        <f t="shared" si="390"/>
        <v>Cumple</v>
      </c>
      <c r="D12380">
        <v>9740</v>
      </c>
      <c r="E12380" t="s">
        <v>8</v>
      </c>
      <c r="F12380">
        <v>7</v>
      </c>
      <c r="G12380">
        <v>6</v>
      </c>
      <c r="H12380">
        <f t="shared" si="389"/>
        <v>1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9843</v>
      </c>
      <c r="E12381" t="s">
        <v>8</v>
      </c>
      <c r="F12381">
        <v>1</v>
      </c>
      <c r="G12381">
        <v>6</v>
      </c>
      <c r="H12381">
        <f t="shared" si="389"/>
        <v>-5</v>
      </c>
    </row>
    <row r="12382" spans="1:8" x14ac:dyDescent="0.2">
      <c r="A12382" t="s">
        <v>7</v>
      </c>
      <c r="B12382" t="s">
        <v>32</v>
      </c>
      <c r="C12382" t="str">
        <f t="shared" si="390"/>
        <v>No cumple</v>
      </c>
      <c r="D12382">
        <v>9868</v>
      </c>
      <c r="E12382" t="s">
        <v>8</v>
      </c>
      <c r="F12382">
        <v>3</v>
      </c>
      <c r="G12382">
        <v>6</v>
      </c>
      <c r="H12382">
        <f t="shared" si="389"/>
        <v>-3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3995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2099</v>
      </c>
      <c r="E12384" t="s">
        <v>8</v>
      </c>
      <c r="F12384">
        <v>1</v>
      </c>
      <c r="G12384">
        <v>6</v>
      </c>
      <c r="H12384">
        <f t="shared" si="389"/>
        <v>-5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349</v>
      </c>
      <c r="E12385" t="s">
        <v>8</v>
      </c>
      <c r="F12385">
        <v>4</v>
      </c>
      <c r="G12385">
        <v>6</v>
      </c>
      <c r="H12385">
        <f t="shared" si="389"/>
        <v>-2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234</v>
      </c>
      <c r="E12386" t="s">
        <v>8</v>
      </c>
      <c r="F12386">
        <v>0</v>
      </c>
      <c r="G12386">
        <v>6</v>
      </c>
      <c r="H12386">
        <f t="shared" si="389"/>
        <v>-6</v>
      </c>
    </row>
    <row r="12387" spans="1:8" x14ac:dyDescent="0.2">
      <c r="A12387" t="s">
        <v>19</v>
      </c>
      <c r="B12387" t="s">
        <v>32</v>
      </c>
      <c r="C12387" t="str">
        <f t="shared" si="390"/>
        <v>No cumple</v>
      </c>
      <c r="D12387">
        <v>474</v>
      </c>
      <c r="E12387" t="s">
        <v>8</v>
      </c>
      <c r="F12387">
        <v>0</v>
      </c>
      <c r="G12387">
        <v>15</v>
      </c>
      <c r="H12387">
        <f t="shared" si="389"/>
        <v>-15</v>
      </c>
    </row>
    <row r="12388" spans="1:8" x14ac:dyDescent="0.2">
      <c r="A12388" t="s">
        <v>18</v>
      </c>
      <c r="B12388" t="s">
        <v>32</v>
      </c>
      <c r="C12388" t="str">
        <f t="shared" si="390"/>
        <v>No cumple</v>
      </c>
      <c r="D12388">
        <v>479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521</v>
      </c>
      <c r="E12389" t="s">
        <v>8</v>
      </c>
      <c r="F12389">
        <v>0</v>
      </c>
      <c r="G12389">
        <v>6</v>
      </c>
      <c r="H12389">
        <f t="shared" si="389"/>
        <v>-6</v>
      </c>
    </row>
    <row r="12390" spans="1:8" x14ac:dyDescent="0.2">
      <c r="A12390" t="s">
        <v>7</v>
      </c>
      <c r="B12390" t="s">
        <v>32</v>
      </c>
      <c r="C12390" t="str">
        <f t="shared" si="390"/>
        <v>No cumple</v>
      </c>
      <c r="D12390">
        <v>523</v>
      </c>
      <c r="E12390" t="s">
        <v>8</v>
      </c>
      <c r="F12390">
        <v>2</v>
      </c>
      <c r="G12390">
        <v>6</v>
      </c>
      <c r="H12390">
        <f t="shared" si="389"/>
        <v>-4</v>
      </c>
    </row>
    <row r="12391" spans="1:8" x14ac:dyDescent="0.2">
      <c r="A12391" t="s">
        <v>7</v>
      </c>
      <c r="B12391" t="s">
        <v>32</v>
      </c>
      <c r="C12391" t="str">
        <f t="shared" si="390"/>
        <v>No cumple</v>
      </c>
      <c r="D12391">
        <v>539</v>
      </c>
      <c r="E12391" t="s">
        <v>8</v>
      </c>
      <c r="F12391">
        <v>1</v>
      </c>
      <c r="G12391">
        <v>6</v>
      </c>
      <c r="H12391">
        <f t="shared" si="389"/>
        <v>-5</v>
      </c>
    </row>
    <row r="12392" spans="1:8" x14ac:dyDescent="0.2">
      <c r="A12392" t="s">
        <v>18</v>
      </c>
      <c r="B12392" t="s">
        <v>32</v>
      </c>
      <c r="C12392" t="str">
        <f t="shared" si="390"/>
        <v>No cumple</v>
      </c>
      <c r="D12392">
        <v>541</v>
      </c>
      <c r="E12392" t="s">
        <v>8</v>
      </c>
      <c r="F12392">
        <v>0</v>
      </c>
      <c r="G12392">
        <v>8</v>
      </c>
      <c r="H12392">
        <f t="shared" si="389"/>
        <v>-8</v>
      </c>
    </row>
    <row r="12393" spans="1:8" x14ac:dyDescent="0.2">
      <c r="A12393" t="s">
        <v>19</v>
      </c>
      <c r="B12393" t="s">
        <v>32</v>
      </c>
      <c r="C12393" t="str">
        <f t="shared" si="390"/>
        <v>No cumple</v>
      </c>
      <c r="D12393">
        <v>662</v>
      </c>
      <c r="E12393" t="s">
        <v>8</v>
      </c>
      <c r="F12393">
        <v>0</v>
      </c>
      <c r="G12393">
        <v>6</v>
      </c>
      <c r="H12393">
        <f t="shared" si="389"/>
        <v>-6</v>
      </c>
    </row>
    <row r="12394" spans="1:8" x14ac:dyDescent="0.2">
      <c r="A12394" t="s">
        <v>7</v>
      </c>
      <c r="B12394" t="s">
        <v>32</v>
      </c>
      <c r="C12394" t="str">
        <f t="shared" si="390"/>
        <v>No cumple</v>
      </c>
      <c r="D12394">
        <v>666</v>
      </c>
      <c r="E12394" t="s">
        <v>8</v>
      </c>
      <c r="F12394">
        <v>0</v>
      </c>
      <c r="G12394">
        <v>6</v>
      </c>
      <c r="H12394">
        <f t="shared" si="389"/>
        <v>-6</v>
      </c>
    </row>
    <row r="12395" spans="1:8" x14ac:dyDescent="0.2">
      <c r="A12395" t="s">
        <v>7</v>
      </c>
      <c r="B12395" t="s">
        <v>32</v>
      </c>
      <c r="C12395" t="str">
        <f t="shared" si="390"/>
        <v>No cumple</v>
      </c>
      <c r="D12395">
        <v>684</v>
      </c>
      <c r="E12395" t="s">
        <v>8</v>
      </c>
      <c r="F12395">
        <v>5</v>
      </c>
      <c r="G12395">
        <v>6</v>
      </c>
      <c r="H12395">
        <f t="shared" si="389"/>
        <v>-1</v>
      </c>
    </row>
    <row r="12396" spans="1:8" x14ac:dyDescent="0.2">
      <c r="A12396" t="s">
        <v>19</v>
      </c>
      <c r="B12396" t="s">
        <v>32</v>
      </c>
      <c r="C12396" t="str">
        <f t="shared" si="390"/>
        <v>No cumple</v>
      </c>
      <c r="D12396">
        <v>747</v>
      </c>
      <c r="E12396" t="s">
        <v>8</v>
      </c>
      <c r="F12396">
        <v>1</v>
      </c>
      <c r="G12396">
        <v>3</v>
      </c>
      <c r="H12396">
        <f t="shared" si="389"/>
        <v>-2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748</v>
      </c>
      <c r="E12397" t="s">
        <v>8</v>
      </c>
      <c r="F12397">
        <v>0</v>
      </c>
      <c r="G12397">
        <v>6</v>
      </c>
      <c r="H12397">
        <f t="shared" si="389"/>
        <v>-6</v>
      </c>
    </row>
    <row r="12398" spans="1:8" x14ac:dyDescent="0.2">
      <c r="A12398" t="s">
        <v>7</v>
      </c>
      <c r="B12398" t="s">
        <v>32</v>
      </c>
      <c r="C12398" t="str">
        <f t="shared" si="390"/>
        <v>No cumple</v>
      </c>
      <c r="D12398">
        <v>797</v>
      </c>
      <c r="E12398" t="s">
        <v>8</v>
      </c>
      <c r="F12398">
        <v>0</v>
      </c>
      <c r="G12398">
        <v>6</v>
      </c>
      <c r="H12398">
        <f t="shared" si="389"/>
        <v>-6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828</v>
      </c>
      <c r="E12399" t="s">
        <v>8</v>
      </c>
      <c r="F12399">
        <v>1</v>
      </c>
      <c r="G12399">
        <v>6</v>
      </c>
      <c r="H12399">
        <f t="shared" si="389"/>
        <v>-5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953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1573</v>
      </c>
      <c r="E12401" t="s">
        <v>8</v>
      </c>
      <c r="F12401">
        <v>0</v>
      </c>
      <c r="G12401">
        <v>6</v>
      </c>
      <c r="H12401">
        <f t="shared" si="389"/>
        <v>-6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1714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18</v>
      </c>
      <c r="B12403" t="s">
        <v>32</v>
      </c>
      <c r="C12403" t="str">
        <f t="shared" si="390"/>
        <v>No cumple</v>
      </c>
      <c r="D12403">
        <v>1827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19</v>
      </c>
      <c r="B12404" t="s">
        <v>32</v>
      </c>
      <c r="C12404" t="str">
        <f t="shared" si="390"/>
        <v>No cumple</v>
      </c>
      <c r="D12404">
        <v>1870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7</v>
      </c>
      <c r="B12405" t="s">
        <v>32</v>
      </c>
      <c r="C12405" t="str">
        <f t="shared" si="390"/>
        <v>No cumple</v>
      </c>
      <c r="D12405">
        <v>2006</v>
      </c>
      <c r="E12405" t="s">
        <v>8</v>
      </c>
      <c r="F12405">
        <v>1</v>
      </c>
      <c r="G12405">
        <v>6</v>
      </c>
      <c r="H12405">
        <f t="shared" si="389"/>
        <v>-5</v>
      </c>
    </row>
    <row r="12406" spans="1:8" x14ac:dyDescent="0.2">
      <c r="A12406" t="s">
        <v>7</v>
      </c>
      <c r="B12406" t="s">
        <v>32</v>
      </c>
      <c r="C12406" t="str">
        <f t="shared" si="390"/>
        <v>No cumple</v>
      </c>
      <c r="D12406">
        <v>2031</v>
      </c>
      <c r="E12406" t="s">
        <v>8</v>
      </c>
      <c r="F12406">
        <v>1</v>
      </c>
      <c r="G12406">
        <v>6</v>
      </c>
      <c r="H12406">
        <f t="shared" si="389"/>
        <v>-5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2051</v>
      </c>
      <c r="E12407" t="s">
        <v>8</v>
      </c>
      <c r="F12407">
        <v>3</v>
      </c>
      <c r="G12407">
        <v>6</v>
      </c>
      <c r="H12407">
        <f t="shared" si="389"/>
        <v>-3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2098</v>
      </c>
      <c r="E12408" t="s">
        <v>8</v>
      </c>
      <c r="F12408">
        <v>0</v>
      </c>
      <c r="G12408">
        <v>6</v>
      </c>
      <c r="H12408">
        <f t="shared" si="389"/>
        <v>-6</v>
      </c>
    </row>
    <row r="12409" spans="1:8" x14ac:dyDescent="0.2">
      <c r="A12409" t="s">
        <v>18</v>
      </c>
      <c r="B12409" t="s">
        <v>32</v>
      </c>
      <c r="C12409" t="str">
        <f t="shared" si="390"/>
        <v>No cumple</v>
      </c>
      <c r="D12409">
        <v>2163</v>
      </c>
      <c r="E12409" t="s">
        <v>8</v>
      </c>
      <c r="F12409">
        <v>0</v>
      </c>
      <c r="G12409">
        <v>6</v>
      </c>
      <c r="H12409">
        <f t="shared" si="389"/>
        <v>-6</v>
      </c>
    </row>
    <row r="12410" spans="1:8" x14ac:dyDescent="0.2">
      <c r="A12410" t="s">
        <v>18</v>
      </c>
      <c r="B12410" t="s">
        <v>32</v>
      </c>
      <c r="C12410" t="str">
        <f t="shared" si="390"/>
        <v>No cumple</v>
      </c>
      <c r="D12410">
        <v>2197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2278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7</v>
      </c>
      <c r="B12412" t="s">
        <v>32</v>
      </c>
      <c r="C12412" t="str">
        <f t="shared" si="390"/>
        <v>No cumple</v>
      </c>
      <c r="D12412">
        <v>2322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7</v>
      </c>
      <c r="B12413" t="s">
        <v>32</v>
      </c>
      <c r="C12413" t="str">
        <f t="shared" si="390"/>
        <v>No cumple</v>
      </c>
      <c r="D12413">
        <v>2341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18</v>
      </c>
      <c r="B12414" t="s">
        <v>32</v>
      </c>
      <c r="C12414" t="str">
        <f t="shared" si="390"/>
        <v>No cumple</v>
      </c>
      <c r="D12414">
        <v>2364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18</v>
      </c>
      <c r="B12415" t="s">
        <v>32</v>
      </c>
      <c r="C12415" t="str">
        <f t="shared" si="390"/>
        <v>No cumple</v>
      </c>
      <c r="D12415">
        <v>2467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7</v>
      </c>
      <c r="B12416" t="s">
        <v>32</v>
      </c>
      <c r="C12416" t="str">
        <f t="shared" si="390"/>
        <v>No cumple</v>
      </c>
      <c r="D12416">
        <v>2512</v>
      </c>
      <c r="E12416" t="s">
        <v>8</v>
      </c>
      <c r="F12416">
        <v>1</v>
      </c>
      <c r="G12416">
        <v>6</v>
      </c>
      <c r="H12416">
        <f t="shared" si="389"/>
        <v>-5</v>
      </c>
    </row>
    <row r="12417" spans="1:8" x14ac:dyDescent="0.2">
      <c r="A12417" t="s">
        <v>7</v>
      </c>
      <c r="B12417" t="s">
        <v>32</v>
      </c>
      <c r="C12417" t="str">
        <f t="shared" si="390"/>
        <v>No cumple</v>
      </c>
      <c r="D12417">
        <v>2581</v>
      </c>
      <c r="E12417" t="s">
        <v>8</v>
      </c>
      <c r="F12417">
        <v>2</v>
      </c>
      <c r="G12417">
        <v>6</v>
      </c>
      <c r="H12417">
        <f t="shared" si="389"/>
        <v>-4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2586</v>
      </c>
      <c r="E12418" t="s">
        <v>8</v>
      </c>
      <c r="F12418">
        <v>1</v>
      </c>
      <c r="G12418">
        <v>6</v>
      </c>
      <c r="H12418">
        <f t="shared" ref="H12418:H12481" si="391">F12418-G12418</f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2626</v>
      </c>
      <c r="E12419" t="s">
        <v>8</v>
      </c>
      <c r="F12419">
        <v>0</v>
      </c>
      <c r="G12419">
        <v>6</v>
      </c>
      <c r="H12419">
        <f t="shared" si="391"/>
        <v>-6</v>
      </c>
    </row>
    <row r="12420" spans="1:8" x14ac:dyDescent="0.2">
      <c r="A12420" t="s">
        <v>7</v>
      </c>
      <c r="B12420" t="s">
        <v>32</v>
      </c>
      <c r="C12420" t="str">
        <f t="shared" ref="C12420:C12483" si="392">IF(H12420&gt;=0,"Cumple","No cumple")</f>
        <v>No cumple</v>
      </c>
      <c r="D12420">
        <v>2649</v>
      </c>
      <c r="E12420" t="s">
        <v>8</v>
      </c>
      <c r="F12420">
        <v>1</v>
      </c>
      <c r="G12420">
        <v>6</v>
      </c>
      <c r="H12420">
        <f t="shared" si="391"/>
        <v>-5</v>
      </c>
    </row>
    <row r="12421" spans="1:8" x14ac:dyDescent="0.2">
      <c r="A12421" t="s">
        <v>19</v>
      </c>
      <c r="B12421" t="s">
        <v>32</v>
      </c>
      <c r="C12421" t="str">
        <f t="shared" si="392"/>
        <v>No cumple</v>
      </c>
      <c r="D12421">
        <v>2694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18</v>
      </c>
      <c r="B12422" t="s">
        <v>32</v>
      </c>
      <c r="C12422" t="str">
        <f t="shared" si="392"/>
        <v>No cumple</v>
      </c>
      <c r="D12422">
        <v>2727</v>
      </c>
      <c r="E12422" t="s">
        <v>8</v>
      </c>
      <c r="F12422">
        <v>0</v>
      </c>
      <c r="G12422" s="9">
        <v>6</v>
      </c>
      <c r="H12422">
        <f t="shared" si="391"/>
        <v>-6</v>
      </c>
    </row>
    <row r="12423" spans="1:8" x14ac:dyDescent="0.2">
      <c r="A12423" t="s">
        <v>18</v>
      </c>
      <c r="B12423" t="s">
        <v>32</v>
      </c>
      <c r="C12423" t="str">
        <f t="shared" si="392"/>
        <v>No cumple</v>
      </c>
      <c r="D12423">
        <v>2749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7</v>
      </c>
      <c r="B12424" t="s">
        <v>32</v>
      </c>
      <c r="C12424" t="str">
        <f t="shared" si="392"/>
        <v>No cumple</v>
      </c>
      <c r="D12424">
        <v>2766</v>
      </c>
      <c r="E12424" t="s">
        <v>8</v>
      </c>
      <c r="F12424">
        <v>1</v>
      </c>
      <c r="G12424">
        <v>6</v>
      </c>
      <c r="H12424">
        <f t="shared" si="391"/>
        <v>-5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2795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2815</v>
      </c>
      <c r="E12426" t="s">
        <v>8</v>
      </c>
      <c r="F12426">
        <v>0</v>
      </c>
      <c r="G12426">
        <v>6</v>
      </c>
      <c r="H12426">
        <f t="shared" si="391"/>
        <v>-6</v>
      </c>
    </row>
    <row r="12427" spans="1:8" x14ac:dyDescent="0.2">
      <c r="A12427" t="s">
        <v>7</v>
      </c>
      <c r="B12427" t="s">
        <v>32</v>
      </c>
      <c r="C12427" t="str">
        <f t="shared" si="392"/>
        <v>No cumple</v>
      </c>
      <c r="D12427">
        <v>2910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18</v>
      </c>
      <c r="B12428" t="s">
        <v>32</v>
      </c>
      <c r="C12428" t="str">
        <f t="shared" si="392"/>
        <v>No cumple</v>
      </c>
      <c r="D12428">
        <v>3365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18</v>
      </c>
      <c r="B12429" t="s">
        <v>32</v>
      </c>
      <c r="C12429" t="str">
        <f t="shared" si="392"/>
        <v>No cumple</v>
      </c>
      <c r="D12429">
        <v>3373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7</v>
      </c>
      <c r="B12430" t="s">
        <v>32</v>
      </c>
      <c r="C12430" t="str">
        <f t="shared" si="392"/>
        <v>No cumple</v>
      </c>
      <c r="D12430">
        <v>3381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3453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18</v>
      </c>
      <c r="B12432" t="s">
        <v>32</v>
      </c>
      <c r="C12432" t="str">
        <f t="shared" si="392"/>
        <v>No cumple</v>
      </c>
      <c r="D12432">
        <v>3547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7</v>
      </c>
      <c r="B12433" t="s">
        <v>32</v>
      </c>
      <c r="C12433" t="str">
        <f t="shared" si="392"/>
        <v>No cumple</v>
      </c>
      <c r="D12433">
        <v>3554</v>
      </c>
      <c r="E12433" t="s">
        <v>8</v>
      </c>
      <c r="F12433">
        <v>2</v>
      </c>
      <c r="G12433">
        <v>6</v>
      </c>
      <c r="H12433">
        <f t="shared" si="391"/>
        <v>-4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3555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19</v>
      </c>
      <c r="B12435" t="s">
        <v>32</v>
      </c>
      <c r="C12435" t="str">
        <f t="shared" si="392"/>
        <v>No cumple</v>
      </c>
      <c r="D12435">
        <v>3556</v>
      </c>
      <c r="E12435" t="s">
        <v>8</v>
      </c>
      <c r="F12435">
        <v>0</v>
      </c>
      <c r="G12435">
        <v>6</v>
      </c>
      <c r="H12435">
        <f t="shared" si="391"/>
        <v>-6</v>
      </c>
    </row>
    <row r="12436" spans="1:8" x14ac:dyDescent="0.2">
      <c r="A12436" t="s">
        <v>7</v>
      </c>
      <c r="B12436" t="s">
        <v>32</v>
      </c>
      <c r="C12436" t="str">
        <f t="shared" si="392"/>
        <v>No cumple</v>
      </c>
      <c r="D12436">
        <v>3572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18</v>
      </c>
      <c r="B12437" t="s">
        <v>32</v>
      </c>
      <c r="C12437" t="str">
        <f t="shared" si="392"/>
        <v>No cumple</v>
      </c>
      <c r="D12437">
        <v>3585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3628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7</v>
      </c>
      <c r="B12439" t="s">
        <v>32</v>
      </c>
      <c r="C12439" t="str">
        <f t="shared" si="392"/>
        <v>No cumple</v>
      </c>
      <c r="D12439">
        <v>3630</v>
      </c>
      <c r="E12439" t="s">
        <v>8</v>
      </c>
      <c r="F12439">
        <v>1</v>
      </c>
      <c r="G12439">
        <v>6</v>
      </c>
      <c r="H12439">
        <f t="shared" si="391"/>
        <v>-5</v>
      </c>
    </row>
    <row r="12440" spans="1:8" x14ac:dyDescent="0.2">
      <c r="A12440" t="s">
        <v>18</v>
      </c>
      <c r="B12440" t="s">
        <v>32</v>
      </c>
      <c r="C12440" t="str">
        <f t="shared" si="392"/>
        <v>No cumple</v>
      </c>
      <c r="D12440">
        <v>3777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18</v>
      </c>
      <c r="B12441" t="s">
        <v>32</v>
      </c>
      <c r="C12441" t="str">
        <f t="shared" si="392"/>
        <v>No cumple</v>
      </c>
      <c r="D12441">
        <v>3778</v>
      </c>
      <c r="E12441" t="s">
        <v>8</v>
      </c>
      <c r="F12441">
        <v>0</v>
      </c>
      <c r="G12441">
        <v>6</v>
      </c>
      <c r="H12441">
        <f t="shared" si="391"/>
        <v>-6</v>
      </c>
    </row>
    <row r="12442" spans="1:8" x14ac:dyDescent="0.2">
      <c r="A12442" t="s">
        <v>7</v>
      </c>
      <c r="B12442" t="s">
        <v>32</v>
      </c>
      <c r="C12442" t="str">
        <f t="shared" si="392"/>
        <v>No cumple</v>
      </c>
      <c r="D12442">
        <v>3780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3856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3857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7</v>
      </c>
      <c r="B12445" t="s">
        <v>32</v>
      </c>
      <c r="C12445" t="str">
        <f t="shared" si="392"/>
        <v>No cumple</v>
      </c>
      <c r="D12445">
        <v>3898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18</v>
      </c>
      <c r="B12446" t="s">
        <v>32</v>
      </c>
      <c r="C12446" t="str">
        <f t="shared" si="392"/>
        <v>No cumple</v>
      </c>
      <c r="D12446">
        <v>3901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3916</v>
      </c>
      <c r="E12447" t="s">
        <v>8</v>
      </c>
      <c r="F12447">
        <v>2</v>
      </c>
      <c r="G12447">
        <v>6</v>
      </c>
      <c r="H12447">
        <f t="shared" si="391"/>
        <v>-4</v>
      </c>
    </row>
    <row r="12448" spans="1:8" x14ac:dyDescent="0.2">
      <c r="A12448" t="s">
        <v>19</v>
      </c>
      <c r="B12448" t="s">
        <v>32</v>
      </c>
      <c r="C12448" t="str">
        <f t="shared" si="392"/>
        <v>No cumple</v>
      </c>
      <c r="D12448">
        <v>3928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19</v>
      </c>
      <c r="B12449" t="s">
        <v>32</v>
      </c>
      <c r="C12449" t="str">
        <f t="shared" si="392"/>
        <v>No cumple</v>
      </c>
      <c r="D12449">
        <v>3941</v>
      </c>
      <c r="E12449" t="s">
        <v>8</v>
      </c>
      <c r="F12449">
        <v>0</v>
      </c>
      <c r="G12449">
        <v>6</v>
      </c>
      <c r="H12449">
        <f t="shared" si="391"/>
        <v>-6</v>
      </c>
    </row>
    <row r="12450" spans="1:8" x14ac:dyDescent="0.2">
      <c r="A12450" t="s">
        <v>7</v>
      </c>
      <c r="B12450" t="s">
        <v>32</v>
      </c>
      <c r="C12450" t="str">
        <f t="shared" si="392"/>
        <v>No cumple</v>
      </c>
      <c r="D12450">
        <v>3942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7</v>
      </c>
      <c r="B12451" t="s">
        <v>32</v>
      </c>
      <c r="C12451" t="str">
        <f t="shared" si="392"/>
        <v>No cumple</v>
      </c>
      <c r="D12451">
        <v>3944</v>
      </c>
      <c r="E12451" t="s">
        <v>8</v>
      </c>
      <c r="F12451">
        <v>1</v>
      </c>
      <c r="G12451">
        <v>6</v>
      </c>
      <c r="H12451">
        <f t="shared" si="391"/>
        <v>-5</v>
      </c>
    </row>
    <row r="12452" spans="1:8" x14ac:dyDescent="0.2">
      <c r="A12452" t="s">
        <v>19</v>
      </c>
      <c r="B12452" t="s">
        <v>32</v>
      </c>
      <c r="C12452" t="str">
        <f t="shared" si="392"/>
        <v>No cumple</v>
      </c>
      <c r="D12452">
        <v>3963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18</v>
      </c>
      <c r="B12453" t="s">
        <v>32</v>
      </c>
      <c r="C12453" t="str">
        <f t="shared" si="392"/>
        <v>No cumple</v>
      </c>
      <c r="D12453">
        <v>3964</v>
      </c>
      <c r="E12453" t="s">
        <v>8</v>
      </c>
      <c r="F12453">
        <v>0</v>
      </c>
      <c r="G12453">
        <v>6</v>
      </c>
      <c r="H12453">
        <f t="shared" si="391"/>
        <v>-6</v>
      </c>
    </row>
    <row r="12454" spans="1:8" x14ac:dyDescent="0.2">
      <c r="A12454" t="s">
        <v>7</v>
      </c>
      <c r="B12454" t="s">
        <v>32</v>
      </c>
      <c r="C12454" t="str">
        <f t="shared" si="392"/>
        <v>No cumple</v>
      </c>
      <c r="D12454">
        <v>3965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3968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7602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7</v>
      </c>
      <c r="B12457" t="s">
        <v>32</v>
      </c>
      <c r="C12457" t="str">
        <f t="shared" si="392"/>
        <v>No cumple</v>
      </c>
      <c r="D12457">
        <v>9071</v>
      </c>
      <c r="E12457" t="s">
        <v>8</v>
      </c>
      <c r="F12457">
        <v>1</v>
      </c>
      <c r="G12457">
        <v>6</v>
      </c>
      <c r="H12457">
        <f t="shared" si="391"/>
        <v>-5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9072</v>
      </c>
      <c r="E12458" t="s">
        <v>8</v>
      </c>
      <c r="F12458">
        <v>0</v>
      </c>
      <c r="G12458">
        <v>8</v>
      </c>
      <c r="H12458">
        <f t="shared" si="391"/>
        <v>-8</v>
      </c>
    </row>
    <row r="12459" spans="1:8" x14ac:dyDescent="0.2">
      <c r="A12459" t="s">
        <v>19</v>
      </c>
      <c r="B12459" t="s">
        <v>32</v>
      </c>
      <c r="C12459" t="str">
        <f t="shared" si="392"/>
        <v>No cumple</v>
      </c>
      <c r="D12459">
        <v>9113</v>
      </c>
      <c r="E12459" t="s">
        <v>8</v>
      </c>
      <c r="F12459">
        <v>0</v>
      </c>
      <c r="G12459">
        <v>6</v>
      </c>
      <c r="H12459">
        <f t="shared" si="391"/>
        <v>-6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9114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7</v>
      </c>
      <c r="B12461" t="s">
        <v>32</v>
      </c>
      <c r="C12461" t="str">
        <f t="shared" si="392"/>
        <v>No cumple</v>
      </c>
      <c r="D12461">
        <v>9131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9161</v>
      </c>
      <c r="E12462" t="s">
        <v>8</v>
      </c>
      <c r="F12462">
        <v>0</v>
      </c>
      <c r="G12462">
        <v>6</v>
      </c>
      <c r="H12462">
        <f t="shared" si="391"/>
        <v>-6</v>
      </c>
    </row>
    <row r="12463" spans="1:8" x14ac:dyDescent="0.2">
      <c r="A12463" t="s">
        <v>19</v>
      </c>
      <c r="B12463" t="s">
        <v>32</v>
      </c>
      <c r="C12463" t="str">
        <f t="shared" si="392"/>
        <v>No cumple</v>
      </c>
      <c r="D12463">
        <v>9181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9218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7</v>
      </c>
      <c r="B12465" t="s">
        <v>32</v>
      </c>
      <c r="C12465" t="str">
        <f t="shared" si="392"/>
        <v>Cumple</v>
      </c>
      <c r="D12465">
        <v>9317</v>
      </c>
      <c r="E12465" t="s">
        <v>8</v>
      </c>
      <c r="F12465">
        <v>6</v>
      </c>
      <c r="G12465">
        <v>6</v>
      </c>
      <c r="H12465">
        <f t="shared" si="391"/>
        <v>0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9340</v>
      </c>
      <c r="E12466" t="s">
        <v>8</v>
      </c>
      <c r="F12466">
        <v>1</v>
      </c>
      <c r="G12466">
        <v>6</v>
      </c>
      <c r="H12466">
        <f t="shared" si="391"/>
        <v>-5</v>
      </c>
    </row>
    <row r="12467" spans="1:8" x14ac:dyDescent="0.2">
      <c r="A12467" t="s">
        <v>18</v>
      </c>
      <c r="B12467" t="s">
        <v>32</v>
      </c>
      <c r="C12467" t="str">
        <f t="shared" si="392"/>
        <v>No cumple</v>
      </c>
      <c r="D12467">
        <v>9426</v>
      </c>
      <c r="E12467" t="s">
        <v>8</v>
      </c>
      <c r="F12467">
        <v>0</v>
      </c>
      <c r="G12467">
        <v>6</v>
      </c>
      <c r="H12467">
        <f t="shared" si="391"/>
        <v>-6</v>
      </c>
    </row>
    <row r="12468" spans="1:8" x14ac:dyDescent="0.2">
      <c r="A12468" t="s">
        <v>18</v>
      </c>
      <c r="B12468" t="s">
        <v>32</v>
      </c>
      <c r="C12468" t="str">
        <f t="shared" si="392"/>
        <v>No cumple</v>
      </c>
      <c r="D12468">
        <v>9457</v>
      </c>
      <c r="E12468" t="s">
        <v>8</v>
      </c>
      <c r="F12468">
        <v>0</v>
      </c>
      <c r="G12468">
        <v>6</v>
      </c>
      <c r="H12468">
        <f t="shared" si="391"/>
        <v>-6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9471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9548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9605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7</v>
      </c>
      <c r="B12472" t="s">
        <v>32</v>
      </c>
      <c r="C12472" t="str">
        <f t="shared" si="392"/>
        <v>No cumple</v>
      </c>
      <c r="D12472">
        <v>9669</v>
      </c>
      <c r="E12472" t="s">
        <v>8</v>
      </c>
      <c r="F12472">
        <v>2</v>
      </c>
      <c r="G12472">
        <v>6</v>
      </c>
      <c r="H12472">
        <f t="shared" si="391"/>
        <v>-4</v>
      </c>
    </row>
    <row r="12473" spans="1:8" x14ac:dyDescent="0.2">
      <c r="A12473" t="s">
        <v>7</v>
      </c>
      <c r="B12473" t="s">
        <v>32</v>
      </c>
      <c r="C12473" t="str">
        <f t="shared" si="392"/>
        <v>No cumple</v>
      </c>
      <c r="D12473">
        <v>9670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18</v>
      </c>
      <c r="B12474" t="s">
        <v>32</v>
      </c>
      <c r="C12474" t="str">
        <f t="shared" si="392"/>
        <v>No cumple</v>
      </c>
      <c r="D12474">
        <v>9746</v>
      </c>
      <c r="E12474" t="s">
        <v>8</v>
      </c>
      <c r="F12474">
        <v>0</v>
      </c>
      <c r="G12474">
        <v>6</v>
      </c>
      <c r="H12474">
        <f t="shared" si="391"/>
        <v>-6</v>
      </c>
    </row>
    <row r="12475" spans="1:8" x14ac:dyDescent="0.2">
      <c r="A12475" t="s">
        <v>18</v>
      </c>
      <c r="B12475" t="s">
        <v>32</v>
      </c>
      <c r="C12475" t="str">
        <f t="shared" si="392"/>
        <v>No cumple</v>
      </c>
      <c r="D12475">
        <v>9828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7</v>
      </c>
      <c r="B12476" t="s">
        <v>32</v>
      </c>
      <c r="C12476" t="str">
        <f t="shared" si="392"/>
        <v>No cumple</v>
      </c>
      <c r="D12476">
        <v>9844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19</v>
      </c>
      <c r="B12477" t="s">
        <v>32</v>
      </c>
      <c r="C12477" t="str">
        <f t="shared" si="392"/>
        <v>No cumple</v>
      </c>
      <c r="D12477">
        <v>9848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18</v>
      </c>
      <c r="B12478" t="s">
        <v>32</v>
      </c>
      <c r="C12478" t="str">
        <f t="shared" si="392"/>
        <v>Cumple</v>
      </c>
      <c r="D12478">
        <v>9850</v>
      </c>
      <c r="E12478" t="s">
        <v>8</v>
      </c>
      <c r="F12478" s="9">
        <v>4</v>
      </c>
      <c r="G12478" s="9">
        <v>4</v>
      </c>
      <c r="H12478">
        <f t="shared" si="391"/>
        <v>0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9908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No cumple</v>
      </c>
      <c r="D12480">
        <v>9916</v>
      </c>
      <c r="E12480" t="s">
        <v>8</v>
      </c>
      <c r="F12480">
        <v>0</v>
      </c>
      <c r="G12480">
        <v>6</v>
      </c>
      <c r="H12480">
        <f t="shared" si="391"/>
        <v>-6</v>
      </c>
    </row>
    <row r="12481" spans="1:8" x14ac:dyDescent="0.2">
      <c r="A12481" t="s">
        <v>7</v>
      </c>
      <c r="B12481" t="s">
        <v>32</v>
      </c>
      <c r="C12481" t="str">
        <f t="shared" si="392"/>
        <v>No cumple</v>
      </c>
      <c r="D12481">
        <v>9943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9964</v>
      </c>
      <c r="E12482" t="s">
        <v>8</v>
      </c>
      <c r="F12482">
        <v>0</v>
      </c>
      <c r="G12482">
        <v>6</v>
      </c>
      <c r="H12482">
        <f t="shared" ref="H12482:H12545" si="393">F12482-G12482</f>
        <v>-6</v>
      </c>
    </row>
    <row r="12483" spans="1:8" x14ac:dyDescent="0.2">
      <c r="A12483" t="s">
        <v>19</v>
      </c>
      <c r="B12483" t="s">
        <v>32</v>
      </c>
      <c r="C12483" t="str">
        <f t="shared" si="392"/>
        <v>No cumple</v>
      </c>
      <c r="D12483">
        <v>9971</v>
      </c>
      <c r="E12483" t="s">
        <v>8</v>
      </c>
      <c r="F12483">
        <v>0</v>
      </c>
      <c r="G12483">
        <v>6</v>
      </c>
      <c r="H12483">
        <f t="shared" si="393"/>
        <v>-6</v>
      </c>
    </row>
    <row r="12484" spans="1:8" x14ac:dyDescent="0.2">
      <c r="A12484" t="s">
        <v>7</v>
      </c>
      <c r="B12484" t="s">
        <v>32</v>
      </c>
      <c r="C12484" t="str">
        <f t="shared" ref="C12484:C12547" si="394">IF(H12484&gt;=0,"Cumple","No cumple")</f>
        <v>No cumple</v>
      </c>
      <c r="D12484">
        <v>9973</v>
      </c>
      <c r="E12484" t="s">
        <v>8</v>
      </c>
      <c r="F12484">
        <v>0</v>
      </c>
      <c r="G12484">
        <v>6</v>
      </c>
      <c r="H12484">
        <f t="shared" si="393"/>
        <v>-6</v>
      </c>
    </row>
    <row r="12485" spans="1:8" x14ac:dyDescent="0.2">
      <c r="A12485" t="s">
        <v>7</v>
      </c>
      <c r="B12485" t="s">
        <v>32</v>
      </c>
      <c r="C12485" t="str">
        <f t="shared" si="394"/>
        <v>No cumple</v>
      </c>
      <c r="D12485">
        <v>3592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18</v>
      </c>
      <c r="B12486" t="s">
        <v>32</v>
      </c>
      <c r="C12486" t="str">
        <f t="shared" si="394"/>
        <v>No cumple</v>
      </c>
      <c r="D12486">
        <v>9824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19</v>
      </c>
      <c r="B12487" t="s">
        <v>32</v>
      </c>
      <c r="C12487" t="str">
        <f t="shared" si="394"/>
        <v>No cumple</v>
      </c>
      <c r="D12487">
        <v>2846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9060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1212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7</v>
      </c>
      <c r="B12490" t="s">
        <v>32</v>
      </c>
      <c r="C12490" t="str">
        <f t="shared" si="394"/>
        <v>Cumple</v>
      </c>
      <c r="D12490">
        <v>3976</v>
      </c>
      <c r="E12490" t="s">
        <v>8</v>
      </c>
      <c r="F12490">
        <v>6</v>
      </c>
      <c r="G12490">
        <v>6</v>
      </c>
      <c r="H12490">
        <f t="shared" si="393"/>
        <v>0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2615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No cumple</v>
      </c>
      <c r="D12492">
        <v>3977</v>
      </c>
      <c r="E12492" t="s">
        <v>8</v>
      </c>
      <c r="F12492">
        <v>1</v>
      </c>
      <c r="G12492">
        <v>6</v>
      </c>
      <c r="H12492">
        <f t="shared" si="393"/>
        <v>-5</v>
      </c>
    </row>
    <row r="12493" spans="1:8" x14ac:dyDescent="0.2">
      <c r="A12493" t="s">
        <v>18</v>
      </c>
      <c r="B12493" t="s">
        <v>32</v>
      </c>
      <c r="C12493" t="str">
        <f t="shared" si="394"/>
        <v>No cumple</v>
      </c>
      <c r="D12493">
        <v>3979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18</v>
      </c>
      <c r="B12494" t="s">
        <v>32</v>
      </c>
      <c r="C12494" t="str">
        <f t="shared" si="394"/>
        <v>No cumple</v>
      </c>
      <c r="D12494">
        <v>2695</v>
      </c>
      <c r="E12494" t="s">
        <v>8</v>
      </c>
      <c r="F12494">
        <v>0</v>
      </c>
      <c r="G12494">
        <v>6</v>
      </c>
      <c r="H12494">
        <f t="shared" si="393"/>
        <v>-6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3991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3992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3993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19</v>
      </c>
      <c r="B12498" t="s">
        <v>32</v>
      </c>
      <c r="C12498" t="str">
        <f t="shared" si="394"/>
        <v>No cumple</v>
      </c>
      <c r="D12498">
        <v>3994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4031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18</v>
      </c>
      <c r="B12500" t="s">
        <v>32</v>
      </c>
      <c r="C12500" t="str">
        <f t="shared" si="394"/>
        <v>No cumple</v>
      </c>
      <c r="D12500">
        <v>1604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3989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7</v>
      </c>
      <c r="B12502" t="s">
        <v>32</v>
      </c>
      <c r="C12502" t="str">
        <f t="shared" si="394"/>
        <v>No cumple</v>
      </c>
      <c r="D12502">
        <v>4038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4040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2724</v>
      </c>
      <c r="E12504" t="s">
        <v>8</v>
      </c>
      <c r="F12504">
        <v>1</v>
      </c>
      <c r="G12504">
        <v>6</v>
      </c>
      <c r="H12504">
        <f t="shared" si="393"/>
        <v>-5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9448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18</v>
      </c>
      <c r="B12506" t="s">
        <v>32</v>
      </c>
      <c r="C12506" t="str">
        <f t="shared" si="394"/>
        <v>No cumple</v>
      </c>
      <c r="D12506">
        <v>3953</v>
      </c>
      <c r="E12506" t="s">
        <v>8</v>
      </c>
      <c r="F12506">
        <v>0</v>
      </c>
      <c r="G12506">
        <v>6</v>
      </c>
      <c r="H12506">
        <f t="shared" si="393"/>
        <v>-6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1781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987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1836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9708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4046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7</v>
      </c>
      <c r="B12512" t="s">
        <v>32</v>
      </c>
      <c r="C12512" t="str">
        <f t="shared" si="394"/>
        <v>No cumple</v>
      </c>
      <c r="D12512">
        <v>4048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7</v>
      </c>
      <c r="B12513" t="s">
        <v>32</v>
      </c>
      <c r="C12513" t="str">
        <f t="shared" si="394"/>
        <v>Cumple</v>
      </c>
      <c r="D12513">
        <v>1875</v>
      </c>
      <c r="E12513" t="s">
        <v>10</v>
      </c>
      <c r="F12513">
        <v>45</v>
      </c>
      <c r="G12513">
        <v>20</v>
      </c>
      <c r="H12513">
        <f t="shared" si="393"/>
        <v>25</v>
      </c>
    </row>
    <row r="12514" spans="1:8" x14ac:dyDescent="0.2">
      <c r="A12514" t="s">
        <v>7</v>
      </c>
      <c r="B12514" t="s">
        <v>32</v>
      </c>
      <c r="C12514" t="str">
        <f t="shared" si="394"/>
        <v>Cumple</v>
      </c>
      <c r="D12514">
        <v>1894</v>
      </c>
      <c r="E12514" t="s">
        <v>11</v>
      </c>
      <c r="F12514">
        <v>43</v>
      </c>
      <c r="G12514">
        <v>20</v>
      </c>
      <c r="H12514">
        <f t="shared" si="393"/>
        <v>23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3123</v>
      </c>
      <c r="E12515" t="s">
        <v>11</v>
      </c>
      <c r="F12515">
        <v>43</v>
      </c>
      <c r="G12515">
        <v>20</v>
      </c>
      <c r="H12515">
        <f t="shared" si="393"/>
        <v>23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3414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3460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9476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3683</v>
      </c>
      <c r="E12519" t="s">
        <v>11</v>
      </c>
      <c r="F12519">
        <v>42</v>
      </c>
      <c r="G12519">
        <v>20</v>
      </c>
      <c r="H12519">
        <f t="shared" si="393"/>
        <v>22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952</v>
      </c>
      <c r="E12520" t="s">
        <v>10</v>
      </c>
      <c r="F12520">
        <v>41</v>
      </c>
      <c r="G12520">
        <v>20</v>
      </c>
      <c r="H12520">
        <f t="shared" si="393"/>
        <v>21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3038</v>
      </c>
      <c r="E12521" t="s">
        <v>11</v>
      </c>
      <c r="F12521">
        <v>40</v>
      </c>
      <c r="G12521">
        <v>20</v>
      </c>
      <c r="H12521">
        <f t="shared" si="393"/>
        <v>20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3948</v>
      </c>
      <c r="E12522" t="s">
        <v>11</v>
      </c>
      <c r="F12522">
        <v>40</v>
      </c>
      <c r="G12522">
        <v>15</v>
      </c>
      <c r="H12522">
        <f t="shared" si="393"/>
        <v>25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3047</v>
      </c>
      <c r="E12523" t="s">
        <v>10</v>
      </c>
      <c r="F12523">
        <v>39</v>
      </c>
      <c r="G12523">
        <v>20</v>
      </c>
      <c r="H12523">
        <f t="shared" si="393"/>
        <v>19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3621</v>
      </c>
      <c r="E12524" t="s">
        <v>11</v>
      </c>
      <c r="F12524">
        <v>39</v>
      </c>
      <c r="G12524">
        <v>20</v>
      </c>
      <c r="H12524">
        <f t="shared" si="393"/>
        <v>19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3730</v>
      </c>
      <c r="E12525" t="s">
        <v>12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9360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4027</v>
      </c>
      <c r="E12527" t="s">
        <v>11</v>
      </c>
      <c r="F12527">
        <v>38</v>
      </c>
      <c r="G12527">
        <v>15</v>
      </c>
      <c r="H12527">
        <f t="shared" si="393"/>
        <v>23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3036</v>
      </c>
      <c r="E12528" t="s">
        <v>11</v>
      </c>
      <c r="F12528">
        <v>37</v>
      </c>
      <c r="G12528">
        <v>15</v>
      </c>
      <c r="H12528">
        <f t="shared" si="393"/>
        <v>22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3411</v>
      </c>
      <c r="E12529" t="s">
        <v>11</v>
      </c>
      <c r="F12529">
        <v>37</v>
      </c>
      <c r="G12529">
        <v>15</v>
      </c>
      <c r="H12529">
        <f t="shared" si="393"/>
        <v>22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3471</v>
      </c>
      <c r="E12530" t="s">
        <v>10</v>
      </c>
      <c r="F12530">
        <v>37</v>
      </c>
      <c r="G12530">
        <v>20</v>
      </c>
      <c r="H12530">
        <f t="shared" si="393"/>
        <v>17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9480</v>
      </c>
      <c r="E12531" t="s">
        <v>11</v>
      </c>
      <c r="F12531">
        <v>37</v>
      </c>
      <c r="G12531">
        <v>20</v>
      </c>
      <c r="H12531">
        <f t="shared" si="393"/>
        <v>17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9982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2961</v>
      </c>
      <c r="E12533" t="s">
        <v>12</v>
      </c>
      <c r="F12533">
        <v>36</v>
      </c>
      <c r="G12533">
        <v>20</v>
      </c>
      <c r="H12533">
        <f t="shared" si="393"/>
        <v>16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629</v>
      </c>
      <c r="E12534" t="s">
        <v>10</v>
      </c>
      <c r="F12534">
        <v>35</v>
      </c>
      <c r="G12534">
        <v>20</v>
      </c>
      <c r="H12534">
        <f t="shared" si="393"/>
        <v>15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1537</v>
      </c>
      <c r="E12535" t="s">
        <v>11</v>
      </c>
      <c r="F12535">
        <v>35</v>
      </c>
      <c r="G12535">
        <v>20</v>
      </c>
      <c r="H12535">
        <f t="shared" si="393"/>
        <v>15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1738</v>
      </c>
      <c r="E12536" t="s">
        <v>11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2777</v>
      </c>
      <c r="E12537" t="s">
        <v>11</v>
      </c>
      <c r="F12537">
        <v>35</v>
      </c>
      <c r="G12537">
        <v>15</v>
      </c>
      <c r="H12537">
        <f t="shared" si="393"/>
        <v>20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3118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3169</v>
      </c>
      <c r="E12539" t="s">
        <v>10</v>
      </c>
      <c r="F12539">
        <v>35</v>
      </c>
      <c r="G12539">
        <v>20</v>
      </c>
      <c r="H12539">
        <f t="shared" si="393"/>
        <v>15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9769</v>
      </c>
      <c r="E12540" t="s">
        <v>10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709</v>
      </c>
      <c r="E12541" t="s">
        <v>12</v>
      </c>
      <c r="F12541">
        <v>34</v>
      </c>
      <c r="G12541">
        <v>20</v>
      </c>
      <c r="H12541">
        <f t="shared" si="393"/>
        <v>14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2118</v>
      </c>
      <c r="E12542" t="s">
        <v>10</v>
      </c>
      <c r="F12542">
        <v>34</v>
      </c>
      <c r="G12542">
        <v>20</v>
      </c>
      <c r="H12542">
        <f t="shared" si="393"/>
        <v>14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3006</v>
      </c>
      <c r="E12543" t="s">
        <v>11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3457</v>
      </c>
      <c r="E12544" t="s">
        <v>11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3521</v>
      </c>
      <c r="E12545" t="s">
        <v>10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3850</v>
      </c>
      <c r="E12546" t="s">
        <v>11</v>
      </c>
      <c r="F12546">
        <v>34</v>
      </c>
      <c r="G12546">
        <v>20</v>
      </c>
      <c r="H12546">
        <f t="shared" ref="H12546:H12609" si="395">F12546-G12546</f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9099</v>
      </c>
      <c r="E12547" t="s">
        <v>10</v>
      </c>
      <c r="F12547">
        <v>34</v>
      </c>
      <c r="G12547">
        <v>20</v>
      </c>
      <c r="H12547">
        <f t="shared" si="395"/>
        <v>14</v>
      </c>
    </row>
    <row r="12548" spans="1:8" x14ac:dyDescent="0.2">
      <c r="A12548" t="s">
        <v>7</v>
      </c>
      <c r="B12548" t="s">
        <v>32</v>
      </c>
      <c r="C12548" t="str">
        <f t="shared" ref="C12548:C12611" si="396">IF(H12548&gt;=0,"Cumple","No cumple")</f>
        <v>Cumple</v>
      </c>
      <c r="D12548">
        <v>9584</v>
      </c>
      <c r="E12548" t="s">
        <v>11</v>
      </c>
      <c r="F12548">
        <v>34</v>
      </c>
      <c r="G12548">
        <v>15</v>
      </c>
      <c r="H12548">
        <f t="shared" si="395"/>
        <v>19</v>
      </c>
    </row>
    <row r="12549" spans="1:8" x14ac:dyDescent="0.2">
      <c r="A12549" t="s">
        <v>7</v>
      </c>
      <c r="B12549" t="s">
        <v>32</v>
      </c>
      <c r="C12549" t="str">
        <f t="shared" si="396"/>
        <v>Cumple</v>
      </c>
      <c r="D12549">
        <v>9705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si="396"/>
        <v>Cumple</v>
      </c>
      <c r="D12550">
        <v>3299</v>
      </c>
      <c r="E12550" t="s">
        <v>11</v>
      </c>
      <c r="F12550">
        <v>33</v>
      </c>
      <c r="G12550">
        <v>20</v>
      </c>
      <c r="H12550">
        <f t="shared" si="395"/>
        <v>13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3567</v>
      </c>
      <c r="E12551" t="s">
        <v>12</v>
      </c>
      <c r="F12551">
        <v>33</v>
      </c>
      <c r="G12551">
        <v>20</v>
      </c>
      <c r="H12551">
        <f t="shared" si="395"/>
        <v>13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3707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3830</v>
      </c>
      <c r="E12553" t="s">
        <v>11</v>
      </c>
      <c r="F12553">
        <v>33</v>
      </c>
      <c r="G12553">
        <v>15</v>
      </c>
      <c r="H12553">
        <f t="shared" si="395"/>
        <v>18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3924</v>
      </c>
      <c r="E12554" s="19" t="s">
        <v>12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1844</v>
      </c>
      <c r="E12555" t="s">
        <v>12</v>
      </c>
      <c r="F12555">
        <v>32</v>
      </c>
      <c r="G12555">
        <v>20</v>
      </c>
      <c r="H12555">
        <f t="shared" si="395"/>
        <v>12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1874</v>
      </c>
      <c r="E12556" t="s">
        <v>12</v>
      </c>
      <c r="F12556">
        <v>32</v>
      </c>
      <c r="G12556">
        <v>20</v>
      </c>
      <c r="H12556">
        <f t="shared" si="395"/>
        <v>12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3938</v>
      </c>
      <c r="E12557" t="s">
        <v>11</v>
      </c>
      <c r="F12557">
        <v>32</v>
      </c>
      <c r="G12557">
        <v>15</v>
      </c>
      <c r="H12557">
        <f t="shared" si="395"/>
        <v>17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3950</v>
      </c>
      <c r="E12558" t="s">
        <v>11</v>
      </c>
      <c r="F12558">
        <v>32</v>
      </c>
      <c r="G12558">
        <v>15</v>
      </c>
      <c r="H12558">
        <f t="shared" si="395"/>
        <v>17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2609</v>
      </c>
      <c r="E12559" t="s">
        <v>10</v>
      </c>
      <c r="F12559">
        <v>31</v>
      </c>
      <c r="G12559">
        <v>20</v>
      </c>
      <c r="H12559">
        <f t="shared" si="395"/>
        <v>11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2674</v>
      </c>
      <c r="E12560" t="s">
        <v>10</v>
      </c>
      <c r="F12560">
        <v>31</v>
      </c>
      <c r="G12560">
        <v>20</v>
      </c>
      <c r="H12560">
        <f t="shared" si="395"/>
        <v>11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3461</v>
      </c>
      <c r="E12561" t="s">
        <v>12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3607</v>
      </c>
      <c r="E12562" t="s">
        <v>10</v>
      </c>
      <c r="F12562">
        <v>31</v>
      </c>
      <c r="G12562">
        <v>15</v>
      </c>
      <c r="H12562">
        <f t="shared" si="395"/>
        <v>16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3936</v>
      </c>
      <c r="E12563" t="s">
        <v>11</v>
      </c>
      <c r="F12563">
        <v>31</v>
      </c>
      <c r="G12563">
        <v>15</v>
      </c>
      <c r="H12563">
        <f t="shared" si="395"/>
        <v>16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9431</v>
      </c>
      <c r="E12564" t="s">
        <v>12</v>
      </c>
      <c r="F12564">
        <v>31</v>
      </c>
      <c r="G12564">
        <v>20</v>
      </c>
      <c r="H12564">
        <f t="shared" si="395"/>
        <v>11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1576</v>
      </c>
      <c r="E12565" t="s">
        <v>11</v>
      </c>
      <c r="F12565">
        <v>30</v>
      </c>
      <c r="G12565">
        <v>20</v>
      </c>
      <c r="H12565">
        <f t="shared" si="395"/>
        <v>10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3102</v>
      </c>
      <c r="E12566" t="s">
        <v>10</v>
      </c>
      <c r="F12566">
        <v>30</v>
      </c>
      <c r="G12566">
        <v>20</v>
      </c>
      <c r="H12566">
        <f t="shared" si="395"/>
        <v>10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3568</v>
      </c>
      <c r="E12567" t="s">
        <v>12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3638</v>
      </c>
      <c r="E12568" t="s">
        <v>12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3800</v>
      </c>
      <c r="E12569" t="s">
        <v>10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1131</v>
      </c>
      <c r="E12570" t="s">
        <v>12</v>
      </c>
      <c r="F12570">
        <v>29</v>
      </c>
      <c r="G12570">
        <v>15</v>
      </c>
      <c r="H12570">
        <f t="shared" si="395"/>
        <v>14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1534</v>
      </c>
      <c r="E12571" t="s">
        <v>10</v>
      </c>
      <c r="F12571">
        <v>29</v>
      </c>
      <c r="G12571">
        <v>20</v>
      </c>
      <c r="H12571">
        <f t="shared" si="395"/>
        <v>9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3125</v>
      </c>
      <c r="E12572" t="s">
        <v>10</v>
      </c>
      <c r="F12572">
        <v>29</v>
      </c>
      <c r="G12572">
        <v>20</v>
      </c>
      <c r="H12572">
        <f t="shared" si="395"/>
        <v>9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3192</v>
      </c>
      <c r="E12573" t="s">
        <v>10</v>
      </c>
      <c r="F12573">
        <v>29</v>
      </c>
      <c r="G12573">
        <v>15</v>
      </c>
      <c r="H12573">
        <f t="shared" si="395"/>
        <v>14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3404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2854</v>
      </c>
      <c r="E12575" t="s">
        <v>11</v>
      </c>
      <c r="F12575">
        <v>28</v>
      </c>
      <c r="G12575">
        <v>20</v>
      </c>
      <c r="H12575">
        <f t="shared" si="395"/>
        <v>8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3061</v>
      </c>
      <c r="E12576" t="s">
        <v>10</v>
      </c>
      <c r="F12576">
        <v>28</v>
      </c>
      <c r="G12576">
        <v>20</v>
      </c>
      <c r="H12576">
        <f t="shared" si="395"/>
        <v>8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3091</v>
      </c>
      <c r="E12577" t="s">
        <v>10</v>
      </c>
      <c r="F12577">
        <v>28</v>
      </c>
      <c r="G12577">
        <v>15</v>
      </c>
      <c r="H12577">
        <f t="shared" si="395"/>
        <v>13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3378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9368</v>
      </c>
      <c r="E12579" t="s">
        <v>11</v>
      </c>
      <c r="F12579">
        <v>28</v>
      </c>
      <c r="G12579">
        <v>20</v>
      </c>
      <c r="H12579">
        <f t="shared" si="395"/>
        <v>8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2889</v>
      </c>
      <c r="E12580" t="s">
        <v>10</v>
      </c>
      <c r="F12580">
        <v>27</v>
      </c>
      <c r="G12580">
        <v>20</v>
      </c>
      <c r="H12580">
        <f t="shared" si="395"/>
        <v>7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3487</v>
      </c>
      <c r="E12581" t="s">
        <v>10</v>
      </c>
      <c r="F12581">
        <v>27</v>
      </c>
      <c r="G12581">
        <v>20</v>
      </c>
      <c r="H12581">
        <f t="shared" si="395"/>
        <v>7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9045</v>
      </c>
      <c r="E12582" t="s">
        <v>12</v>
      </c>
      <c r="F12582">
        <v>27</v>
      </c>
      <c r="G12582">
        <v>15</v>
      </c>
      <c r="H12582">
        <f t="shared" si="395"/>
        <v>12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4041</v>
      </c>
      <c r="E12583" t="s">
        <v>11</v>
      </c>
      <c r="F12583">
        <v>27</v>
      </c>
      <c r="G12583">
        <v>15</v>
      </c>
      <c r="H12583">
        <f t="shared" si="395"/>
        <v>12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1771</v>
      </c>
      <c r="E12584" t="s">
        <v>11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3039</v>
      </c>
      <c r="E12585" t="s">
        <v>10</v>
      </c>
      <c r="F12585">
        <v>26</v>
      </c>
      <c r="G12585">
        <v>20</v>
      </c>
      <c r="H12585">
        <f t="shared" si="395"/>
        <v>6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3153</v>
      </c>
      <c r="E12586" t="s">
        <v>10</v>
      </c>
      <c r="F12586">
        <v>26</v>
      </c>
      <c r="G12586">
        <v>20</v>
      </c>
      <c r="H12586">
        <f t="shared" si="395"/>
        <v>6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3238</v>
      </c>
      <c r="E12587" t="s">
        <v>11</v>
      </c>
      <c r="F12587">
        <v>26</v>
      </c>
      <c r="G12587">
        <v>15</v>
      </c>
      <c r="H12587">
        <f t="shared" si="395"/>
        <v>11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3379</v>
      </c>
      <c r="E12588" t="s">
        <v>10</v>
      </c>
      <c r="F12588">
        <v>26</v>
      </c>
      <c r="G12588">
        <v>15</v>
      </c>
      <c r="H12588">
        <f t="shared" si="395"/>
        <v>11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3518</v>
      </c>
      <c r="E12589" t="s">
        <v>12</v>
      </c>
      <c r="F12589">
        <v>26</v>
      </c>
      <c r="G12589">
        <v>20</v>
      </c>
      <c r="H12589">
        <f t="shared" si="395"/>
        <v>6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9875</v>
      </c>
      <c r="E12590" t="s">
        <v>11</v>
      </c>
      <c r="F12590">
        <v>26</v>
      </c>
      <c r="G12590">
        <v>20</v>
      </c>
      <c r="H12590">
        <f t="shared" si="395"/>
        <v>6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3138</v>
      </c>
      <c r="E12591" t="s">
        <v>11</v>
      </c>
      <c r="F12591">
        <v>25</v>
      </c>
      <c r="G12591">
        <v>20</v>
      </c>
      <c r="H12591">
        <f t="shared" si="395"/>
        <v>5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3194</v>
      </c>
      <c r="E12592" t="s">
        <v>11</v>
      </c>
      <c r="F12592">
        <v>25</v>
      </c>
      <c r="G12592">
        <v>15</v>
      </c>
      <c r="H12592">
        <f t="shared" si="395"/>
        <v>10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3206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3289</v>
      </c>
      <c r="E12594" t="s">
        <v>11</v>
      </c>
      <c r="F12594">
        <v>25</v>
      </c>
      <c r="G12594">
        <v>20</v>
      </c>
      <c r="H12594">
        <f t="shared" si="395"/>
        <v>5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3829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9172</v>
      </c>
      <c r="E12596" t="s">
        <v>12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9376</v>
      </c>
      <c r="E12597" t="s">
        <v>11</v>
      </c>
      <c r="F12597">
        <v>25</v>
      </c>
      <c r="G12597">
        <v>15</v>
      </c>
      <c r="H12597">
        <f t="shared" si="395"/>
        <v>10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9980</v>
      </c>
      <c r="E12598" t="s">
        <v>10</v>
      </c>
      <c r="F12598">
        <v>25</v>
      </c>
      <c r="G12598">
        <v>15</v>
      </c>
      <c r="H12598">
        <f t="shared" si="395"/>
        <v>10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2440</v>
      </c>
      <c r="E12599" t="s">
        <v>11</v>
      </c>
      <c r="F12599">
        <v>24</v>
      </c>
      <c r="G12599">
        <v>20</v>
      </c>
      <c r="H12599">
        <f t="shared" si="395"/>
        <v>4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3432</v>
      </c>
      <c r="E12600" t="s">
        <v>11</v>
      </c>
      <c r="F12600">
        <v>24</v>
      </c>
      <c r="G12600">
        <v>20</v>
      </c>
      <c r="H12600">
        <f t="shared" si="395"/>
        <v>4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3708</v>
      </c>
      <c r="E12601" t="s">
        <v>10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3786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3951</v>
      </c>
      <c r="E12603" t="s">
        <v>11</v>
      </c>
      <c r="F12603">
        <v>24</v>
      </c>
      <c r="G12603">
        <v>15</v>
      </c>
      <c r="H12603">
        <f t="shared" si="395"/>
        <v>9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9650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3686</v>
      </c>
      <c r="E12605" t="s">
        <v>11</v>
      </c>
      <c r="F12605">
        <v>23</v>
      </c>
      <c r="G12605">
        <v>15</v>
      </c>
      <c r="H12605">
        <f t="shared" si="395"/>
        <v>8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3934</v>
      </c>
      <c r="E12606" t="s">
        <v>11</v>
      </c>
      <c r="F12606">
        <v>23</v>
      </c>
      <c r="G12606">
        <v>15</v>
      </c>
      <c r="H12606">
        <f t="shared" si="395"/>
        <v>8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9369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9630</v>
      </c>
      <c r="E12608" t="s">
        <v>10</v>
      </c>
      <c r="F12608">
        <v>23</v>
      </c>
      <c r="G12608">
        <v>20</v>
      </c>
      <c r="H12608">
        <f t="shared" si="395"/>
        <v>3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9633</v>
      </c>
      <c r="E12609" t="s">
        <v>11</v>
      </c>
      <c r="F12609">
        <v>23</v>
      </c>
      <c r="G12609">
        <v>20</v>
      </c>
      <c r="H12609">
        <f t="shared" si="395"/>
        <v>3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2890</v>
      </c>
      <c r="E12610" t="s">
        <v>11</v>
      </c>
      <c r="F12610">
        <v>22</v>
      </c>
      <c r="G12610">
        <v>20</v>
      </c>
      <c r="H12610">
        <f t="shared" ref="H12610:H12673" si="397">F12610-G12610</f>
        <v>2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3114</v>
      </c>
      <c r="E12611" t="s">
        <v>12</v>
      </c>
      <c r="F12611">
        <v>22</v>
      </c>
      <c r="G12611">
        <v>20</v>
      </c>
      <c r="H12611">
        <f t="shared" si="397"/>
        <v>2</v>
      </c>
    </row>
    <row r="12612" spans="1:8" x14ac:dyDescent="0.2">
      <c r="A12612" t="s">
        <v>7</v>
      </c>
      <c r="B12612" t="s">
        <v>32</v>
      </c>
      <c r="C12612" t="str">
        <f t="shared" ref="C12612:C12675" si="398">IF(H12612&gt;=0,"Cumple","No cumple")</f>
        <v>Cumple</v>
      </c>
      <c r="D12612">
        <v>3157</v>
      </c>
      <c r="E12612" t="s">
        <v>11</v>
      </c>
      <c r="F12612">
        <v>22</v>
      </c>
      <c r="G12612">
        <v>15</v>
      </c>
      <c r="H12612">
        <f t="shared" si="397"/>
        <v>7</v>
      </c>
    </row>
    <row r="12613" spans="1:8" x14ac:dyDescent="0.2">
      <c r="A12613" t="s">
        <v>7</v>
      </c>
      <c r="B12613" t="s">
        <v>32</v>
      </c>
      <c r="C12613" t="str">
        <f t="shared" si="398"/>
        <v>Cumple</v>
      </c>
      <c r="D12613">
        <v>3243</v>
      </c>
      <c r="E12613" t="s">
        <v>11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si="398"/>
        <v>Cumple</v>
      </c>
      <c r="D12614">
        <v>3447</v>
      </c>
      <c r="E12614" t="s">
        <v>12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3682</v>
      </c>
      <c r="E12615" t="s">
        <v>10</v>
      </c>
      <c r="F12615">
        <v>22</v>
      </c>
      <c r="G12615">
        <v>15</v>
      </c>
      <c r="H12615">
        <f t="shared" si="397"/>
        <v>7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3937</v>
      </c>
      <c r="E12616" t="s">
        <v>11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9245</v>
      </c>
      <c r="E12617" t="s">
        <v>11</v>
      </c>
      <c r="F12617">
        <v>22</v>
      </c>
      <c r="G12617">
        <v>20</v>
      </c>
      <c r="H12617">
        <f t="shared" si="397"/>
        <v>2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9869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3041</v>
      </c>
      <c r="E12619" t="s">
        <v>11</v>
      </c>
      <c r="F12619">
        <v>21</v>
      </c>
      <c r="G12619">
        <v>20</v>
      </c>
      <c r="H12619">
        <f t="shared" si="397"/>
        <v>1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3159</v>
      </c>
      <c r="E12620" t="s">
        <v>11</v>
      </c>
      <c r="F12620">
        <v>21</v>
      </c>
      <c r="G12620">
        <v>15</v>
      </c>
      <c r="H12620">
        <f t="shared" si="397"/>
        <v>6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5162</v>
      </c>
      <c r="E12621" t="s">
        <v>12</v>
      </c>
      <c r="F12621">
        <v>21</v>
      </c>
      <c r="G12621">
        <v>15</v>
      </c>
      <c r="H12621">
        <f t="shared" si="397"/>
        <v>6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9195</v>
      </c>
      <c r="E12622" t="s">
        <v>12</v>
      </c>
      <c r="F12622">
        <v>21</v>
      </c>
      <c r="G12622">
        <v>20</v>
      </c>
      <c r="H12622">
        <f t="shared" si="397"/>
        <v>1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1598</v>
      </c>
      <c r="E12623" t="s">
        <v>10</v>
      </c>
      <c r="F12623">
        <v>20</v>
      </c>
      <c r="G12623">
        <v>15</v>
      </c>
      <c r="H12623">
        <f t="shared" si="397"/>
        <v>5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1893</v>
      </c>
      <c r="E12624" t="s">
        <v>12</v>
      </c>
      <c r="F12624">
        <v>20</v>
      </c>
      <c r="G12624">
        <v>20</v>
      </c>
      <c r="H12624">
        <f t="shared" si="397"/>
        <v>0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3014</v>
      </c>
      <c r="E12625" t="s">
        <v>10</v>
      </c>
      <c r="F12625">
        <v>20</v>
      </c>
      <c r="G12625">
        <v>20</v>
      </c>
      <c r="H12625">
        <f t="shared" si="397"/>
        <v>0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3113</v>
      </c>
      <c r="E12626" t="s">
        <v>11</v>
      </c>
      <c r="F12626">
        <v>20</v>
      </c>
      <c r="G12626">
        <v>15</v>
      </c>
      <c r="H12626">
        <f t="shared" si="397"/>
        <v>5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3517</v>
      </c>
      <c r="E12627" t="s">
        <v>11</v>
      </c>
      <c r="F12627">
        <v>20</v>
      </c>
      <c r="G12627">
        <v>15</v>
      </c>
      <c r="H12627">
        <f t="shared" si="397"/>
        <v>5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127</v>
      </c>
      <c r="E12628" t="s">
        <v>11</v>
      </c>
      <c r="F12628">
        <v>19</v>
      </c>
      <c r="G12628">
        <v>15</v>
      </c>
      <c r="H12628">
        <f t="shared" si="397"/>
        <v>4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2597</v>
      </c>
      <c r="E12629" t="s">
        <v>10</v>
      </c>
      <c r="F12629">
        <v>19</v>
      </c>
      <c r="G12629">
        <v>15</v>
      </c>
      <c r="H12629">
        <f t="shared" si="397"/>
        <v>4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3016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3132</v>
      </c>
      <c r="E12631" t="s">
        <v>11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9905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2545</v>
      </c>
      <c r="E12633" t="s">
        <v>11</v>
      </c>
      <c r="F12633">
        <v>18</v>
      </c>
      <c r="G12633">
        <v>15</v>
      </c>
      <c r="H12633">
        <f t="shared" si="397"/>
        <v>3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3908</v>
      </c>
      <c r="E12634" t="s">
        <v>11</v>
      </c>
      <c r="F12634">
        <v>18</v>
      </c>
      <c r="G12634">
        <v>15</v>
      </c>
      <c r="H12634">
        <f t="shared" si="397"/>
        <v>3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3504</v>
      </c>
      <c r="E12635" t="s">
        <v>11</v>
      </c>
      <c r="F12635">
        <v>17</v>
      </c>
      <c r="G12635">
        <v>15</v>
      </c>
      <c r="H12635">
        <f t="shared" si="397"/>
        <v>2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3540</v>
      </c>
      <c r="E12636" t="s">
        <v>11</v>
      </c>
      <c r="F12636">
        <v>17</v>
      </c>
      <c r="G12636">
        <v>15</v>
      </c>
      <c r="H12636">
        <f t="shared" si="397"/>
        <v>2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3591</v>
      </c>
      <c r="E12637" t="s">
        <v>12</v>
      </c>
      <c r="F12637" s="9">
        <v>20</v>
      </c>
      <c r="G12637">
        <v>20</v>
      </c>
      <c r="H12637">
        <f t="shared" si="397"/>
        <v>0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3922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No cumple</v>
      </c>
      <c r="D12639">
        <v>1532</v>
      </c>
      <c r="E12639" t="s">
        <v>11</v>
      </c>
      <c r="F12639">
        <v>16</v>
      </c>
      <c r="G12639">
        <v>20</v>
      </c>
      <c r="H12639">
        <f t="shared" si="397"/>
        <v>-4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3070</v>
      </c>
      <c r="E12640" t="s">
        <v>10</v>
      </c>
      <c r="F12640">
        <v>16</v>
      </c>
      <c r="G12640">
        <v>15</v>
      </c>
      <c r="H12640">
        <f t="shared" si="397"/>
        <v>1</v>
      </c>
    </row>
    <row r="12641" spans="1:8" x14ac:dyDescent="0.2">
      <c r="A12641" t="s">
        <v>7</v>
      </c>
      <c r="B12641" t="s">
        <v>32</v>
      </c>
      <c r="C12641" t="str">
        <f t="shared" si="398"/>
        <v>Cumple</v>
      </c>
      <c r="D12641">
        <v>3488</v>
      </c>
      <c r="E12641" t="s">
        <v>10</v>
      </c>
      <c r="F12641" s="9">
        <v>20</v>
      </c>
      <c r="G12641">
        <v>20</v>
      </c>
      <c r="H12641">
        <f t="shared" si="397"/>
        <v>0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3724</v>
      </c>
      <c r="E12642" t="s">
        <v>11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No cumple</v>
      </c>
      <c r="D12643">
        <v>3549</v>
      </c>
      <c r="E12643" t="s">
        <v>10</v>
      </c>
      <c r="F12643">
        <v>15</v>
      </c>
      <c r="G12643">
        <v>20</v>
      </c>
      <c r="H12643">
        <f t="shared" si="397"/>
        <v>-5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3620</v>
      </c>
      <c r="E12644" t="s">
        <v>11</v>
      </c>
      <c r="F12644">
        <v>15</v>
      </c>
      <c r="G12644">
        <v>15</v>
      </c>
      <c r="H12644">
        <f t="shared" si="397"/>
        <v>0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9084</v>
      </c>
      <c r="E12645" t="s">
        <v>12</v>
      </c>
      <c r="F12645">
        <v>14</v>
      </c>
      <c r="G12645">
        <v>20</v>
      </c>
      <c r="H12645">
        <f t="shared" si="397"/>
        <v>-6</v>
      </c>
    </row>
    <row r="12646" spans="1:8" x14ac:dyDescent="0.2">
      <c r="A12646" t="s">
        <v>7</v>
      </c>
      <c r="B12646" t="s">
        <v>32</v>
      </c>
      <c r="C12646" t="str">
        <f t="shared" si="398"/>
        <v>No cumple</v>
      </c>
      <c r="D12646">
        <v>9892</v>
      </c>
      <c r="E12646" t="s">
        <v>11</v>
      </c>
      <c r="F12646">
        <v>14</v>
      </c>
      <c r="G12646">
        <v>15</v>
      </c>
      <c r="H12646">
        <f t="shared" si="397"/>
        <v>-1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2060</v>
      </c>
      <c r="E12647" t="s">
        <v>12</v>
      </c>
      <c r="F12647">
        <v>12</v>
      </c>
      <c r="G12647">
        <v>20</v>
      </c>
      <c r="H12647">
        <f t="shared" si="397"/>
        <v>-8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3309</v>
      </c>
      <c r="E12648" t="s">
        <v>11</v>
      </c>
      <c r="F12648">
        <v>12</v>
      </c>
      <c r="G12648">
        <v>15</v>
      </c>
      <c r="H12648">
        <f t="shared" si="397"/>
        <v>-3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3364</v>
      </c>
      <c r="E12649" t="s">
        <v>11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3613</v>
      </c>
      <c r="E12650" t="s">
        <v>10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Cumple</v>
      </c>
      <c r="D12651">
        <v>3685</v>
      </c>
      <c r="E12651" t="s">
        <v>11</v>
      </c>
      <c r="F12651" s="9">
        <v>20</v>
      </c>
      <c r="G12651">
        <v>20</v>
      </c>
      <c r="H12651">
        <f t="shared" si="397"/>
        <v>0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3788</v>
      </c>
      <c r="E12652" t="s">
        <v>11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No cumple</v>
      </c>
      <c r="D12653">
        <v>3905</v>
      </c>
      <c r="E12653" t="s">
        <v>11</v>
      </c>
      <c r="F12653">
        <v>12</v>
      </c>
      <c r="G12653">
        <v>15</v>
      </c>
      <c r="H12653">
        <f t="shared" si="397"/>
        <v>-3</v>
      </c>
    </row>
    <row r="12654" spans="1:8" x14ac:dyDescent="0.2">
      <c r="A12654" t="s">
        <v>7</v>
      </c>
      <c r="B12654" t="s">
        <v>32</v>
      </c>
      <c r="C12654" t="str">
        <f t="shared" si="398"/>
        <v>Cumple</v>
      </c>
      <c r="D12654">
        <v>9948</v>
      </c>
      <c r="E12654" t="s">
        <v>12</v>
      </c>
      <c r="F12654" s="9">
        <v>20</v>
      </c>
      <c r="G12654">
        <v>20</v>
      </c>
      <c r="H12654">
        <f t="shared" si="397"/>
        <v>0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3674</v>
      </c>
      <c r="E12655" t="s">
        <v>12</v>
      </c>
      <c r="F12655">
        <v>11</v>
      </c>
      <c r="G12655">
        <v>15</v>
      </c>
      <c r="H12655">
        <f t="shared" si="397"/>
        <v>-4</v>
      </c>
    </row>
    <row r="12656" spans="1:8" x14ac:dyDescent="0.2">
      <c r="A12656" t="s">
        <v>7</v>
      </c>
      <c r="B12656" t="s">
        <v>32</v>
      </c>
      <c r="C12656" t="str">
        <f t="shared" si="398"/>
        <v>No cumple</v>
      </c>
      <c r="D12656">
        <v>3729</v>
      </c>
      <c r="E12656" t="s">
        <v>11</v>
      </c>
      <c r="F12656">
        <v>11</v>
      </c>
      <c r="G12656">
        <v>15</v>
      </c>
      <c r="H12656">
        <f t="shared" si="397"/>
        <v>-4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3828</v>
      </c>
      <c r="E12657" t="s">
        <v>11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3952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9196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9377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957</v>
      </c>
      <c r="E12661" t="s">
        <v>12</v>
      </c>
      <c r="F12661">
        <v>10</v>
      </c>
      <c r="G12661">
        <v>15</v>
      </c>
      <c r="H12661">
        <f t="shared" si="397"/>
        <v>-5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3480</v>
      </c>
      <c r="E12662" t="s">
        <v>11</v>
      </c>
      <c r="F12662">
        <v>10</v>
      </c>
      <c r="G12662">
        <v>15</v>
      </c>
      <c r="H12662">
        <f t="shared" si="397"/>
        <v>-5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9612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1997</v>
      </c>
      <c r="E12664" t="s">
        <v>10</v>
      </c>
      <c r="F12664">
        <v>9</v>
      </c>
      <c r="G12664">
        <v>15</v>
      </c>
      <c r="H12664">
        <f t="shared" si="397"/>
        <v>-6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3637</v>
      </c>
      <c r="E12665" t="s">
        <v>12</v>
      </c>
      <c r="F12665">
        <v>9</v>
      </c>
      <c r="G12665">
        <v>15</v>
      </c>
      <c r="H12665">
        <f t="shared" si="397"/>
        <v>-6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3945</v>
      </c>
      <c r="E12666" t="s">
        <v>11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4025</v>
      </c>
      <c r="E12667" t="s">
        <v>11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9619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3160</v>
      </c>
      <c r="E12669" t="s">
        <v>11</v>
      </c>
      <c r="F12669">
        <v>8</v>
      </c>
      <c r="G12669">
        <v>15</v>
      </c>
      <c r="H12669">
        <f t="shared" si="397"/>
        <v>-7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3370</v>
      </c>
      <c r="E12670" t="s">
        <v>11</v>
      </c>
      <c r="F12670">
        <v>8</v>
      </c>
      <c r="G12670">
        <v>15</v>
      </c>
      <c r="H12670">
        <f t="shared" si="397"/>
        <v>-7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3806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3636</v>
      </c>
      <c r="E12672" t="s">
        <v>12</v>
      </c>
      <c r="F12672">
        <v>7</v>
      </c>
      <c r="G12672">
        <v>15</v>
      </c>
      <c r="H12672">
        <f t="shared" si="397"/>
        <v>-8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3671</v>
      </c>
      <c r="E12673" t="s">
        <v>12</v>
      </c>
      <c r="F12673">
        <v>7</v>
      </c>
      <c r="G12673">
        <v>15</v>
      </c>
      <c r="H12673">
        <f t="shared" si="397"/>
        <v>-8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1896</v>
      </c>
      <c r="E12674" t="s">
        <v>11</v>
      </c>
      <c r="F12674">
        <v>6</v>
      </c>
      <c r="G12674">
        <v>15</v>
      </c>
      <c r="H12674">
        <f t="shared" ref="H12674:H12737" si="399">F12674-G12674</f>
        <v>-9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9325</v>
      </c>
      <c r="E12675" t="s">
        <v>11</v>
      </c>
      <c r="F12675">
        <v>6</v>
      </c>
      <c r="G12675">
        <v>15</v>
      </c>
      <c r="H12675">
        <f t="shared" si="399"/>
        <v>-9</v>
      </c>
    </row>
    <row r="12676" spans="1:8" x14ac:dyDescent="0.2">
      <c r="A12676" t="s">
        <v>7</v>
      </c>
      <c r="B12676" t="s">
        <v>32</v>
      </c>
      <c r="C12676" t="str">
        <f t="shared" ref="C12676:C12739" si="400">IF(H12676&gt;=0,"Cumple","No cumple")</f>
        <v>No cumple</v>
      </c>
      <c r="D12676">
        <v>1583</v>
      </c>
      <c r="E12676" t="s">
        <v>11</v>
      </c>
      <c r="F12676">
        <v>5</v>
      </c>
      <c r="G12676">
        <v>15</v>
      </c>
      <c r="H12676">
        <f t="shared" si="399"/>
        <v>-10</v>
      </c>
    </row>
    <row r="12677" spans="1:8" x14ac:dyDescent="0.2">
      <c r="A12677" t="s">
        <v>7</v>
      </c>
      <c r="B12677" t="s">
        <v>32</v>
      </c>
      <c r="C12677" t="str">
        <f t="shared" si="400"/>
        <v>No cumple</v>
      </c>
      <c r="D12677">
        <v>1872</v>
      </c>
      <c r="E12677" t="s">
        <v>11</v>
      </c>
      <c r="F12677">
        <v>5</v>
      </c>
      <c r="G12677">
        <v>15</v>
      </c>
      <c r="H12677">
        <f t="shared" si="399"/>
        <v>-10</v>
      </c>
    </row>
    <row r="12678" spans="1:8" x14ac:dyDescent="0.2">
      <c r="A12678" t="s">
        <v>7</v>
      </c>
      <c r="B12678" t="s">
        <v>32</v>
      </c>
      <c r="C12678" t="str">
        <f t="shared" si="400"/>
        <v>No cumple</v>
      </c>
      <c r="D12678">
        <v>3883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3972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9026</v>
      </c>
      <c r="E12680" t="s">
        <v>10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9103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3233</v>
      </c>
      <c r="E12682" t="s">
        <v>11</v>
      </c>
      <c r="F12682">
        <v>4</v>
      </c>
      <c r="G12682">
        <v>15</v>
      </c>
      <c r="H12682">
        <f t="shared" si="399"/>
        <v>-11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9461</v>
      </c>
      <c r="E12683" t="s">
        <v>11</v>
      </c>
      <c r="F12683">
        <v>4</v>
      </c>
      <c r="G12683">
        <v>20</v>
      </c>
      <c r="H12683">
        <f t="shared" si="399"/>
        <v>-16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9981</v>
      </c>
      <c r="E12684" t="s">
        <v>10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3130</v>
      </c>
      <c r="E12685" t="s">
        <v>11</v>
      </c>
      <c r="F12685">
        <v>3</v>
      </c>
      <c r="G12685">
        <v>15</v>
      </c>
      <c r="H12685">
        <f t="shared" si="399"/>
        <v>-12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3998</v>
      </c>
      <c r="E12686" t="s">
        <v>11</v>
      </c>
      <c r="F12686">
        <v>3</v>
      </c>
      <c r="G12686">
        <v>15</v>
      </c>
      <c r="H12686">
        <f t="shared" si="399"/>
        <v>-12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4026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2488</v>
      </c>
      <c r="E12688" t="s">
        <v>10</v>
      </c>
      <c r="F12688">
        <v>2</v>
      </c>
      <c r="G12688">
        <v>15</v>
      </c>
      <c r="H12688">
        <f t="shared" si="399"/>
        <v>-13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2867</v>
      </c>
      <c r="E12689" t="s">
        <v>12</v>
      </c>
      <c r="F12689">
        <v>2</v>
      </c>
      <c r="G12689">
        <v>15</v>
      </c>
      <c r="H12689">
        <f t="shared" si="399"/>
        <v>-13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3881</v>
      </c>
      <c r="E12690" t="s">
        <v>11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3725</v>
      </c>
      <c r="E12691" t="s">
        <v>11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2930</v>
      </c>
      <c r="E12692" t="s">
        <v>11</v>
      </c>
      <c r="F12692">
        <v>1</v>
      </c>
      <c r="G12692">
        <v>15</v>
      </c>
      <c r="H12692">
        <f t="shared" si="399"/>
        <v>-14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3997</v>
      </c>
      <c r="E12693" t="s">
        <v>11</v>
      </c>
      <c r="F12693">
        <v>1</v>
      </c>
      <c r="G12693">
        <v>15</v>
      </c>
      <c r="H12693">
        <f t="shared" si="399"/>
        <v>-14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9129</v>
      </c>
      <c r="E12694" t="s">
        <v>10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9354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9894</v>
      </c>
      <c r="E12696" t="s">
        <v>11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18</v>
      </c>
      <c r="B12697" t="s">
        <v>32</v>
      </c>
      <c r="C12697" t="str">
        <f t="shared" si="400"/>
        <v>No cumple</v>
      </c>
      <c r="D12697">
        <v>1717</v>
      </c>
      <c r="E12697" t="s">
        <v>11</v>
      </c>
      <c r="F12697">
        <v>0</v>
      </c>
      <c r="G12697">
        <v>15</v>
      </c>
      <c r="H12697">
        <f t="shared" si="399"/>
        <v>-15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1809</v>
      </c>
      <c r="E12698" t="s">
        <v>11</v>
      </c>
      <c r="F12698">
        <v>0</v>
      </c>
      <c r="G12698">
        <v>15</v>
      </c>
      <c r="H12698">
        <f t="shared" si="399"/>
        <v>-15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1843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18</v>
      </c>
      <c r="B12700" t="s">
        <v>32</v>
      </c>
      <c r="C12700" t="str">
        <f t="shared" si="400"/>
        <v>No cumple</v>
      </c>
      <c r="D12700">
        <v>2885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3003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3282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3335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3341</v>
      </c>
      <c r="E12704" t="s">
        <v>10</v>
      </c>
      <c r="F12704">
        <v>0</v>
      </c>
      <c r="G12704">
        <v>20</v>
      </c>
      <c r="H12704">
        <f t="shared" si="399"/>
        <v>-20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3357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3426</v>
      </c>
      <c r="E12706" t="s">
        <v>11</v>
      </c>
      <c r="F12706">
        <v>0</v>
      </c>
      <c r="G12706">
        <v>15</v>
      </c>
      <c r="H12706">
        <f t="shared" si="399"/>
        <v>-15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3548</v>
      </c>
      <c r="E12707" t="s">
        <v>10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3569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3599</v>
      </c>
      <c r="E12709" t="s">
        <v>11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3606</v>
      </c>
      <c r="E12710" t="s">
        <v>12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3623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3634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3649</v>
      </c>
      <c r="E12713" t="s">
        <v>12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3673</v>
      </c>
      <c r="E12714" t="s">
        <v>11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3679</v>
      </c>
      <c r="E12715" t="s">
        <v>11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Cumple</v>
      </c>
      <c r="D12716">
        <v>3726</v>
      </c>
      <c r="E12716" t="s">
        <v>11</v>
      </c>
      <c r="F12716" s="9">
        <v>20</v>
      </c>
      <c r="G12716">
        <v>15</v>
      </c>
      <c r="H12716">
        <f t="shared" si="399"/>
        <v>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3787</v>
      </c>
      <c r="E12717" t="s">
        <v>12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No cumple</v>
      </c>
      <c r="D12718">
        <v>3849</v>
      </c>
      <c r="E12718" t="s">
        <v>11</v>
      </c>
      <c r="F12718">
        <v>0</v>
      </c>
      <c r="G12718">
        <v>15</v>
      </c>
      <c r="H12718">
        <f t="shared" si="399"/>
        <v>-15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3882</v>
      </c>
      <c r="E12719" t="s">
        <v>11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7</v>
      </c>
      <c r="B12720" t="s">
        <v>32</v>
      </c>
      <c r="C12720" t="str">
        <f t="shared" si="400"/>
        <v>No cumple</v>
      </c>
      <c r="D12720">
        <v>3907</v>
      </c>
      <c r="E12720" t="s">
        <v>11</v>
      </c>
      <c r="F12720">
        <v>0</v>
      </c>
      <c r="G12720">
        <v>20</v>
      </c>
      <c r="H12720">
        <f t="shared" si="399"/>
        <v>-20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3923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18</v>
      </c>
      <c r="B12722" t="s">
        <v>32</v>
      </c>
      <c r="C12722" t="str">
        <f t="shared" si="400"/>
        <v>No cumple</v>
      </c>
      <c r="D12722">
        <v>3947</v>
      </c>
      <c r="E12722" t="s">
        <v>11</v>
      </c>
      <c r="F12722">
        <v>0</v>
      </c>
      <c r="G12722">
        <v>15</v>
      </c>
      <c r="H12722">
        <f t="shared" si="399"/>
        <v>-15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3954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3973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3982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9053</v>
      </c>
      <c r="E12726" t="s">
        <v>11</v>
      </c>
      <c r="F12726">
        <v>0</v>
      </c>
      <c r="G12726">
        <v>20</v>
      </c>
      <c r="H12726">
        <f t="shared" si="399"/>
        <v>-20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9689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9800</v>
      </c>
      <c r="E12728" t="s">
        <v>11</v>
      </c>
      <c r="F12728">
        <v>0</v>
      </c>
      <c r="G12728">
        <v>15</v>
      </c>
      <c r="H12728">
        <f t="shared" si="399"/>
        <v>-15</v>
      </c>
    </row>
    <row r="12729" spans="1:8" x14ac:dyDescent="0.2">
      <c r="A12729" t="s">
        <v>19</v>
      </c>
      <c r="B12729" t="s">
        <v>32</v>
      </c>
      <c r="C12729" t="str">
        <f t="shared" si="400"/>
        <v>No cumple</v>
      </c>
      <c r="D12729">
        <v>9937</v>
      </c>
      <c r="E12729" t="s">
        <v>10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3242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18</v>
      </c>
      <c r="B12731" t="s">
        <v>32</v>
      </c>
      <c r="C12731" t="str">
        <f t="shared" si="400"/>
        <v>No cumple</v>
      </c>
      <c r="D12731">
        <v>474</v>
      </c>
      <c r="E12731" t="s">
        <v>11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4049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4050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7</v>
      </c>
      <c r="B12734" t="s">
        <v>32</v>
      </c>
      <c r="C12734" t="str">
        <f t="shared" si="400"/>
        <v>Cumple</v>
      </c>
      <c r="D12734">
        <v>1447</v>
      </c>
      <c r="E12734" t="s">
        <v>13</v>
      </c>
      <c r="F12734">
        <v>14</v>
      </c>
      <c r="G12734">
        <v>6</v>
      </c>
      <c r="H12734">
        <f t="shared" si="399"/>
        <v>8</v>
      </c>
    </row>
    <row r="12735" spans="1:8" x14ac:dyDescent="0.2">
      <c r="A12735" t="s">
        <v>7</v>
      </c>
      <c r="B12735" t="s">
        <v>32</v>
      </c>
      <c r="C12735" t="str">
        <f t="shared" si="400"/>
        <v>Cumple</v>
      </c>
      <c r="D12735">
        <v>3691</v>
      </c>
      <c r="E12735" t="s">
        <v>13</v>
      </c>
      <c r="F12735">
        <v>14</v>
      </c>
      <c r="G12735">
        <v>6</v>
      </c>
      <c r="H12735">
        <f t="shared" si="399"/>
        <v>8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3816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222</v>
      </c>
      <c r="E12737" t="s">
        <v>13</v>
      </c>
      <c r="F12737">
        <v>13</v>
      </c>
      <c r="G12737">
        <v>6</v>
      </c>
      <c r="H12737">
        <f t="shared" si="399"/>
        <v>7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1891</v>
      </c>
      <c r="E12738" t="s">
        <v>13</v>
      </c>
      <c r="F12738">
        <v>13</v>
      </c>
      <c r="G12738">
        <v>6</v>
      </c>
      <c r="H12738">
        <f t="shared" ref="H12738:H12801" si="401">F12738-G12738</f>
        <v>7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3769</v>
      </c>
      <c r="E12739" t="s">
        <v>13</v>
      </c>
      <c r="F12739">
        <v>13</v>
      </c>
      <c r="G12739">
        <v>6</v>
      </c>
      <c r="H12739">
        <f t="shared" si="401"/>
        <v>7</v>
      </c>
    </row>
    <row r="12740" spans="1:8" x14ac:dyDescent="0.2">
      <c r="A12740" t="s">
        <v>7</v>
      </c>
      <c r="B12740" t="s">
        <v>32</v>
      </c>
      <c r="C12740" t="str">
        <f t="shared" ref="C12740:C12803" si="402">IF(H12740&gt;=0,"Cumple","No cumple")</f>
        <v>Cumple</v>
      </c>
      <c r="D12740">
        <v>763</v>
      </c>
      <c r="E12740" t="s">
        <v>13</v>
      </c>
      <c r="F12740">
        <v>12</v>
      </c>
      <c r="G12740">
        <v>6</v>
      </c>
      <c r="H12740">
        <f t="shared" si="401"/>
        <v>6</v>
      </c>
    </row>
    <row r="12741" spans="1:8" x14ac:dyDescent="0.2">
      <c r="A12741" t="s">
        <v>7</v>
      </c>
      <c r="B12741" t="s">
        <v>32</v>
      </c>
      <c r="C12741" t="str">
        <f t="shared" si="402"/>
        <v>Cumple</v>
      </c>
      <c r="D12741">
        <v>793</v>
      </c>
      <c r="E12741" t="s">
        <v>13</v>
      </c>
      <c r="F12741">
        <v>12</v>
      </c>
      <c r="G12741">
        <v>6</v>
      </c>
      <c r="H12741">
        <f t="shared" si="401"/>
        <v>6</v>
      </c>
    </row>
    <row r="12742" spans="1:8" x14ac:dyDescent="0.2">
      <c r="A12742" t="s">
        <v>7</v>
      </c>
      <c r="B12742" t="s">
        <v>32</v>
      </c>
      <c r="C12742" t="str">
        <f t="shared" si="402"/>
        <v>Cumple</v>
      </c>
      <c r="D12742">
        <v>2810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2851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3662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927</v>
      </c>
      <c r="E12745" t="s">
        <v>13</v>
      </c>
      <c r="F12745">
        <v>11</v>
      </c>
      <c r="G12745">
        <v>6</v>
      </c>
      <c r="H12745">
        <f t="shared" si="401"/>
        <v>5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1468</v>
      </c>
      <c r="E12746" t="s">
        <v>13</v>
      </c>
      <c r="F12746">
        <v>11</v>
      </c>
      <c r="G12746">
        <v>6</v>
      </c>
      <c r="H12746">
        <f t="shared" si="401"/>
        <v>5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3663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3664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3797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9575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4045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219</v>
      </c>
      <c r="E12752" t="s">
        <v>13</v>
      </c>
      <c r="F12752">
        <v>10</v>
      </c>
      <c r="G12752">
        <v>6</v>
      </c>
      <c r="H12752">
        <f t="shared" si="401"/>
        <v>4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838</v>
      </c>
      <c r="E12753" t="s">
        <v>13</v>
      </c>
      <c r="F12753">
        <v>10</v>
      </c>
      <c r="G12753">
        <v>6</v>
      </c>
      <c r="H12753">
        <f t="shared" si="401"/>
        <v>4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1429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2086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2976</v>
      </c>
      <c r="E12756" t="s">
        <v>13</v>
      </c>
      <c r="F12756">
        <v>10</v>
      </c>
      <c r="G12756">
        <v>3</v>
      </c>
      <c r="H12756">
        <f t="shared" si="401"/>
        <v>7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3416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3666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3815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3818</v>
      </c>
      <c r="E12760" t="s">
        <v>13</v>
      </c>
      <c r="F12760">
        <v>10</v>
      </c>
      <c r="G12760">
        <v>6</v>
      </c>
      <c r="H12760">
        <f t="shared" si="401"/>
        <v>4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9645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9672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9686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3939</v>
      </c>
      <c r="E12764" t="s">
        <v>13</v>
      </c>
      <c r="F12764">
        <v>10</v>
      </c>
      <c r="G12764">
        <v>3</v>
      </c>
      <c r="H12764">
        <f t="shared" si="401"/>
        <v>7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4029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735</v>
      </c>
      <c r="E12766" t="s">
        <v>13</v>
      </c>
      <c r="F12766">
        <v>9</v>
      </c>
      <c r="G12766">
        <v>6</v>
      </c>
      <c r="H12766">
        <f t="shared" si="401"/>
        <v>3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831</v>
      </c>
      <c r="E12767" t="s">
        <v>13</v>
      </c>
      <c r="F12767">
        <v>9</v>
      </c>
      <c r="G12767">
        <v>6</v>
      </c>
      <c r="H12767">
        <f t="shared" si="401"/>
        <v>3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899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1524</v>
      </c>
      <c r="E12769" t="s">
        <v>13</v>
      </c>
      <c r="F12769">
        <v>9</v>
      </c>
      <c r="G12769">
        <v>3</v>
      </c>
      <c r="H12769">
        <f t="shared" si="401"/>
        <v>6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1541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1624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1813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18</v>
      </c>
      <c r="B12773" t="s">
        <v>32</v>
      </c>
      <c r="C12773" t="str">
        <f t="shared" si="402"/>
        <v>Cumple</v>
      </c>
      <c r="D12773">
        <v>1887</v>
      </c>
      <c r="E12773" t="s">
        <v>13</v>
      </c>
      <c r="F12773">
        <v>9</v>
      </c>
      <c r="G12773">
        <v>6</v>
      </c>
      <c r="H12773">
        <f t="shared" si="401"/>
        <v>3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2874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7</v>
      </c>
      <c r="B12775" t="s">
        <v>32</v>
      </c>
      <c r="C12775" t="str">
        <f t="shared" si="402"/>
        <v>Cumple</v>
      </c>
      <c r="D12775">
        <v>3810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3811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3840</v>
      </c>
      <c r="E12777" t="s">
        <v>13</v>
      </c>
      <c r="F12777">
        <v>9</v>
      </c>
      <c r="G12777">
        <v>3</v>
      </c>
      <c r="H12777">
        <f t="shared" si="401"/>
        <v>6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3927</v>
      </c>
      <c r="E12778" t="s">
        <v>13</v>
      </c>
      <c r="F12778">
        <v>9</v>
      </c>
      <c r="G12778">
        <v>3</v>
      </c>
      <c r="H12778">
        <f t="shared" si="401"/>
        <v>6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9017</v>
      </c>
      <c r="E12779" t="s">
        <v>13</v>
      </c>
      <c r="F12779">
        <v>9</v>
      </c>
      <c r="G12779">
        <v>6</v>
      </c>
      <c r="H12779">
        <f t="shared" si="401"/>
        <v>3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9132</v>
      </c>
      <c r="E12780" t="s">
        <v>13</v>
      </c>
      <c r="F12780">
        <v>9</v>
      </c>
      <c r="G12780">
        <v>6</v>
      </c>
      <c r="H12780">
        <f t="shared" si="401"/>
        <v>3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9624</v>
      </c>
      <c r="E12781" t="s">
        <v>13</v>
      </c>
      <c r="F12781">
        <v>9</v>
      </c>
      <c r="G12781" s="9">
        <v>3</v>
      </c>
      <c r="H12781">
        <f t="shared" si="401"/>
        <v>6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9685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9742</v>
      </c>
      <c r="E12783" t="s">
        <v>13</v>
      </c>
      <c r="F12783">
        <v>9</v>
      </c>
      <c r="G12783">
        <v>6</v>
      </c>
      <c r="H12783">
        <f t="shared" si="401"/>
        <v>3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9967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213</v>
      </c>
      <c r="E12785" t="s">
        <v>13</v>
      </c>
      <c r="F12785">
        <v>8</v>
      </c>
      <c r="G12785">
        <v>6</v>
      </c>
      <c r="H12785">
        <f t="shared" si="401"/>
        <v>2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223</v>
      </c>
      <c r="E12786" t="s">
        <v>13</v>
      </c>
      <c r="F12786">
        <v>8</v>
      </c>
      <c r="G12786">
        <v>6</v>
      </c>
      <c r="H12786">
        <f t="shared" si="401"/>
        <v>2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291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760</v>
      </c>
      <c r="E12788" t="s">
        <v>13</v>
      </c>
      <c r="F12788">
        <v>8</v>
      </c>
      <c r="G12788">
        <v>3</v>
      </c>
      <c r="H12788">
        <f t="shared" si="401"/>
        <v>5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951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985</v>
      </c>
      <c r="E12790" t="s">
        <v>13</v>
      </c>
      <c r="F12790">
        <v>8</v>
      </c>
      <c r="G12790">
        <v>6</v>
      </c>
      <c r="H12790">
        <f t="shared" si="401"/>
        <v>2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988</v>
      </c>
      <c r="E12791" t="s">
        <v>13</v>
      </c>
      <c r="F12791">
        <v>8</v>
      </c>
      <c r="G12791">
        <v>3</v>
      </c>
      <c r="H12791">
        <f t="shared" si="401"/>
        <v>5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1445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1466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1550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3693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3695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3744</v>
      </c>
      <c r="E12797" t="s">
        <v>13</v>
      </c>
      <c r="F12797">
        <v>8</v>
      </c>
      <c r="G12797">
        <v>6</v>
      </c>
      <c r="H12797">
        <f t="shared" si="401"/>
        <v>2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3768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3791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3833</v>
      </c>
      <c r="E12800" t="s">
        <v>13</v>
      </c>
      <c r="F12800">
        <v>8</v>
      </c>
      <c r="G12800">
        <v>3</v>
      </c>
      <c r="H12800">
        <f t="shared" si="401"/>
        <v>5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3870</v>
      </c>
      <c r="E12801" t="s">
        <v>13</v>
      </c>
      <c r="F12801">
        <v>8</v>
      </c>
      <c r="G12801">
        <v>3</v>
      </c>
      <c r="H12801">
        <f t="shared" si="401"/>
        <v>5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3926</v>
      </c>
      <c r="E12802" t="s">
        <v>13</v>
      </c>
      <c r="F12802">
        <v>8</v>
      </c>
      <c r="G12802">
        <v>3</v>
      </c>
      <c r="H12802">
        <f t="shared" ref="H12802:H12865" si="403">F12802-G12802</f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3956</v>
      </c>
      <c r="E12803" t="s">
        <v>13</v>
      </c>
      <c r="F12803">
        <v>8</v>
      </c>
      <c r="G12803">
        <v>3</v>
      </c>
      <c r="H12803">
        <f t="shared" si="403"/>
        <v>5</v>
      </c>
    </row>
    <row r="12804" spans="1:8" x14ac:dyDescent="0.2">
      <c r="A12804" t="s">
        <v>7</v>
      </c>
      <c r="B12804" t="s">
        <v>32</v>
      </c>
      <c r="C12804" t="str">
        <f t="shared" ref="C12804:C12867" si="404">IF(H12804&gt;=0,"Cumple","No cumple")</f>
        <v>Cumple</v>
      </c>
      <c r="D12804">
        <v>9720</v>
      </c>
      <c r="E12804" t="s">
        <v>13</v>
      </c>
      <c r="F12804">
        <v>8</v>
      </c>
      <c r="G12804">
        <v>3</v>
      </c>
      <c r="H12804">
        <f t="shared" si="403"/>
        <v>5</v>
      </c>
    </row>
    <row r="12805" spans="1:8" x14ac:dyDescent="0.2">
      <c r="A12805" t="s">
        <v>7</v>
      </c>
      <c r="B12805" t="s">
        <v>32</v>
      </c>
      <c r="C12805" t="str">
        <f t="shared" si="404"/>
        <v>Cumple</v>
      </c>
      <c r="D12805">
        <v>9743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si="404"/>
        <v>Cumple</v>
      </c>
      <c r="D12806">
        <v>707</v>
      </c>
      <c r="E12806" t="s">
        <v>13</v>
      </c>
      <c r="F12806">
        <v>7</v>
      </c>
      <c r="G12806">
        <v>6</v>
      </c>
      <c r="H12806">
        <f t="shared" si="403"/>
        <v>1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784</v>
      </c>
      <c r="E12807" t="s">
        <v>13</v>
      </c>
      <c r="F12807">
        <v>7</v>
      </c>
      <c r="G12807">
        <v>6</v>
      </c>
      <c r="H12807">
        <f t="shared" si="403"/>
        <v>1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785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818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826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830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846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870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923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1226</v>
      </c>
      <c r="E12815" t="s">
        <v>13</v>
      </c>
      <c r="F12815">
        <v>7</v>
      </c>
      <c r="G12815">
        <v>3</v>
      </c>
      <c r="H12815">
        <f t="shared" si="403"/>
        <v>4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1601</v>
      </c>
      <c r="E12816" t="s">
        <v>13</v>
      </c>
      <c r="F12816">
        <v>7</v>
      </c>
      <c r="G12816">
        <v>3</v>
      </c>
      <c r="H12816">
        <f t="shared" si="403"/>
        <v>4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1812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1847</v>
      </c>
      <c r="E12818" t="s">
        <v>13</v>
      </c>
      <c r="F12818">
        <v>7</v>
      </c>
      <c r="G12818">
        <v>6</v>
      </c>
      <c r="H12818">
        <f t="shared" si="403"/>
        <v>1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3278</v>
      </c>
      <c r="E12819" t="s">
        <v>13</v>
      </c>
      <c r="F12819">
        <v>7</v>
      </c>
      <c r="G12819">
        <v>6</v>
      </c>
      <c r="H12819">
        <f t="shared" si="403"/>
        <v>1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3646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3661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3694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3771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3812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3842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3853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3863</v>
      </c>
      <c r="E12827" t="s">
        <v>13</v>
      </c>
      <c r="F12827">
        <v>7</v>
      </c>
      <c r="G12827">
        <v>3</v>
      </c>
      <c r="H12827">
        <f t="shared" si="403"/>
        <v>4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3866</v>
      </c>
      <c r="E12828" t="s">
        <v>13</v>
      </c>
      <c r="F12828">
        <v>7</v>
      </c>
      <c r="G12828">
        <v>3</v>
      </c>
      <c r="H12828">
        <f t="shared" si="403"/>
        <v>4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3891</v>
      </c>
      <c r="E12829" t="s">
        <v>13</v>
      </c>
      <c r="F12829">
        <v>7</v>
      </c>
      <c r="G12829">
        <v>6</v>
      </c>
      <c r="H12829">
        <f t="shared" si="403"/>
        <v>1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9434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9938</v>
      </c>
      <c r="E12831" t="s">
        <v>13</v>
      </c>
      <c r="F12831">
        <v>7</v>
      </c>
      <c r="G12831">
        <v>3</v>
      </c>
      <c r="H12831">
        <f t="shared" si="403"/>
        <v>4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9950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205</v>
      </c>
      <c r="E12833" t="s">
        <v>13</v>
      </c>
      <c r="F12833">
        <v>6</v>
      </c>
      <c r="G12833">
        <v>3</v>
      </c>
      <c r="H12833">
        <f t="shared" si="403"/>
        <v>3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220</v>
      </c>
      <c r="E12834" t="s">
        <v>13</v>
      </c>
      <c r="F12834">
        <v>6</v>
      </c>
      <c r="G12834">
        <v>6</v>
      </c>
      <c r="H12834">
        <f t="shared" si="403"/>
        <v>0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239</v>
      </c>
      <c r="E12835" t="s">
        <v>13</v>
      </c>
      <c r="F12835">
        <v>6</v>
      </c>
      <c r="G12835">
        <v>6</v>
      </c>
      <c r="H12835">
        <f t="shared" si="403"/>
        <v>0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283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292</v>
      </c>
      <c r="E12837" t="s">
        <v>13</v>
      </c>
      <c r="F12837">
        <v>6</v>
      </c>
      <c r="G12837">
        <v>3</v>
      </c>
      <c r="H12837">
        <f t="shared" si="403"/>
        <v>3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498</v>
      </c>
      <c r="E12838" t="s">
        <v>13</v>
      </c>
      <c r="F12838">
        <v>6</v>
      </c>
      <c r="G12838">
        <v>3</v>
      </c>
      <c r="H12838">
        <f t="shared" si="403"/>
        <v>3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879</v>
      </c>
      <c r="E12839" t="s">
        <v>13</v>
      </c>
      <c r="F12839">
        <v>6</v>
      </c>
      <c r="G12839">
        <v>6</v>
      </c>
      <c r="H12839">
        <f t="shared" si="403"/>
        <v>0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950</v>
      </c>
      <c r="E12840" t="s">
        <v>13</v>
      </c>
      <c r="F12840">
        <v>6</v>
      </c>
      <c r="G12840">
        <v>6</v>
      </c>
      <c r="H12840">
        <f t="shared" si="403"/>
        <v>0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1146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1416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1443</v>
      </c>
      <c r="E12843" t="s">
        <v>13</v>
      </c>
      <c r="F12843">
        <v>6</v>
      </c>
      <c r="G12843">
        <v>3</v>
      </c>
      <c r="H12843">
        <f t="shared" si="403"/>
        <v>3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1482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1699</v>
      </c>
      <c r="E12845" t="s">
        <v>13</v>
      </c>
      <c r="F12845">
        <v>6</v>
      </c>
      <c r="G12845">
        <v>6</v>
      </c>
      <c r="H12845">
        <f t="shared" si="403"/>
        <v>0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1793</v>
      </c>
      <c r="E12846" t="s">
        <v>13</v>
      </c>
      <c r="F12846">
        <v>6</v>
      </c>
      <c r="G12846">
        <v>3</v>
      </c>
      <c r="H12846">
        <f t="shared" si="403"/>
        <v>3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2275</v>
      </c>
      <c r="E12847" t="s">
        <v>13</v>
      </c>
      <c r="F12847">
        <v>6</v>
      </c>
      <c r="G12847">
        <v>3</v>
      </c>
      <c r="H12847">
        <f t="shared" si="403"/>
        <v>3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2583</v>
      </c>
      <c r="E12848" t="s">
        <v>13</v>
      </c>
      <c r="F12848">
        <v>6</v>
      </c>
      <c r="G12848">
        <v>6</v>
      </c>
      <c r="H12848">
        <f t="shared" si="403"/>
        <v>0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2862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2963</v>
      </c>
      <c r="E12850" t="s">
        <v>13</v>
      </c>
      <c r="F12850">
        <v>6</v>
      </c>
      <c r="G12850">
        <v>3</v>
      </c>
      <c r="H12850">
        <f t="shared" si="403"/>
        <v>3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2982</v>
      </c>
      <c r="E12851" t="s">
        <v>13</v>
      </c>
      <c r="F12851">
        <v>6</v>
      </c>
      <c r="G12851">
        <v>6</v>
      </c>
      <c r="H12851">
        <f t="shared" si="403"/>
        <v>0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3236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3566</v>
      </c>
      <c r="E12853" t="s">
        <v>13</v>
      </c>
      <c r="F12853">
        <v>6</v>
      </c>
      <c r="G12853">
        <v>3</v>
      </c>
      <c r="H12853">
        <f t="shared" si="403"/>
        <v>3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3740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3767</v>
      </c>
      <c r="E12855" t="s">
        <v>13</v>
      </c>
      <c r="F12855">
        <v>6</v>
      </c>
      <c r="G12855">
        <v>6</v>
      </c>
      <c r="H12855">
        <f t="shared" si="403"/>
        <v>0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3838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3912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9134</v>
      </c>
      <c r="E12858" t="s">
        <v>13</v>
      </c>
      <c r="F12858">
        <v>6</v>
      </c>
      <c r="G12858">
        <v>6</v>
      </c>
      <c r="H12858">
        <f t="shared" si="403"/>
        <v>0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9154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9490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9626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9795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4043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4044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4034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207</v>
      </c>
      <c r="E12866" t="s">
        <v>13</v>
      </c>
      <c r="F12866">
        <v>5</v>
      </c>
      <c r="G12866">
        <v>3</v>
      </c>
      <c r="H12866">
        <f t="shared" ref="H12866:H12929" si="405">F12866-G12866</f>
        <v>2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210</v>
      </c>
      <c r="E12867" t="s">
        <v>13</v>
      </c>
      <c r="F12867">
        <v>5</v>
      </c>
      <c r="G12867">
        <v>3</v>
      </c>
      <c r="H12867">
        <f t="shared" si="405"/>
        <v>2</v>
      </c>
    </row>
    <row r="12868" spans="1:8" x14ac:dyDescent="0.2">
      <c r="A12868" t="s">
        <v>7</v>
      </c>
      <c r="B12868" t="s">
        <v>32</v>
      </c>
      <c r="C12868" t="str">
        <f t="shared" ref="C12868:C12931" si="406">IF(H12868&gt;=0,"Cumple","No cumple")</f>
        <v>Cumple</v>
      </c>
      <c r="D12868">
        <v>217</v>
      </c>
      <c r="E12868" t="s">
        <v>13</v>
      </c>
      <c r="F12868">
        <v>5</v>
      </c>
      <c r="G12868">
        <v>3</v>
      </c>
      <c r="H12868">
        <f t="shared" si="405"/>
        <v>2</v>
      </c>
    </row>
    <row r="12869" spans="1:8" x14ac:dyDescent="0.2">
      <c r="A12869" t="s">
        <v>7</v>
      </c>
      <c r="B12869" t="s">
        <v>32</v>
      </c>
      <c r="C12869" t="str">
        <f t="shared" si="406"/>
        <v>Cumple</v>
      </c>
      <c r="D12869">
        <v>221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si="406"/>
        <v>Cumple</v>
      </c>
      <c r="D12870">
        <v>766</v>
      </c>
      <c r="E12870" t="s">
        <v>13</v>
      </c>
      <c r="F12870" s="9">
        <v>6</v>
      </c>
      <c r="G12870">
        <v>6</v>
      </c>
      <c r="H12870">
        <f t="shared" si="405"/>
        <v>0</v>
      </c>
    </row>
    <row r="12871" spans="1:8" x14ac:dyDescent="0.2">
      <c r="A12871" t="s">
        <v>7</v>
      </c>
      <c r="B12871" t="s">
        <v>32</v>
      </c>
      <c r="C12871" t="str">
        <f t="shared" si="406"/>
        <v>No cumple</v>
      </c>
      <c r="D12871">
        <v>1401</v>
      </c>
      <c r="E12871" t="s">
        <v>13</v>
      </c>
      <c r="F12871">
        <v>5</v>
      </c>
      <c r="G12871">
        <v>6</v>
      </c>
      <c r="H12871">
        <f t="shared" si="405"/>
        <v>-1</v>
      </c>
    </row>
    <row r="12872" spans="1:8" x14ac:dyDescent="0.2">
      <c r="A12872" t="s">
        <v>7</v>
      </c>
      <c r="B12872" t="s">
        <v>32</v>
      </c>
      <c r="C12872" t="str">
        <f t="shared" si="406"/>
        <v>No cumple</v>
      </c>
      <c r="D12872">
        <v>1420</v>
      </c>
      <c r="E12872" t="s">
        <v>13</v>
      </c>
      <c r="F12872">
        <v>5</v>
      </c>
      <c r="G12872">
        <v>6</v>
      </c>
      <c r="H12872">
        <f t="shared" si="405"/>
        <v>-1</v>
      </c>
    </row>
    <row r="12873" spans="1:8" x14ac:dyDescent="0.2">
      <c r="A12873" t="s">
        <v>7</v>
      </c>
      <c r="B12873" t="s">
        <v>32</v>
      </c>
      <c r="C12873" t="str">
        <f t="shared" si="406"/>
        <v>Cumple</v>
      </c>
      <c r="D12873">
        <v>1487</v>
      </c>
      <c r="E12873" t="s">
        <v>13</v>
      </c>
      <c r="F12873">
        <v>5</v>
      </c>
      <c r="G12873">
        <v>3</v>
      </c>
      <c r="H12873">
        <f t="shared" si="405"/>
        <v>2</v>
      </c>
    </row>
    <row r="12874" spans="1:8" x14ac:dyDescent="0.2">
      <c r="A12874" t="s">
        <v>7</v>
      </c>
      <c r="B12874" t="s">
        <v>32</v>
      </c>
      <c r="C12874" t="str">
        <f t="shared" si="406"/>
        <v>Cumple</v>
      </c>
      <c r="D12874">
        <v>1798</v>
      </c>
      <c r="E12874" t="s">
        <v>13</v>
      </c>
      <c r="F12874">
        <v>5</v>
      </c>
      <c r="G12874">
        <v>3</v>
      </c>
      <c r="H12874">
        <f t="shared" si="405"/>
        <v>2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1857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No cumple</v>
      </c>
      <c r="D12876">
        <v>2014</v>
      </c>
      <c r="E12876" t="s">
        <v>13</v>
      </c>
      <c r="F12876">
        <v>5</v>
      </c>
      <c r="G12876">
        <v>6</v>
      </c>
      <c r="H12876">
        <f t="shared" si="405"/>
        <v>-1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2502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Cumple</v>
      </c>
      <c r="D12878">
        <v>2829</v>
      </c>
      <c r="E12878" t="s">
        <v>13</v>
      </c>
      <c r="F12878">
        <v>5</v>
      </c>
      <c r="G12878">
        <v>3</v>
      </c>
      <c r="H12878">
        <f t="shared" si="405"/>
        <v>2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2852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3449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3509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3576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3795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3796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3843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3855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3868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3974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9102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9158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9246</v>
      </c>
      <c r="E12891" t="s">
        <v>13</v>
      </c>
      <c r="F12891" s="9">
        <v>6</v>
      </c>
      <c r="G12891">
        <v>6</v>
      </c>
      <c r="H12891">
        <f t="shared" si="405"/>
        <v>0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3984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3985</v>
      </c>
      <c r="E12893" t="s">
        <v>13</v>
      </c>
      <c r="F12893">
        <v>5</v>
      </c>
      <c r="G12893">
        <v>3</v>
      </c>
      <c r="H12893">
        <f t="shared" si="405"/>
        <v>2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4033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No cumple</v>
      </c>
      <c r="D12895">
        <v>4056</v>
      </c>
      <c r="E12895" t="s">
        <v>13</v>
      </c>
      <c r="F12895">
        <v>5</v>
      </c>
      <c r="G12895">
        <v>6</v>
      </c>
      <c r="H12895">
        <f t="shared" si="405"/>
        <v>-1</v>
      </c>
    </row>
    <row r="12896" spans="1:8" x14ac:dyDescent="0.2">
      <c r="A12896" t="s">
        <v>7</v>
      </c>
      <c r="B12896" t="s">
        <v>32</v>
      </c>
      <c r="C12896" t="str">
        <f t="shared" si="406"/>
        <v>No cumple</v>
      </c>
      <c r="D12896">
        <v>4028</v>
      </c>
      <c r="E12896" t="s">
        <v>13</v>
      </c>
      <c r="F12896">
        <v>5</v>
      </c>
      <c r="G12896">
        <v>6</v>
      </c>
      <c r="H12896">
        <f t="shared" si="405"/>
        <v>-1</v>
      </c>
    </row>
    <row r="12897" spans="1:8" x14ac:dyDescent="0.2">
      <c r="A12897" t="s">
        <v>7</v>
      </c>
      <c r="B12897" t="s">
        <v>32</v>
      </c>
      <c r="C12897" t="str">
        <f t="shared" si="406"/>
        <v>Cumple</v>
      </c>
      <c r="D12897">
        <v>224</v>
      </c>
      <c r="E12897" t="s">
        <v>13</v>
      </c>
      <c r="F12897">
        <v>4</v>
      </c>
      <c r="G12897">
        <v>3</v>
      </c>
      <c r="H12897">
        <f t="shared" si="405"/>
        <v>1</v>
      </c>
    </row>
    <row r="12898" spans="1:8" x14ac:dyDescent="0.2">
      <c r="A12898" t="s">
        <v>7</v>
      </c>
      <c r="B12898" t="s">
        <v>32</v>
      </c>
      <c r="C12898" t="str">
        <f t="shared" si="406"/>
        <v>Cumple</v>
      </c>
      <c r="D12898">
        <v>247</v>
      </c>
      <c r="E12898" t="s">
        <v>13</v>
      </c>
      <c r="F12898">
        <v>4</v>
      </c>
      <c r="G12898">
        <v>3</v>
      </c>
      <c r="H12898">
        <f t="shared" si="405"/>
        <v>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677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717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790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803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859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903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1224</v>
      </c>
      <c r="E12905" t="s">
        <v>13</v>
      </c>
      <c r="F12905">
        <v>4</v>
      </c>
      <c r="G12905" s="9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1410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1434</v>
      </c>
      <c r="E12907" t="s">
        <v>13</v>
      </c>
      <c r="F12907">
        <v>4</v>
      </c>
      <c r="G12907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1458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1553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1584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1594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2356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2722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2848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2850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2946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2970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2972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3180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No cumple</v>
      </c>
      <c r="D12920">
        <v>3595</v>
      </c>
      <c r="E12920" t="s">
        <v>13</v>
      </c>
      <c r="F12920">
        <v>4</v>
      </c>
      <c r="G12920">
        <v>6</v>
      </c>
      <c r="H12920">
        <f t="shared" si="405"/>
        <v>-2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3746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Cumple</v>
      </c>
      <c r="D12922">
        <v>3809</v>
      </c>
      <c r="E12922" t="s">
        <v>13</v>
      </c>
      <c r="F12922">
        <v>4</v>
      </c>
      <c r="G12922">
        <v>3</v>
      </c>
      <c r="H12922">
        <f t="shared" si="405"/>
        <v>1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9020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9301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9382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No cumple</v>
      </c>
      <c r="D12926">
        <v>9527</v>
      </c>
      <c r="E12926" t="s">
        <v>13</v>
      </c>
      <c r="F12926">
        <v>4</v>
      </c>
      <c r="G12926">
        <v>6</v>
      </c>
      <c r="H12926">
        <f t="shared" si="405"/>
        <v>-2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9921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9935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9953</v>
      </c>
      <c r="E12929" t="s">
        <v>13</v>
      </c>
      <c r="F12929">
        <v>4</v>
      </c>
      <c r="G12929" s="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Cumple</v>
      </c>
      <c r="D12930">
        <v>9991</v>
      </c>
      <c r="E12930" t="s">
        <v>13</v>
      </c>
      <c r="F12930">
        <v>4</v>
      </c>
      <c r="G12930">
        <v>3</v>
      </c>
      <c r="H12930">
        <f t="shared" ref="H12930:H12993" si="407">F12930-G12930</f>
        <v>1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3986</v>
      </c>
      <c r="E12931" t="s">
        <v>13</v>
      </c>
      <c r="F12931">
        <v>4</v>
      </c>
      <c r="G12931">
        <v>3</v>
      </c>
      <c r="H12931">
        <f t="shared" si="407"/>
        <v>1</v>
      </c>
    </row>
    <row r="12932" spans="1:8" x14ac:dyDescent="0.2">
      <c r="A12932" t="s">
        <v>7</v>
      </c>
      <c r="B12932" t="s">
        <v>32</v>
      </c>
      <c r="C12932" t="str">
        <f t="shared" ref="C12932:C12995" si="408">IF(H12932&gt;=0,"Cumple","No cumple")</f>
        <v>Cumple</v>
      </c>
      <c r="D12932">
        <v>774</v>
      </c>
      <c r="E12932" t="s">
        <v>13</v>
      </c>
      <c r="F12932">
        <v>4</v>
      </c>
      <c r="G12932">
        <v>3</v>
      </c>
      <c r="H12932">
        <f t="shared" si="407"/>
        <v>1</v>
      </c>
    </row>
    <row r="12933" spans="1:8" x14ac:dyDescent="0.2">
      <c r="A12933" t="s">
        <v>7</v>
      </c>
      <c r="B12933" t="s">
        <v>32</v>
      </c>
      <c r="C12933" t="str">
        <f t="shared" si="408"/>
        <v>No cumple</v>
      </c>
      <c r="D12933">
        <v>754</v>
      </c>
      <c r="E12933" t="s">
        <v>13</v>
      </c>
      <c r="F12933">
        <v>3</v>
      </c>
      <c r="G12933">
        <v>6</v>
      </c>
      <c r="H12933">
        <f t="shared" si="407"/>
        <v>-3</v>
      </c>
    </row>
    <row r="12934" spans="1:8" x14ac:dyDescent="0.2">
      <c r="A12934" t="s">
        <v>7</v>
      </c>
      <c r="B12934" t="s">
        <v>32</v>
      </c>
      <c r="C12934" t="str">
        <f t="shared" si="408"/>
        <v>Cumple</v>
      </c>
      <c r="D12934">
        <v>917</v>
      </c>
      <c r="E12934" t="s">
        <v>13</v>
      </c>
      <c r="F12934">
        <v>3</v>
      </c>
      <c r="G12934">
        <v>3</v>
      </c>
      <c r="H12934">
        <f t="shared" si="407"/>
        <v>0</v>
      </c>
    </row>
    <row r="12935" spans="1:8" x14ac:dyDescent="0.2">
      <c r="A12935" t="s">
        <v>7</v>
      </c>
      <c r="B12935" t="s">
        <v>32</v>
      </c>
      <c r="C12935" t="str">
        <f t="shared" si="408"/>
        <v>Cumple</v>
      </c>
      <c r="D12935">
        <v>1423</v>
      </c>
      <c r="E12935" t="s">
        <v>13</v>
      </c>
      <c r="F12935">
        <v>3</v>
      </c>
      <c r="G12935">
        <v>3</v>
      </c>
      <c r="H12935">
        <f t="shared" si="407"/>
        <v>0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1453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1698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1773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No cumple</v>
      </c>
      <c r="D12939">
        <v>1774</v>
      </c>
      <c r="E12939" t="s">
        <v>13</v>
      </c>
      <c r="F12939">
        <v>3</v>
      </c>
      <c r="G12939">
        <v>6</v>
      </c>
      <c r="H12939">
        <f t="shared" si="407"/>
        <v>-3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1828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Cumple</v>
      </c>
      <c r="D12941">
        <v>1878</v>
      </c>
      <c r="E12941" t="s">
        <v>13</v>
      </c>
      <c r="F12941">
        <v>3</v>
      </c>
      <c r="G12941">
        <v>3</v>
      </c>
      <c r="H12941">
        <f t="shared" si="407"/>
        <v>0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1879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2653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2703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3541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3562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3565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3643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3735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3741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3887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3893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3913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9333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9656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9665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9837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1451</v>
      </c>
      <c r="E12958" t="s">
        <v>13</v>
      </c>
      <c r="F12958">
        <v>3</v>
      </c>
      <c r="G12958" s="9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9381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3770</v>
      </c>
      <c r="E12960" t="s">
        <v>13</v>
      </c>
      <c r="F12960">
        <v>3</v>
      </c>
      <c r="G12960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1209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No cumple</v>
      </c>
      <c r="D12962">
        <v>240</v>
      </c>
      <c r="E12962" t="s">
        <v>13</v>
      </c>
      <c r="F12962">
        <v>2</v>
      </c>
      <c r="G12962">
        <v>3</v>
      </c>
      <c r="H12962">
        <f t="shared" si="407"/>
        <v>-1</v>
      </c>
    </row>
    <row r="12963" spans="1:8" x14ac:dyDescent="0.2">
      <c r="A12963" t="s">
        <v>7</v>
      </c>
      <c r="B12963" t="s">
        <v>32</v>
      </c>
      <c r="C12963" t="str">
        <f t="shared" si="408"/>
        <v>No cumple</v>
      </c>
      <c r="D12963">
        <v>248</v>
      </c>
      <c r="E12963" t="s">
        <v>13</v>
      </c>
      <c r="F12963">
        <v>2</v>
      </c>
      <c r="G12963">
        <v>3</v>
      </c>
      <c r="H12963">
        <f t="shared" si="407"/>
        <v>-1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251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715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772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807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18</v>
      </c>
      <c r="B12968" t="s">
        <v>32</v>
      </c>
      <c r="C12968" t="str">
        <f t="shared" si="408"/>
        <v>No cumple</v>
      </c>
      <c r="D12968">
        <v>1402</v>
      </c>
      <c r="E12968" t="s">
        <v>13</v>
      </c>
      <c r="F12968">
        <v>2</v>
      </c>
      <c r="G12968">
        <v>6</v>
      </c>
      <c r="H12968">
        <f t="shared" si="407"/>
        <v>-4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1485</v>
      </c>
      <c r="E12969" t="s">
        <v>13</v>
      </c>
      <c r="F12969">
        <v>2</v>
      </c>
      <c r="G12969">
        <v>6</v>
      </c>
      <c r="H12969">
        <f t="shared" si="407"/>
        <v>-4</v>
      </c>
    </row>
    <row r="12970" spans="1:8" x14ac:dyDescent="0.2">
      <c r="A12970" t="s">
        <v>7</v>
      </c>
      <c r="B12970" t="s">
        <v>32</v>
      </c>
      <c r="C12970" t="str">
        <f t="shared" si="408"/>
        <v>No cumple</v>
      </c>
      <c r="D12970">
        <v>1615</v>
      </c>
      <c r="E12970" t="s">
        <v>13</v>
      </c>
      <c r="F12970">
        <v>2</v>
      </c>
      <c r="G12970">
        <v>3</v>
      </c>
      <c r="H12970">
        <f t="shared" si="407"/>
        <v>-1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2864</v>
      </c>
      <c r="E12971" t="s">
        <v>13</v>
      </c>
      <c r="F12971">
        <v>2</v>
      </c>
      <c r="G12971">
        <v>3</v>
      </c>
      <c r="H12971">
        <f t="shared" si="407"/>
        <v>-1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2973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3079</v>
      </c>
      <c r="E12973" t="s">
        <v>13</v>
      </c>
      <c r="F12973">
        <v>2</v>
      </c>
      <c r="G12973">
        <v>6</v>
      </c>
      <c r="H12973">
        <f t="shared" si="407"/>
        <v>-4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3424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3590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3733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3790</v>
      </c>
      <c r="E12977" t="s">
        <v>13</v>
      </c>
      <c r="F12977">
        <v>2</v>
      </c>
      <c r="G12977">
        <v>3</v>
      </c>
      <c r="H12977">
        <f t="shared" si="407"/>
        <v>-1</v>
      </c>
    </row>
    <row r="12978" spans="1:8" x14ac:dyDescent="0.2">
      <c r="A12978" t="s">
        <v>18</v>
      </c>
      <c r="B12978" t="s">
        <v>32</v>
      </c>
      <c r="C12978" t="str">
        <f t="shared" si="408"/>
        <v>No cumple</v>
      </c>
      <c r="D12978">
        <v>3865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9510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7</v>
      </c>
      <c r="B12980" t="s">
        <v>32</v>
      </c>
      <c r="C12980" t="str">
        <f t="shared" si="408"/>
        <v>No cumple</v>
      </c>
      <c r="D12980">
        <v>9637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9684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9744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9952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Cumple</v>
      </c>
      <c r="D12984">
        <v>4042</v>
      </c>
      <c r="E12984" t="s">
        <v>13</v>
      </c>
      <c r="F12984" s="9">
        <v>3</v>
      </c>
      <c r="G12984">
        <v>3</v>
      </c>
      <c r="H12984">
        <f t="shared" si="407"/>
        <v>0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4055</v>
      </c>
      <c r="E12985" t="s">
        <v>13</v>
      </c>
      <c r="F12985">
        <v>2</v>
      </c>
      <c r="G12985">
        <v>6</v>
      </c>
      <c r="H12985">
        <f t="shared" si="407"/>
        <v>-4</v>
      </c>
    </row>
    <row r="12986" spans="1:8" x14ac:dyDescent="0.2">
      <c r="A12986" t="s">
        <v>7</v>
      </c>
      <c r="B12986" t="s">
        <v>32</v>
      </c>
      <c r="C12986" t="str">
        <f t="shared" si="408"/>
        <v>No cumple</v>
      </c>
      <c r="D12986">
        <v>679</v>
      </c>
      <c r="E12986" t="s">
        <v>13</v>
      </c>
      <c r="F12986">
        <v>1</v>
      </c>
      <c r="G12986">
        <v>3</v>
      </c>
      <c r="H12986">
        <f t="shared" si="407"/>
        <v>-2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795</v>
      </c>
      <c r="E12987" t="s">
        <v>13</v>
      </c>
      <c r="F12987">
        <v>1</v>
      </c>
      <c r="G12987">
        <v>6</v>
      </c>
      <c r="H12987">
        <f t="shared" si="407"/>
        <v>-5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821</v>
      </c>
      <c r="E12988" t="s">
        <v>13</v>
      </c>
      <c r="F12988">
        <v>1</v>
      </c>
      <c r="G12988" s="9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837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858</v>
      </c>
      <c r="E12990" t="s">
        <v>13</v>
      </c>
      <c r="F12990">
        <v>1</v>
      </c>
      <c r="G12990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865</v>
      </c>
      <c r="E12991" t="s">
        <v>13</v>
      </c>
      <c r="F12991">
        <v>1</v>
      </c>
      <c r="G12991">
        <v>3</v>
      </c>
      <c r="H12991">
        <f t="shared" si="407"/>
        <v>-2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1411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1425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1437</v>
      </c>
      <c r="E12994" t="s">
        <v>13</v>
      </c>
      <c r="F12994">
        <v>1</v>
      </c>
      <c r="G12994">
        <v>3</v>
      </c>
      <c r="H12994">
        <f t="shared" ref="H12994:H13057" si="409">F12994-G12994</f>
        <v>-2</v>
      </c>
    </row>
    <row r="12995" spans="1:8" x14ac:dyDescent="0.2">
      <c r="A12995" t="s">
        <v>18</v>
      </c>
      <c r="B12995" t="s">
        <v>32</v>
      </c>
      <c r="C12995" t="str">
        <f t="shared" si="408"/>
        <v>No cumple</v>
      </c>
      <c r="D12995">
        <v>1441</v>
      </c>
      <c r="E12995" t="s">
        <v>13</v>
      </c>
      <c r="F12995">
        <v>1</v>
      </c>
      <c r="G12995">
        <v>3</v>
      </c>
      <c r="H12995">
        <f t="shared" si="409"/>
        <v>-2</v>
      </c>
    </row>
    <row r="12996" spans="1:8" x14ac:dyDescent="0.2">
      <c r="A12996" t="s">
        <v>7</v>
      </c>
      <c r="B12996" t="s">
        <v>32</v>
      </c>
      <c r="C12996" t="str">
        <f t="shared" ref="C12996:C13059" si="410">IF(H12996&gt;=0,"Cumple","No cumple")</f>
        <v>No cumple</v>
      </c>
      <c r="D12996">
        <v>2563</v>
      </c>
      <c r="E12996" t="s">
        <v>13</v>
      </c>
      <c r="F12996">
        <v>1</v>
      </c>
      <c r="G12996">
        <v>3</v>
      </c>
      <c r="H12996">
        <f t="shared" si="409"/>
        <v>-2</v>
      </c>
    </row>
    <row r="12997" spans="1:8" x14ac:dyDescent="0.2">
      <c r="A12997" t="s">
        <v>7</v>
      </c>
      <c r="B12997" t="s">
        <v>32</v>
      </c>
      <c r="C12997" t="str">
        <f t="shared" si="410"/>
        <v>No cumple</v>
      </c>
      <c r="D12997">
        <v>2960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si="410"/>
        <v>No cumple</v>
      </c>
      <c r="D12998">
        <v>2974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2983</v>
      </c>
      <c r="E12999" t="s">
        <v>13</v>
      </c>
      <c r="F12999">
        <v>1</v>
      </c>
      <c r="G12999">
        <v>6</v>
      </c>
      <c r="H12999">
        <f t="shared" si="409"/>
        <v>-5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3294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3545</v>
      </c>
      <c r="E13001" t="s">
        <v>13</v>
      </c>
      <c r="F13001">
        <v>1</v>
      </c>
      <c r="G13001">
        <v>3</v>
      </c>
      <c r="H13001">
        <f t="shared" si="409"/>
        <v>-2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3677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3703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18</v>
      </c>
      <c r="B13004" t="s">
        <v>32</v>
      </c>
      <c r="C13004" t="str">
        <f t="shared" si="410"/>
        <v>No cumple</v>
      </c>
      <c r="D13004">
        <v>3819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3884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7</v>
      </c>
      <c r="B13006" t="s">
        <v>32</v>
      </c>
      <c r="C13006" t="str">
        <f t="shared" si="410"/>
        <v>No cumple</v>
      </c>
      <c r="D13006">
        <v>9035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9658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9767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9821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319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747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226</v>
      </c>
      <c r="E13012" t="s">
        <v>13</v>
      </c>
      <c r="F13012">
        <v>0</v>
      </c>
      <c r="G13012">
        <v>3</v>
      </c>
      <c r="H13012">
        <f t="shared" si="409"/>
        <v>-3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227</v>
      </c>
      <c r="E13013" t="s">
        <v>13</v>
      </c>
      <c r="F13013">
        <v>0</v>
      </c>
      <c r="G13013">
        <v>3</v>
      </c>
      <c r="H13013">
        <f t="shared" si="409"/>
        <v>-3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230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18</v>
      </c>
      <c r="B13015" t="s">
        <v>32</v>
      </c>
      <c r="C13015" t="str">
        <f t="shared" si="410"/>
        <v>No cumple</v>
      </c>
      <c r="D13015">
        <v>233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243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7</v>
      </c>
      <c r="B13017" t="s">
        <v>32</v>
      </c>
      <c r="C13017" t="str">
        <f t="shared" si="410"/>
        <v>No cumple</v>
      </c>
      <c r="D13017">
        <v>245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756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18</v>
      </c>
      <c r="B13019" t="s">
        <v>32</v>
      </c>
      <c r="C13019" t="str">
        <f t="shared" si="410"/>
        <v>No cumple</v>
      </c>
      <c r="D13019">
        <v>781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18</v>
      </c>
      <c r="B13020" t="s">
        <v>32</v>
      </c>
      <c r="C13020" t="str">
        <f t="shared" si="410"/>
        <v>No cumple</v>
      </c>
      <c r="D13020">
        <v>794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7</v>
      </c>
      <c r="B13021" t="s">
        <v>32</v>
      </c>
      <c r="C13021" t="str">
        <f t="shared" si="410"/>
        <v>No cumple</v>
      </c>
      <c r="D13021">
        <v>836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7</v>
      </c>
      <c r="B13022" t="s">
        <v>32</v>
      </c>
      <c r="C13022" t="str">
        <f t="shared" si="410"/>
        <v>No cumple</v>
      </c>
      <c r="D13022">
        <v>847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902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926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18</v>
      </c>
      <c r="B13025" t="s">
        <v>32</v>
      </c>
      <c r="C13025" t="str">
        <f t="shared" si="410"/>
        <v>No cumple</v>
      </c>
      <c r="D13025">
        <v>991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1297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1448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1470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7</v>
      </c>
      <c r="B13029" t="s">
        <v>32</v>
      </c>
      <c r="C13029" t="str">
        <f t="shared" si="410"/>
        <v>No cumple</v>
      </c>
      <c r="D13029">
        <v>1472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19</v>
      </c>
      <c r="B13030" t="s">
        <v>32</v>
      </c>
      <c r="C13030" t="str">
        <f t="shared" si="410"/>
        <v>No cumple</v>
      </c>
      <c r="D13030">
        <v>1480</v>
      </c>
      <c r="E13030" t="s">
        <v>13</v>
      </c>
      <c r="F13030">
        <v>0</v>
      </c>
      <c r="G13030">
        <v>6</v>
      </c>
      <c r="H13030">
        <f t="shared" si="409"/>
        <v>-6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1502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1567</v>
      </c>
      <c r="E13032" t="s">
        <v>13</v>
      </c>
      <c r="F13032">
        <v>0</v>
      </c>
      <c r="G13032">
        <v>3</v>
      </c>
      <c r="H13032">
        <f t="shared" si="409"/>
        <v>-3</v>
      </c>
    </row>
    <row r="13033" spans="1:8" x14ac:dyDescent="0.2">
      <c r="A13033" t="s">
        <v>18</v>
      </c>
      <c r="B13033" t="s">
        <v>32</v>
      </c>
      <c r="C13033" t="str">
        <f t="shared" si="410"/>
        <v>Cumple</v>
      </c>
      <c r="D13033">
        <v>1595</v>
      </c>
      <c r="E13033" t="s">
        <v>13</v>
      </c>
      <c r="F13033" s="9">
        <v>6</v>
      </c>
      <c r="G13033">
        <v>6</v>
      </c>
      <c r="H13033">
        <f t="shared" si="409"/>
        <v>0</v>
      </c>
    </row>
    <row r="13034" spans="1:8" x14ac:dyDescent="0.2">
      <c r="A13034" t="s">
        <v>7</v>
      </c>
      <c r="B13034" t="s">
        <v>32</v>
      </c>
      <c r="C13034" t="str">
        <f t="shared" si="410"/>
        <v>No cumple</v>
      </c>
      <c r="D13034">
        <v>1603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7</v>
      </c>
      <c r="B13035" t="s">
        <v>32</v>
      </c>
      <c r="C13035" t="str">
        <f t="shared" si="410"/>
        <v>No cumple</v>
      </c>
      <c r="D13035">
        <v>1673</v>
      </c>
      <c r="E13035" t="s">
        <v>13</v>
      </c>
      <c r="F13035">
        <v>0</v>
      </c>
      <c r="G13035">
        <v>3</v>
      </c>
      <c r="H13035">
        <f t="shared" si="409"/>
        <v>-3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1675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1792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1890</v>
      </c>
      <c r="E13038" t="s">
        <v>13</v>
      </c>
      <c r="F13038">
        <v>0</v>
      </c>
      <c r="G13038">
        <v>6</v>
      </c>
      <c r="H13038">
        <f t="shared" si="409"/>
        <v>-6</v>
      </c>
    </row>
    <row r="13039" spans="1:8" x14ac:dyDescent="0.2">
      <c r="A13039" t="s">
        <v>18</v>
      </c>
      <c r="B13039" t="s">
        <v>32</v>
      </c>
      <c r="C13039" t="str">
        <f t="shared" si="410"/>
        <v>No cumple</v>
      </c>
      <c r="D13039">
        <v>2212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2549</v>
      </c>
      <c r="E13040" t="s">
        <v>13</v>
      </c>
      <c r="F13040">
        <v>0</v>
      </c>
      <c r="G13040">
        <v>3</v>
      </c>
      <c r="H13040">
        <f t="shared" si="409"/>
        <v>-3</v>
      </c>
    </row>
    <row r="13041" spans="1:8" x14ac:dyDescent="0.2">
      <c r="A13041" t="s">
        <v>7</v>
      </c>
      <c r="B13041" t="s">
        <v>32</v>
      </c>
      <c r="C13041" t="str">
        <f t="shared" si="410"/>
        <v>No cumple</v>
      </c>
      <c r="D13041">
        <v>2857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2941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2942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2943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2944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2945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2947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2948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2949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2950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2951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2952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2954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2955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2956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2958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2965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2969</v>
      </c>
      <c r="E13058" t="s">
        <v>13</v>
      </c>
      <c r="F13058">
        <v>0</v>
      </c>
      <c r="G13058">
        <v>3</v>
      </c>
      <c r="H13058">
        <f t="shared" ref="H13058:H13121" si="411">F13058-G13058</f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2971</v>
      </c>
      <c r="E13059" t="s">
        <v>13</v>
      </c>
      <c r="F13059">
        <v>0</v>
      </c>
      <c r="G13059">
        <v>3</v>
      </c>
      <c r="H13059">
        <f t="shared" si="411"/>
        <v>-3</v>
      </c>
    </row>
    <row r="13060" spans="1:8" x14ac:dyDescent="0.2">
      <c r="A13060" t="s">
        <v>7</v>
      </c>
      <c r="B13060" t="s">
        <v>32</v>
      </c>
      <c r="C13060" t="str">
        <f t="shared" ref="C13060:C13123" si="412">IF(H13060&gt;=0,"Cumple","No cumple")</f>
        <v>No cumple</v>
      </c>
      <c r="D13060">
        <v>2975</v>
      </c>
      <c r="E13060" t="s">
        <v>13</v>
      </c>
      <c r="F13060">
        <v>0</v>
      </c>
      <c r="G13060">
        <v>3</v>
      </c>
      <c r="H13060">
        <f t="shared" si="411"/>
        <v>-3</v>
      </c>
    </row>
    <row r="13061" spans="1:8" x14ac:dyDescent="0.2">
      <c r="A13061" t="s">
        <v>7</v>
      </c>
      <c r="B13061" t="s">
        <v>32</v>
      </c>
      <c r="C13061" t="str">
        <f t="shared" si="412"/>
        <v>No cumple</v>
      </c>
      <c r="D13061">
        <v>2977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si="412"/>
        <v>No cumple</v>
      </c>
      <c r="D13062">
        <v>2978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2979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2980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2981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18</v>
      </c>
      <c r="B13066" t="s">
        <v>32</v>
      </c>
      <c r="C13066" t="str">
        <f t="shared" si="412"/>
        <v>Cumple</v>
      </c>
      <c r="D13066">
        <v>3198</v>
      </c>
      <c r="E13066" t="s">
        <v>13</v>
      </c>
      <c r="F13066" s="39">
        <v>3</v>
      </c>
      <c r="G13066">
        <v>3</v>
      </c>
      <c r="H13066">
        <f t="shared" si="411"/>
        <v>0</v>
      </c>
    </row>
    <row r="13067" spans="1:8" x14ac:dyDescent="0.2">
      <c r="A13067" t="s">
        <v>18</v>
      </c>
      <c r="B13067" t="s">
        <v>32</v>
      </c>
      <c r="C13067" t="str">
        <f t="shared" si="412"/>
        <v>No cumple</v>
      </c>
      <c r="D13067">
        <v>3428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19</v>
      </c>
      <c r="B13068" t="s">
        <v>32</v>
      </c>
      <c r="C13068" t="str">
        <f t="shared" si="412"/>
        <v>No cumple</v>
      </c>
      <c r="D13068">
        <v>3529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x14ac:dyDescent="0.2">
      <c r="A13069" t="s">
        <v>7</v>
      </c>
      <c r="B13069" t="s">
        <v>32</v>
      </c>
      <c r="C13069" t="str">
        <f t="shared" si="412"/>
        <v>No cumple</v>
      </c>
      <c r="D13069">
        <v>3543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7</v>
      </c>
      <c r="B13070" t="s">
        <v>32</v>
      </c>
      <c r="C13070" t="str">
        <f t="shared" si="412"/>
        <v>No cumple</v>
      </c>
      <c r="D13070">
        <v>3594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3731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3742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19</v>
      </c>
      <c r="B13073" t="s">
        <v>32</v>
      </c>
      <c r="C13073" t="str">
        <f t="shared" si="412"/>
        <v>No cumple</v>
      </c>
      <c r="D13073">
        <v>3831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18</v>
      </c>
      <c r="B13074" t="s">
        <v>32</v>
      </c>
      <c r="C13074" t="str">
        <f t="shared" si="412"/>
        <v>No cumple</v>
      </c>
      <c r="D13074">
        <v>3896</v>
      </c>
      <c r="E13074" t="s">
        <v>13</v>
      </c>
      <c r="F13074">
        <v>0</v>
      </c>
      <c r="G13074">
        <v>6</v>
      </c>
      <c r="H13074">
        <f t="shared" si="411"/>
        <v>-6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3914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3958</v>
      </c>
      <c r="E13076" t="s">
        <v>13</v>
      </c>
      <c r="F13076">
        <v>0</v>
      </c>
      <c r="G13076">
        <v>3</v>
      </c>
      <c r="H13076">
        <f t="shared" si="411"/>
        <v>-3</v>
      </c>
    </row>
    <row r="13077" spans="1:8" x14ac:dyDescent="0.2">
      <c r="A13077" t="s">
        <v>7</v>
      </c>
      <c r="B13077" t="s">
        <v>32</v>
      </c>
      <c r="C13077" t="str">
        <f t="shared" si="412"/>
        <v>No cumple</v>
      </c>
      <c r="D13077">
        <v>7028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Cumple</v>
      </c>
      <c r="D13078">
        <v>7597</v>
      </c>
      <c r="E13078" t="s">
        <v>13</v>
      </c>
      <c r="F13078" s="9">
        <v>6</v>
      </c>
      <c r="G13078">
        <v>6</v>
      </c>
      <c r="H13078">
        <f t="shared" si="411"/>
        <v>0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9004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No cumple</v>
      </c>
      <c r="D13080">
        <v>9820</v>
      </c>
      <c r="E13080" t="s">
        <v>13</v>
      </c>
      <c r="F13080">
        <v>0</v>
      </c>
      <c r="G13080">
        <v>3</v>
      </c>
      <c r="H13080">
        <f t="shared" si="411"/>
        <v>-3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9834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7</v>
      </c>
      <c r="B13082" t="s">
        <v>32</v>
      </c>
      <c r="C13082" t="str">
        <f t="shared" si="412"/>
        <v>No cumple</v>
      </c>
      <c r="D13082">
        <v>9298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18</v>
      </c>
      <c r="B13083" t="s">
        <v>32</v>
      </c>
      <c r="C13083" t="str">
        <f t="shared" si="412"/>
        <v>No cumple</v>
      </c>
      <c r="D13083">
        <v>4030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18</v>
      </c>
      <c r="B13084" t="s">
        <v>32</v>
      </c>
      <c r="C13084" t="str">
        <f t="shared" si="412"/>
        <v>No cumple</v>
      </c>
      <c r="D13084">
        <v>3793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3860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7</v>
      </c>
      <c r="B13086" t="s">
        <v>32</v>
      </c>
      <c r="C13086" t="str">
        <f t="shared" si="412"/>
        <v>Cumple</v>
      </c>
      <c r="D13086">
        <v>2726</v>
      </c>
      <c r="E13086" t="s">
        <v>15</v>
      </c>
      <c r="F13086">
        <v>35</v>
      </c>
      <c r="G13086">
        <v>6</v>
      </c>
      <c r="H13086">
        <f t="shared" si="411"/>
        <v>29</v>
      </c>
    </row>
    <row r="13087" spans="1:8" x14ac:dyDescent="0.2">
      <c r="A13087" t="s">
        <v>7</v>
      </c>
      <c r="B13087" t="s">
        <v>32</v>
      </c>
      <c r="C13087" t="str">
        <f t="shared" si="412"/>
        <v>Cumple</v>
      </c>
      <c r="D13087">
        <v>7566</v>
      </c>
      <c r="E13087" t="s">
        <v>15</v>
      </c>
      <c r="F13087">
        <v>26</v>
      </c>
      <c r="G13087">
        <v>6</v>
      </c>
      <c r="H13087">
        <f t="shared" si="411"/>
        <v>20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3959</v>
      </c>
      <c r="E13088" t="s">
        <v>15</v>
      </c>
      <c r="F13088">
        <v>23</v>
      </c>
      <c r="G13088">
        <v>6</v>
      </c>
      <c r="H13088">
        <f t="shared" si="411"/>
        <v>17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376</v>
      </c>
      <c r="E13089" t="s">
        <v>15</v>
      </c>
      <c r="F13089">
        <v>21</v>
      </c>
      <c r="G13089">
        <v>6</v>
      </c>
      <c r="H13089">
        <f t="shared" si="411"/>
        <v>15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9110</v>
      </c>
      <c r="E13090" t="s">
        <v>15</v>
      </c>
      <c r="F13090">
        <v>19</v>
      </c>
      <c r="G13090">
        <v>6</v>
      </c>
      <c r="H13090">
        <f t="shared" si="411"/>
        <v>13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9281</v>
      </c>
      <c r="E13091" t="s">
        <v>15</v>
      </c>
      <c r="F13091">
        <v>17</v>
      </c>
      <c r="G13091">
        <v>6</v>
      </c>
      <c r="H13091">
        <f t="shared" si="411"/>
        <v>11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7635</v>
      </c>
      <c r="E13092" t="s">
        <v>15</v>
      </c>
      <c r="F13092">
        <v>15</v>
      </c>
      <c r="G13092">
        <v>6</v>
      </c>
      <c r="H13092">
        <f t="shared" si="411"/>
        <v>9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7090</v>
      </c>
      <c r="E13093" t="s">
        <v>15</v>
      </c>
      <c r="F13093">
        <v>14</v>
      </c>
      <c r="G13093">
        <v>6</v>
      </c>
      <c r="H13093">
        <f t="shared" si="411"/>
        <v>8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7438</v>
      </c>
      <c r="E13094" t="s">
        <v>15</v>
      </c>
      <c r="F13094">
        <v>13</v>
      </c>
      <c r="G13094">
        <v>6</v>
      </c>
      <c r="H13094">
        <f t="shared" si="411"/>
        <v>7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3789</v>
      </c>
      <c r="E13095" t="s">
        <v>15</v>
      </c>
      <c r="F13095">
        <v>12</v>
      </c>
      <c r="G13095">
        <v>6</v>
      </c>
      <c r="H13095">
        <f t="shared" si="411"/>
        <v>6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3975</v>
      </c>
      <c r="E13096" t="s">
        <v>15</v>
      </c>
      <c r="F13096">
        <v>11</v>
      </c>
      <c r="G13096">
        <v>6</v>
      </c>
      <c r="H13096">
        <f t="shared" si="411"/>
        <v>5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7581</v>
      </c>
      <c r="E13097" t="s">
        <v>15</v>
      </c>
      <c r="F13097">
        <v>10</v>
      </c>
      <c r="G13097">
        <v>6</v>
      </c>
      <c r="H13097">
        <f t="shared" si="411"/>
        <v>4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9789</v>
      </c>
      <c r="E13098" t="s">
        <v>16</v>
      </c>
      <c r="F13098">
        <v>9</v>
      </c>
      <c r="G13098">
        <v>6</v>
      </c>
      <c r="H13098">
        <f t="shared" si="411"/>
        <v>3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7059</v>
      </c>
      <c r="E13099" t="s">
        <v>15</v>
      </c>
      <c r="F13099">
        <v>9</v>
      </c>
      <c r="G13099">
        <v>6</v>
      </c>
      <c r="H13099">
        <f t="shared" si="411"/>
        <v>3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7051</v>
      </c>
      <c r="E13100" t="s">
        <v>15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7055</v>
      </c>
      <c r="E13101" t="s">
        <v>15</v>
      </c>
      <c r="F13101">
        <v>8</v>
      </c>
      <c r="G13101">
        <v>6</v>
      </c>
      <c r="H13101">
        <f t="shared" si="411"/>
        <v>2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9152</v>
      </c>
      <c r="E13102" t="s">
        <v>15</v>
      </c>
      <c r="F13102">
        <v>8</v>
      </c>
      <c r="G13102">
        <v>6</v>
      </c>
      <c r="H13102">
        <f t="shared" si="411"/>
        <v>2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3996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7109</v>
      </c>
      <c r="E13104" t="s">
        <v>15</v>
      </c>
      <c r="F13104">
        <v>7</v>
      </c>
      <c r="G13104">
        <v>6</v>
      </c>
      <c r="H13104">
        <f t="shared" si="411"/>
        <v>1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7097</v>
      </c>
      <c r="E13105" t="s">
        <v>15</v>
      </c>
      <c r="F13105">
        <v>7</v>
      </c>
      <c r="G13105">
        <v>6</v>
      </c>
      <c r="H13105">
        <f t="shared" si="411"/>
        <v>1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7044</v>
      </c>
      <c r="E13106" t="s">
        <v>15</v>
      </c>
      <c r="F13106">
        <v>6</v>
      </c>
      <c r="G13106">
        <v>6</v>
      </c>
      <c r="H13106">
        <f t="shared" si="411"/>
        <v>0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9259</v>
      </c>
      <c r="E13107" t="s">
        <v>15</v>
      </c>
      <c r="F13107">
        <v>6</v>
      </c>
      <c r="G13107">
        <v>6</v>
      </c>
      <c r="H13107">
        <f t="shared" si="411"/>
        <v>0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9604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9296</v>
      </c>
      <c r="E13109" t="s">
        <v>16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No cumple</v>
      </c>
      <c r="D13110">
        <v>9887</v>
      </c>
      <c r="E13110" t="s">
        <v>16</v>
      </c>
      <c r="F13110">
        <v>5</v>
      </c>
      <c r="G13110">
        <v>6</v>
      </c>
      <c r="H13110">
        <f t="shared" si="411"/>
        <v>-1</v>
      </c>
    </row>
    <row r="13111" spans="1:8" x14ac:dyDescent="0.2">
      <c r="A13111" t="s">
        <v>7</v>
      </c>
      <c r="B13111" t="s">
        <v>32</v>
      </c>
      <c r="C13111" t="str">
        <f t="shared" si="412"/>
        <v>No cumple</v>
      </c>
      <c r="D13111">
        <v>7032</v>
      </c>
      <c r="E13111" t="s">
        <v>15</v>
      </c>
      <c r="F13111">
        <v>5</v>
      </c>
      <c r="G13111">
        <v>6</v>
      </c>
      <c r="H13111">
        <f t="shared" si="411"/>
        <v>-1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446</v>
      </c>
      <c r="E13112" t="s">
        <v>15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2210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9063</v>
      </c>
      <c r="E13114" t="s">
        <v>16</v>
      </c>
      <c r="F13114">
        <v>4</v>
      </c>
      <c r="G13114">
        <v>6</v>
      </c>
      <c r="H13114">
        <f t="shared" si="411"/>
        <v>-2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2736</v>
      </c>
      <c r="E13115" t="s">
        <v>15</v>
      </c>
      <c r="F13115">
        <v>4</v>
      </c>
      <c r="G13115">
        <v>6</v>
      </c>
      <c r="H13115">
        <f t="shared" si="411"/>
        <v>-2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7630</v>
      </c>
      <c r="E13116" t="s">
        <v>15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9802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2613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7014</v>
      </c>
      <c r="E13119" t="s">
        <v>15</v>
      </c>
      <c r="F13119">
        <v>3</v>
      </c>
      <c r="G13119">
        <v>6</v>
      </c>
      <c r="H13119">
        <f t="shared" si="411"/>
        <v>-3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7066</v>
      </c>
      <c r="E13120" t="s">
        <v>15</v>
      </c>
      <c r="F13120">
        <v>3</v>
      </c>
      <c r="G13120">
        <v>6</v>
      </c>
      <c r="H13120">
        <f t="shared" si="411"/>
        <v>-3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7092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7084</v>
      </c>
      <c r="E13122" t="s">
        <v>15</v>
      </c>
      <c r="F13122">
        <v>3</v>
      </c>
      <c r="G13122">
        <v>6</v>
      </c>
      <c r="H13122">
        <f t="shared" ref="H13122:H13185" si="413">F13122-G13122</f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7116</v>
      </c>
      <c r="E13123" t="s">
        <v>15</v>
      </c>
      <c r="F13123">
        <v>3</v>
      </c>
      <c r="G13123">
        <v>6</v>
      </c>
      <c r="H13123">
        <f t="shared" si="413"/>
        <v>-3</v>
      </c>
    </row>
    <row r="13124" spans="1:8" x14ac:dyDescent="0.2">
      <c r="A13124" t="s">
        <v>7</v>
      </c>
      <c r="B13124" t="s">
        <v>32</v>
      </c>
      <c r="C13124" t="str">
        <f t="shared" ref="C13124:C13187" si="414">IF(H13124&gt;=0,"Cumple","No cumple")</f>
        <v>No cumple</v>
      </c>
      <c r="D13124">
        <v>7632</v>
      </c>
      <c r="E13124" t="s">
        <v>15</v>
      </c>
      <c r="F13124">
        <v>3</v>
      </c>
      <c r="G13124">
        <v>6</v>
      </c>
      <c r="H13124">
        <f t="shared" si="413"/>
        <v>-3</v>
      </c>
    </row>
    <row r="13125" spans="1:8" x14ac:dyDescent="0.2">
      <c r="A13125" t="s">
        <v>7</v>
      </c>
      <c r="B13125" t="s">
        <v>32</v>
      </c>
      <c r="C13125" t="str">
        <f t="shared" si="414"/>
        <v>No cumple</v>
      </c>
      <c r="D13125">
        <v>9411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si="414"/>
        <v>No cumple</v>
      </c>
      <c r="D13126">
        <v>3867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3757</v>
      </c>
      <c r="E13127" t="s">
        <v>15</v>
      </c>
      <c r="F13127">
        <v>2</v>
      </c>
      <c r="G13127">
        <v>6</v>
      </c>
      <c r="H13127">
        <f t="shared" si="413"/>
        <v>-4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7071</v>
      </c>
      <c r="E13128" t="s">
        <v>15</v>
      </c>
      <c r="F13128">
        <v>2</v>
      </c>
      <c r="G13128">
        <v>6</v>
      </c>
      <c r="H13128">
        <f t="shared" si="413"/>
        <v>-4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7082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7559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7580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7038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7040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7045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7060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7606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7628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9395</v>
      </c>
      <c r="E13138" t="s">
        <v>16</v>
      </c>
      <c r="F13138">
        <v>1</v>
      </c>
      <c r="G13138">
        <v>6</v>
      </c>
      <c r="H13138">
        <f t="shared" si="413"/>
        <v>-5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3224</v>
      </c>
      <c r="E13139" t="s">
        <v>15</v>
      </c>
      <c r="F13139">
        <v>1</v>
      </c>
      <c r="G13139">
        <v>6</v>
      </c>
      <c r="H13139">
        <f t="shared" si="413"/>
        <v>-5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7008</v>
      </c>
      <c r="E13140" t="s">
        <v>15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7417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7474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9120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7046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7629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8001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9443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9543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9761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7106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1089</v>
      </c>
      <c r="E13151" t="s">
        <v>16</v>
      </c>
      <c r="F13151">
        <v>0</v>
      </c>
      <c r="G13151">
        <v>6</v>
      </c>
      <c r="H13151">
        <f t="shared" si="413"/>
        <v>-6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3583</v>
      </c>
      <c r="E13152" t="s">
        <v>16</v>
      </c>
      <c r="F13152">
        <v>0</v>
      </c>
      <c r="G13152">
        <v>6</v>
      </c>
      <c r="H13152">
        <f t="shared" si="413"/>
        <v>-6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9383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9384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9386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9388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9390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9391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9393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9394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9407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9417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9418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9492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9493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9678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9947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136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1539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9387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9404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9405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9406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9409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9410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9444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9447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9494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9572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9797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9849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7026</v>
      </c>
      <c r="E13182" t="s">
        <v>15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7068</v>
      </c>
      <c r="E13183" t="s">
        <v>15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7123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7183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7345</v>
      </c>
      <c r="E13186" t="s">
        <v>15</v>
      </c>
      <c r="F13186">
        <v>0</v>
      </c>
      <c r="G13186">
        <v>6</v>
      </c>
      <c r="H13186">
        <f t="shared" ref="H13186:H13249" si="415">F13186-G13186</f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7380</v>
      </c>
      <c r="E13187" t="s">
        <v>15</v>
      </c>
      <c r="F13187">
        <v>0</v>
      </c>
      <c r="G13187">
        <v>6</v>
      </c>
      <c r="H13187">
        <f t="shared" si="415"/>
        <v>-6</v>
      </c>
    </row>
    <row r="13188" spans="1:8" x14ac:dyDescent="0.2">
      <c r="A13188" t="s">
        <v>7</v>
      </c>
      <c r="B13188" t="s">
        <v>32</v>
      </c>
      <c r="C13188" t="str">
        <f t="shared" ref="C13188:C13251" si="416">IF(H13188&gt;=0,"Cumple","No cumple")</f>
        <v>No cumple</v>
      </c>
      <c r="D13188">
        <v>7395</v>
      </c>
      <c r="E13188" t="s">
        <v>15</v>
      </c>
      <c r="F13188">
        <v>0</v>
      </c>
      <c r="G13188">
        <v>6</v>
      </c>
      <c r="H13188">
        <f t="shared" si="415"/>
        <v>-6</v>
      </c>
    </row>
    <row r="13189" spans="1:8" x14ac:dyDescent="0.2">
      <c r="A13189" t="s">
        <v>7</v>
      </c>
      <c r="B13189" t="s">
        <v>32</v>
      </c>
      <c r="C13189" t="str">
        <f t="shared" si="416"/>
        <v>No cumple</v>
      </c>
      <c r="D13189">
        <v>7398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si="416"/>
        <v>No cumple</v>
      </c>
      <c r="D13190">
        <v>7402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7494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7517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7567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7622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7631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1864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7085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7633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9334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9424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7042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9779</v>
      </c>
      <c r="E13202" t="s">
        <v>16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9408</v>
      </c>
      <c r="E13203" t="s">
        <v>16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2849</v>
      </c>
      <c r="E13204" t="s">
        <v>15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9529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9445</v>
      </c>
      <c r="E13206" t="s">
        <v>16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33</v>
      </c>
      <c r="C13207" t="str">
        <f t="shared" si="416"/>
        <v>Cumple</v>
      </c>
      <c r="D13207">
        <v>9214</v>
      </c>
      <c r="E13207" t="s">
        <v>8</v>
      </c>
      <c r="F13207">
        <v>25</v>
      </c>
      <c r="G13207">
        <v>8</v>
      </c>
      <c r="H13207">
        <f t="shared" si="415"/>
        <v>17</v>
      </c>
    </row>
    <row r="13208" spans="1:8" x14ac:dyDescent="0.2">
      <c r="A13208" t="s">
        <v>7</v>
      </c>
      <c r="B13208" t="s">
        <v>33</v>
      </c>
      <c r="C13208" t="str">
        <f t="shared" si="416"/>
        <v>Cumple</v>
      </c>
      <c r="D13208">
        <v>302</v>
      </c>
      <c r="E13208" t="s">
        <v>8</v>
      </c>
      <c r="F13208">
        <v>22</v>
      </c>
      <c r="G13208">
        <v>8</v>
      </c>
      <c r="H13208">
        <f t="shared" si="415"/>
        <v>14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2349</v>
      </c>
      <c r="E13209" t="s">
        <v>8</v>
      </c>
      <c r="F13209">
        <v>22</v>
      </c>
      <c r="G13209">
        <v>8</v>
      </c>
      <c r="H13209">
        <f t="shared" si="415"/>
        <v>14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3966</v>
      </c>
      <c r="E13210" t="s">
        <v>8</v>
      </c>
      <c r="F13210">
        <v>25</v>
      </c>
      <c r="G13210">
        <v>6</v>
      </c>
      <c r="H13210">
        <f t="shared" si="415"/>
        <v>19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2020</v>
      </c>
      <c r="E13211" t="s">
        <v>8</v>
      </c>
      <c r="F13211">
        <v>20</v>
      </c>
      <c r="G13211">
        <v>8</v>
      </c>
      <c r="H13211">
        <f t="shared" si="415"/>
        <v>12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3398</v>
      </c>
      <c r="E13212" t="s">
        <v>8</v>
      </c>
      <c r="F13212">
        <v>20</v>
      </c>
      <c r="G13212">
        <v>8</v>
      </c>
      <c r="H13212">
        <f t="shared" si="415"/>
        <v>12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3532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2416</v>
      </c>
      <c r="E13214" t="s">
        <v>8</v>
      </c>
      <c r="F13214">
        <v>19</v>
      </c>
      <c r="G13214">
        <v>8</v>
      </c>
      <c r="H13214">
        <f t="shared" si="415"/>
        <v>11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1799</v>
      </c>
      <c r="E13215" t="s">
        <v>8</v>
      </c>
      <c r="F13215">
        <v>23</v>
      </c>
      <c r="G13215">
        <v>6</v>
      </c>
      <c r="H13215">
        <f t="shared" si="415"/>
        <v>17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3598</v>
      </c>
      <c r="E13216" t="s">
        <v>8</v>
      </c>
      <c r="F13216">
        <v>18</v>
      </c>
      <c r="G13216">
        <v>8</v>
      </c>
      <c r="H13216">
        <f t="shared" si="415"/>
        <v>10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411</v>
      </c>
      <c r="E13217" t="s">
        <v>8</v>
      </c>
      <c r="F13217">
        <v>17</v>
      </c>
      <c r="G13217">
        <v>8</v>
      </c>
      <c r="H13217">
        <f t="shared" si="415"/>
        <v>9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412</v>
      </c>
      <c r="E13218" t="s">
        <v>8</v>
      </c>
      <c r="F13218">
        <v>17</v>
      </c>
      <c r="G13218">
        <v>8</v>
      </c>
      <c r="H13218">
        <f t="shared" si="415"/>
        <v>9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2547</v>
      </c>
      <c r="E13219" t="s">
        <v>8</v>
      </c>
      <c r="F13219">
        <v>16</v>
      </c>
      <c r="G13219">
        <v>8</v>
      </c>
      <c r="H13219">
        <f t="shared" si="415"/>
        <v>8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3978</v>
      </c>
      <c r="E13220" t="s">
        <v>8</v>
      </c>
      <c r="F13220">
        <v>24</v>
      </c>
      <c r="G13220">
        <v>6</v>
      </c>
      <c r="H13220">
        <f t="shared" si="415"/>
        <v>18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596</v>
      </c>
      <c r="E13221" t="s">
        <v>8</v>
      </c>
      <c r="F13221">
        <v>26</v>
      </c>
      <c r="G13221">
        <v>6</v>
      </c>
      <c r="H13221">
        <f t="shared" si="415"/>
        <v>20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2220</v>
      </c>
      <c r="E13222" t="s">
        <v>8</v>
      </c>
      <c r="F13222">
        <v>15</v>
      </c>
      <c r="G13222">
        <v>8</v>
      </c>
      <c r="H13222">
        <f t="shared" si="415"/>
        <v>7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9922</v>
      </c>
      <c r="E13223" t="s">
        <v>8</v>
      </c>
      <c r="F13223">
        <v>15</v>
      </c>
      <c r="G13223">
        <v>8</v>
      </c>
      <c r="H13223">
        <f t="shared" si="415"/>
        <v>7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460</v>
      </c>
      <c r="E13224" t="s">
        <v>8</v>
      </c>
      <c r="F13224">
        <v>14</v>
      </c>
      <c r="G13224">
        <v>8</v>
      </c>
      <c r="H13224">
        <f t="shared" si="415"/>
        <v>6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660</v>
      </c>
      <c r="E13225" t="s">
        <v>8</v>
      </c>
      <c r="F13225">
        <v>28</v>
      </c>
      <c r="G13225">
        <v>6</v>
      </c>
      <c r="H13225">
        <f t="shared" si="415"/>
        <v>22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2168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9211</v>
      </c>
      <c r="E13227" t="s">
        <v>8</v>
      </c>
      <c r="F13227">
        <v>14</v>
      </c>
      <c r="G13227">
        <v>8</v>
      </c>
      <c r="H13227">
        <f t="shared" si="415"/>
        <v>6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553</v>
      </c>
      <c r="E13228" t="s">
        <v>8</v>
      </c>
      <c r="F13228">
        <v>20</v>
      </c>
      <c r="G13228">
        <v>6</v>
      </c>
      <c r="H13228">
        <f t="shared" si="415"/>
        <v>14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2446</v>
      </c>
      <c r="E13229" t="s">
        <v>8</v>
      </c>
      <c r="F13229">
        <v>12</v>
      </c>
      <c r="G13229">
        <v>8</v>
      </c>
      <c r="H13229">
        <f t="shared" si="415"/>
        <v>4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3775</v>
      </c>
      <c r="E13230" t="s">
        <v>8</v>
      </c>
      <c r="F13230">
        <v>12</v>
      </c>
      <c r="G13230">
        <v>8</v>
      </c>
      <c r="H13230">
        <f t="shared" si="415"/>
        <v>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5023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9896</v>
      </c>
      <c r="E13232" t="s">
        <v>8</v>
      </c>
      <c r="F13232">
        <v>20</v>
      </c>
      <c r="G13232">
        <v>6</v>
      </c>
      <c r="H13232">
        <f t="shared" si="415"/>
        <v>14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467</v>
      </c>
      <c r="E13233" t="s">
        <v>8</v>
      </c>
      <c r="F13233">
        <v>11</v>
      </c>
      <c r="G13233">
        <v>8</v>
      </c>
      <c r="H13233">
        <f t="shared" si="415"/>
        <v>3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659</v>
      </c>
      <c r="E13234" t="s">
        <v>8</v>
      </c>
      <c r="F13234">
        <v>14</v>
      </c>
      <c r="G13234">
        <v>6</v>
      </c>
      <c r="H13234">
        <f t="shared" si="415"/>
        <v>8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2189</v>
      </c>
      <c r="E13235" t="s">
        <v>8</v>
      </c>
      <c r="F13235">
        <v>14</v>
      </c>
      <c r="G13235">
        <v>6</v>
      </c>
      <c r="H13235">
        <f t="shared" si="415"/>
        <v>8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3960</v>
      </c>
      <c r="E13236" t="s">
        <v>8</v>
      </c>
      <c r="F13236">
        <v>22</v>
      </c>
      <c r="G13236">
        <v>6</v>
      </c>
      <c r="H13236">
        <f t="shared" si="415"/>
        <v>16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5032</v>
      </c>
      <c r="E13237" t="s">
        <v>8</v>
      </c>
      <c r="F13237">
        <v>11</v>
      </c>
      <c r="G13237">
        <v>8</v>
      </c>
      <c r="H13237">
        <f t="shared" si="415"/>
        <v>3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9204</v>
      </c>
      <c r="E13238" t="s">
        <v>8</v>
      </c>
      <c r="F13238">
        <v>19</v>
      </c>
      <c r="G13238">
        <v>6</v>
      </c>
      <c r="H13238">
        <f t="shared" si="415"/>
        <v>13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9682</v>
      </c>
      <c r="E13239" t="s">
        <v>8</v>
      </c>
      <c r="F13239">
        <v>12</v>
      </c>
      <c r="G13239">
        <v>6</v>
      </c>
      <c r="H13239">
        <f t="shared" si="415"/>
        <v>6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4036</v>
      </c>
      <c r="E13240" t="s">
        <v>8</v>
      </c>
      <c r="F13240">
        <v>25</v>
      </c>
      <c r="G13240">
        <v>6</v>
      </c>
      <c r="H13240">
        <f t="shared" si="415"/>
        <v>19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4052</v>
      </c>
      <c r="E13241" t="s">
        <v>8</v>
      </c>
      <c r="F13241">
        <v>22</v>
      </c>
      <c r="G13241">
        <v>6</v>
      </c>
      <c r="H13241">
        <f t="shared" si="415"/>
        <v>16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3198</v>
      </c>
      <c r="E13242" t="s">
        <v>8</v>
      </c>
      <c r="F13242">
        <v>16</v>
      </c>
      <c r="G13242">
        <v>6</v>
      </c>
      <c r="H13242">
        <f t="shared" si="415"/>
        <v>10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561</v>
      </c>
      <c r="E13243" t="s">
        <v>8</v>
      </c>
      <c r="F13243">
        <v>10</v>
      </c>
      <c r="G13243">
        <v>8</v>
      </c>
      <c r="H13243">
        <f t="shared" si="415"/>
        <v>2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571</v>
      </c>
      <c r="E13244" t="s">
        <v>8</v>
      </c>
      <c r="F13244">
        <v>10</v>
      </c>
      <c r="G13244">
        <v>8</v>
      </c>
      <c r="H13244">
        <f t="shared" si="415"/>
        <v>2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591</v>
      </c>
      <c r="E13245" t="s">
        <v>8</v>
      </c>
      <c r="F13245">
        <v>14</v>
      </c>
      <c r="G13245">
        <v>6</v>
      </c>
      <c r="H13245">
        <f t="shared" si="415"/>
        <v>8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643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1868</v>
      </c>
      <c r="E13247" t="s">
        <v>8</v>
      </c>
      <c r="F13247">
        <v>10</v>
      </c>
      <c r="G13247">
        <v>8</v>
      </c>
      <c r="H13247">
        <f t="shared" si="415"/>
        <v>2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2308</v>
      </c>
      <c r="E13248" t="s">
        <v>8</v>
      </c>
      <c r="F13248">
        <v>15</v>
      </c>
      <c r="G13248">
        <v>6</v>
      </c>
      <c r="H13248">
        <f t="shared" si="415"/>
        <v>9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2394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2520</v>
      </c>
      <c r="E13250" t="s">
        <v>8</v>
      </c>
      <c r="F13250">
        <v>10</v>
      </c>
      <c r="G13250">
        <v>8</v>
      </c>
      <c r="H13250">
        <f t="shared" ref="H13250:H13313" si="417">F13250-G13250</f>
        <v>2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3848</v>
      </c>
      <c r="E13251" t="s">
        <v>8</v>
      </c>
      <c r="F13251">
        <v>10</v>
      </c>
      <c r="G13251">
        <v>8</v>
      </c>
      <c r="H13251">
        <f t="shared" si="417"/>
        <v>2</v>
      </c>
    </row>
    <row r="13252" spans="1:8" x14ac:dyDescent="0.2">
      <c r="A13252" t="s">
        <v>7</v>
      </c>
      <c r="B13252" t="s">
        <v>33</v>
      </c>
      <c r="C13252" t="str">
        <f t="shared" ref="C13252:C13315" si="418">IF(H13252&gt;=0,"Cumple","No cumple")</f>
        <v>Cumple</v>
      </c>
      <c r="D13252">
        <v>9241</v>
      </c>
      <c r="E13252" t="s">
        <v>8</v>
      </c>
      <c r="F13252">
        <v>16</v>
      </c>
      <c r="G13252">
        <v>6</v>
      </c>
      <c r="H13252">
        <f t="shared" si="417"/>
        <v>10</v>
      </c>
    </row>
    <row r="13253" spans="1:8" x14ac:dyDescent="0.2">
      <c r="A13253" t="s">
        <v>7</v>
      </c>
      <c r="B13253" t="s">
        <v>33</v>
      </c>
      <c r="C13253" t="str">
        <f t="shared" si="418"/>
        <v>Cumple</v>
      </c>
      <c r="D13253">
        <v>9292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si="418"/>
        <v>Cumple</v>
      </c>
      <c r="D13254">
        <v>9715</v>
      </c>
      <c r="E13254" t="s">
        <v>8</v>
      </c>
      <c r="F13254">
        <v>19</v>
      </c>
      <c r="G13254">
        <v>6</v>
      </c>
      <c r="H13254">
        <f t="shared" si="417"/>
        <v>13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423</v>
      </c>
      <c r="E13255" t="s">
        <v>8</v>
      </c>
      <c r="F13255">
        <v>9</v>
      </c>
      <c r="G13255">
        <v>8</v>
      </c>
      <c r="H13255">
        <f t="shared" si="417"/>
        <v>1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2190</v>
      </c>
      <c r="E13256" t="s">
        <v>8</v>
      </c>
      <c r="F13256">
        <v>21</v>
      </c>
      <c r="G13256">
        <v>6</v>
      </c>
      <c r="H13256">
        <f t="shared" si="417"/>
        <v>15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2410</v>
      </c>
      <c r="E13257" t="s">
        <v>8</v>
      </c>
      <c r="F13257">
        <v>17</v>
      </c>
      <c r="G13257">
        <v>6</v>
      </c>
      <c r="H13257">
        <f t="shared" si="417"/>
        <v>11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9228</v>
      </c>
      <c r="E13258" t="s">
        <v>8</v>
      </c>
      <c r="F13258">
        <v>11</v>
      </c>
      <c r="G13258">
        <v>6</v>
      </c>
      <c r="H13258">
        <f t="shared" si="417"/>
        <v>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9811</v>
      </c>
      <c r="E13259" t="s">
        <v>8</v>
      </c>
      <c r="F13259">
        <v>9</v>
      </c>
      <c r="G13259">
        <v>8</v>
      </c>
      <c r="H13259">
        <f t="shared" si="417"/>
        <v>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9237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373</v>
      </c>
      <c r="E13261" t="s">
        <v>8</v>
      </c>
      <c r="F13261">
        <v>10</v>
      </c>
      <c r="G13261">
        <v>6</v>
      </c>
      <c r="H13261">
        <f t="shared" si="417"/>
        <v>4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633</v>
      </c>
      <c r="E13262" t="s">
        <v>8</v>
      </c>
      <c r="F13262">
        <v>8</v>
      </c>
      <c r="G13262">
        <v>8</v>
      </c>
      <c r="H13262">
        <f t="shared" si="417"/>
        <v>0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2039</v>
      </c>
      <c r="E13263" t="s">
        <v>8</v>
      </c>
      <c r="F13263">
        <v>9</v>
      </c>
      <c r="G13263">
        <v>6</v>
      </c>
      <c r="H13263">
        <f t="shared" si="417"/>
        <v>3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2422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2672</v>
      </c>
      <c r="E13265" t="s">
        <v>8</v>
      </c>
      <c r="F13265">
        <v>9</v>
      </c>
      <c r="G13265" s="9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3719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3799</v>
      </c>
      <c r="E13267" t="s">
        <v>8</v>
      </c>
      <c r="F13267">
        <v>14</v>
      </c>
      <c r="G13267">
        <v>6</v>
      </c>
      <c r="H13267">
        <f t="shared" si="417"/>
        <v>8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3880</v>
      </c>
      <c r="E13268" t="s">
        <v>8</v>
      </c>
      <c r="F13268">
        <v>9</v>
      </c>
      <c r="G13268">
        <v>6</v>
      </c>
      <c r="H13268">
        <f t="shared" si="417"/>
        <v>3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5130</v>
      </c>
      <c r="E13269" t="s">
        <v>8</v>
      </c>
      <c r="F13269">
        <v>19</v>
      </c>
      <c r="G13269">
        <v>6</v>
      </c>
      <c r="H13269">
        <f t="shared" si="417"/>
        <v>13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7065</v>
      </c>
      <c r="E13270" t="s">
        <v>8</v>
      </c>
      <c r="F13270">
        <v>8</v>
      </c>
      <c r="G13270">
        <v>8</v>
      </c>
      <c r="H13270">
        <f t="shared" si="417"/>
        <v>0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9226</v>
      </c>
      <c r="E13271" t="s">
        <v>8</v>
      </c>
      <c r="F13271">
        <v>8</v>
      </c>
      <c r="G13271">
        <v>8</v>
      </c>
      <c r="H13271">
        <f t="shared" si="417"/>
        <v>0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9636</v>
      </c>
      <c r="E13272" t="s">
        <v>8</v>
      </c>
      <c r="F13272">
        <v>14</v>
      </c>
      <c r="G13272">
        <v>6</v>
      </c>
      <c r="H13272">
        <f t="shared" si="417"/>
        <v>8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9883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4064</v>
      </c>
      <c r="E13274" t="s">
        <v>8</v>
      </c>
      <c r="F13274">
        <v>20</v>
      </c>
      <c r="G13274">
        <v>6</v>
      </c>
      <c r="H13274">
        <f t="shared" si="417"/>
        <v>14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515</v>
      </c>
      <c r="E13275" t="s">
        <v>8</v>
      </c>
      <c r="F13275">
        <v>9</v>
      </c>
      <c r="G13275">
        <v>6</v>
      </c>
      <c r="H13275">
        <f t="shared" si="417"/>
        <v>3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557</v>
      </c>
      <c r="E13276" t="s">
        <v>8</v>
      </c>
      <c r="F13276">
        <v>10</v>
      </c>
      <c r="G13276">
        <v>6</v>
      </c>
      <c r="H13276">
        <f t="shared" si="417"/>
        <v>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722</v>
      </c>
      <c r="E13277" t="s">
        <v>8</v>
      </c>
      <c r="F13277" s="9">
        <v>8</v>
      </c>
      <c r="G13277">
        <v>8</v>
      </c>
      <c r="H13277">
        <f t="shared" si="417"/>
        <v>0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1549</v>
      </c>
      <c r="E13278" t="s">
        <v>8</v>
      </c>
      <c r="F13278">
        <v>12</v>
      </c>
      <c r="G13278">
        <v>6</v>
      </c>
      <c r="H13278">
        <f t="shared" si="417"/>
        <v>6</v>
      </c>
    </row>
    <row r="13279" spans="1:8" x14ac:dyDescent="0.2">
      <c r="A13279" t="s">
        <v>7</v>
      </c>
      <c r="B13279" t="s">
        <v>33</v>
      </c>
      <c r="C13279" t="str">
        <f t="shared" si="418"/>
        <v>Cumple</v>
      </c>
      <c r="D13279">
        <v>1854</v>
      </c>
      <c r="E13279" t="s">
        <v>8</v>
      </c>
      <c r="F13279" s="9">
        <v>8</v>
      </c>
      <c r="G13279">
        <v>8</v>
      </c>
      <c r="H13279">
        <f t="shared" si="417"/>
        <v>0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1915</v>
      </c>
      <c r="E13280" t="s">
        <v>8</v>
      </c>
      <c r="F13280" s="9">
        <v>8</v>
      </c>
      <c r="G13280">
        <v>8</v>
      </c>
      <c r="H13280">
        <f t="shared" si="417"/>
        <v>0</v>
      </c>
    </row>
    <row r="13281" spans="1:8" x14ac:dyDescent="0.2">
      <c r="A13281" t="s">
        <v>7</v>
      </c>
      <c r="B13281" t="s">
        <v>33</v>
      </c>
      <c r="C13281" t="str">
        <f t="shared" si="418"/>
        <v>Cumple</v>
      </c>
      <c r="D13281">
        <v>2122</v>
      </c>
      <c r="E13281" t="s">
        <v>8</v>
      </c>
      <c r="F13281" s="9">
        <v>8</v>
      </c>
      <c r="G13281">
        <v>8</v>
      </c>
      <c r="H13281">
        <f t="shared" si="417"/>
        <v>0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2221</v>
      </c>
      <c r="E13282" t="s">
        <v>8</v>
      </c>
      <c r="F13282">
        <v>13</v>
      </c>
      <c r="G13282">
        <v>6</v>
      </c>
      <c r="H13282">
        <f t="shared" si="417"/>
        <v>7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2390</v>
      </c>
      <c r="E13283" t="s">
        <v>8</v>
      </c>
      <c r="F13283">
        <v>14</v>
      </c>
      <c r="G13283">
        <v>6</v>
      </c>
      <c r="H13283">
        <f t="shared" si="417"/>
        <v>8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2479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2790</v>
      </c>
      <c r="E13285" t="s">
        <v>8</v>
      </c>
      <c r="F13285">
        <v>13</v>
      </c>
      <c r="G13285">
        <v>6</v>
      </c>
      <c r="H13285">
        <f t="shared" si="417"/>
        <v>7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2808</v>
      </c>
      <c r="E13286" t="s">
        <v>8</v>
      </c>
      <c r="F13286">
        <v>17</v>
      </c>
      <c r="G13286">
        <v>6</v>
      </c>
      <c r="H13286">
        <f t="shared" si="417"/>
        <v>11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3557</v>
      </c>
      <c r="E13287" t="s">
        <v>8</v>
      </c>
      <c r="F13287">
        <v>11</v>
      </c>
      <c r="G13287">
        <v>6</v>
      </c>
      <c r="H13287">
        <f t="shared" si="417"/>
        <v>5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9231</v>
      </c>
      <c r="E13288" t="s">
        <v>8</v>
      </c>
      <c r="F13288">
        <v>9</v>
      </c>
      <c r="G13288">
        <v>6</v>
      </c>
      <c r="H13288">
        <f t="shared" si="417"/>
        <v>3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4048</v>
      </c>
      <c r="E13289" t="s">
        <v>8</v>
      </c>
      <c r="F13289">
        <v>9</v>
      </c>
      <c r="G13289">
        <v>6</v>
      </c>
      <c r="H13289">
        <f t="shared" si="417"/>
        <v>3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4051</v>
      </c>
      <c r="E13290" t="s">
        <v>8</v>
      </c>
      <c r="F13290">
        <v>14</v>
      </c>
      <c r="G13290">
        <v>6</v>
      </c>
      <c r="H13290">
        <f t="shared" si="417"/>
        <v>8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2005</v>
      </c>
      <c r="E13291" t="s">
        <v>8</v>
      </c>
      <c r="F13291">
        <v>13</v>
      </c>
      <c r="G13291">
        <v>6</v>
      </c>
      <c r="H13291">
        <f t="shared" si="417"/>
        <v>7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2197</v>
      </c>
      <c r="E13292" t="s">
        <v>8</v>
      </c>
      <c r="F13292">
        <v>10</v>
      </c>
      <c r="G13292">
        <v>6</v>
      </c>
      <c r="H13292">
        <f t="shared" si="417"/>
        <v>4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2321</v>
      </c>
      <c r="E13293" t="s">
        <v>8</v>
      </c>
      <c r="F13293">
        <v>14</v>
      </c>
      <c r="G13293">
        <v>6</v>
      </c>
      <c r="H13293">
        <f t="shared" si="417"/>
        <v>8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2367</v>
      </c>
      <c r="E13294" t="s">
        <v>8</v>
      </c>
      <c r="F13294">
        <v>22</v>
      </c>
      <c r="G13294">
        <v>6</v>
      </c>
      <c r="H13294">
        <f t="shared" si="417"/>
        <v>16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2546</v>
      </c>
      <c r="E13295" t="s">
        <v>8</v>
      </c>
      <c r="F13295">
        <v>7</v>
      </c>
      <c r="G13295">
        <v>6</v>
      </c>
      <c r="H13295">
        <f t="shared" si="417"/>
        <v>1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2727</v>
      </c>
      <c r="E13296" t="s">
        <v>8</v>
      </c>
      <c r="F13296">
        <v>11</v>
      </c>
      <c r="G13296">
        <v>6</v>
      </c>
      <c r="H13296">
        <f t="shared" si="417"/>
        <v>5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2913</v>
      </c>
      <c r="E13297" t="s">
        <v>8</v>
      </c>
      <c r="F13297" s="9">
        <v>8</v>
      </c>
      <c r="G13297">
        <v>8</v>
      </c>
      <c r="H13297">
        <f t="shared" si="417"/>
        <v>0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2928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3559</v>
      </c>
      <c r="E13299" t="s">
        <v>8</v>
      </c>
      <c r="F13299">
        <v>9</v>
      </c>
      <c r="G13299">
        <v>6</v>
      </c>
      <c r="H13299">
        <f t="shared" si="417"/>
        <v>3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3917</v>
      </c>
      <c r="E13300" t="s">
        <v>8</v>
      </c>
      <c r="F13300">
        <v>9</v>
      </c>
      <c r="G13300">
        <v>6</v>
      </c>
      <c r="H13300">
        <f t="shared" si="417"/>
        <v>3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3943</v>
      </c>
      <c r="E13301" t="s">
        <v>8</v>
      </c>
      <c r="F13301">
        <v>10</v>
      </c>
      <c r="G13301">
        <v>6</v>
      </c>
      <c r="H13301">
        <f t="shared" si="417"/>
        <v>4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9216</v>
      </c>
      <c r="E13302" t="s">
        <v>8</v>
      </c>
      <c r="F13302">
        <v>17</v>
      </c>
      <c r="G13302">
        <v>6</v>
      </c>
      <c r="H13302">
        <f t="shared" si="417"/>
        <v>11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9641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1543</v>
      </c>
      <c r="E13304" t="s">
        <v>8</v>
      </c>
      <c r="F13304">
        <v>13</v>
      </c>
      <c r="G13304">
        <v>6</v>
      </c>
      <c r="H13304">
        <f t="shared" si="417"/>
        <v>7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3991</v>
      </c>
      <c r="E13305" t="s">
        <v>8</v>
      </c>
      <c r="F13305">
        <v>11</v>
      </c>
      <c r="G13305">
        <v>6</v>
      </c>
      <c r="H13305">
        <f t="shared" si="417"/>
        <v>5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2923</v>
      </c>
      <c r="E13306" t="s">
        <v>8</v>
      </c>
      <c r="F13306">
        <v>9</v>
      </c>
      <c r="G13306">
        <v>6</v>
      </c>
      <c r="H13306">
        <f t="shared" si="417"/>
        <v>3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380</v>
      </c>
      <c r="E13307" t="s">
        <v>8</v>
      </c>
      <c r="F13307" s="9">
        <v>8</v>
      </c>
      <c r="G13307">
        <v>8</v>
      </c>
      <c r="H13307">
        <f t="shared" si="417"/>
        <v>0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688</v>
      </c>
      <c r="E13308" t="s">
        <v>8</v>
      </c>
      <c r="F13308">
        <v>11</v>
      </c>
      <c r="G13308">
        <v>6</v>
      </c>
      <c r="H13308">
        <f t="shared" si="417"/>
        <v>5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1406</v>
      </c>
      <c r="E13309" t="s">
        <v>8</v>
      </c>
      <c r="F13309">
        <v>8</v>
      </c>
      <c r="G13309">
        <v>6</v>
      </c>
      <c r="H13309">
        <f t="shared" si="417"/>
        <v>2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1440</v>
      </c>
      <c r="E13310" t="s">
        <v>8</v>
      </c>
      <c r="F13310">
        <v>8</v>
      </c>
      <c r="G13310">
        <v>6</v>
      </c>
      <c r="H13310">
        <f t="shared" si="417"/>
        <v>2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2047</v>
      </c>
      <c r="E13311" t="s">
        <v>8</v>
      </c>
      <c r="F13311">
        <v>6</v>
      </c>
      <c r="G13311">
        <v>6</v>
      </c>
      <c r="H13311">
        <f t="shared" si="417"/>
        <v>0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2441</v>
      </c>
      <c r="E13312" t="s">
        <v>8</v>
      </c>
      <c r="F13312">
        <v>6</v>
      </c>
      <c r="G13312">
        <v>6</v>
      </c>
      <c r="H13312">
        <f t="shared" si="417"/>
        <v>0</v>
      </c>
    </row>
    <row r="13313" spans="1:8" x14ac:dyDescent="0.2">
      <c r="A13313" t="s">
        <v>7</v>
      </c>
      <c r="B13313" t="s">
        <v>33</v>
      </c>
      <c r="C13313" t="str">
        <f t="shared" si="418"/>
        <v>No cumple</v>
      </c>
      <c r="D13313">
        <v>3399</v>
      </c>
      <c r="E13313" t="s">
        <v>8</v>
      </c>
      <c r="F13313">
        <v>5</v>
      </c>
      <c r="G13313">
        <v>8</v>
      </c>
      <c r="H13313">
        <f t="shared" si="417"/>
        <v>-3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3659</v>
      </c>
      <c r="E13314" t="s">
        <v>8</v>
      </c>
      <c r="F13314">
        <v>9</v>
      </c>
      <c r="G13314">
        <v>6</v>
      </c>
      <c r="H13314">
        <f t="shared" ref="H13314:H13377" si="419">F13314-G13314</f>
        <v>3</v>
      </c>
    </row>
    <row r="13315" spans="1:8" x14ac:dyDescent="0.2">
      <c r="A13315" t="s">
        <v>7</v>
      </c>
      <c r="B13315" t="s">
        <v>33</v>
      </c>
      <c r="C13315" t="str">
        <f t="shared" si="418"/>
        <v>Cumple</v>
      </c>
      <c r="D13315">
        <v>3802</v>
      </c>
      <c r="E13315" t="s">
        <v>8</v>
      </c>
      <c r="F13315">
        <v>9</v>
      </c>
      <c r="G13315">
        <v>6</v>
      </c>
      <c r="H13315">
        <f t="shared" si="419"/>
        <v>3</v>
      </c>
    </row>
    <row r="13316" spans="1:8" x14ac:dyDescent="0.2">
      <c r="A13316" t="s">
        <v>7</v>
      </c>
      <c r="B13316" t="s">
        <v>33</v>
      </c>
      <c r="C13316" t="str">
        <f t="shared" ref="C13316:C13379" si="420">IF(H13316&gt;=0,"Cumple","No cumple")</f>
        <v>Cumple</v>
      </c>
      <c r="D13316">
        <v>3940</v>
      </c>
      <c r="E13316" t="s">
        <v>8</v>
      </c>
      <c r="F13316">
        <v>16</v>
      </c>
      <c r="G13316">
        <v>6</v>
      </c>
      <c r="H13316">
        <f t="shared" si="419"/>
        <v>10</v>
      </c>
    </row>
    <row r="13317" spans="1:8" x14ac:dyDescent="0.2">
      <c r="A13317" t="s">
        <v>7</v>
      </c>
      <c r="B13317" t="s">
        <v>33</v>
      </c>
      <c r="C13317" t="str">
        <f t="shared" si="420"/>
        <v>Cumple</v>
      </c>
      <c r="D13317">
        <v>3967</v>
      </c>
      <c r="E13317" t="s">
        <v>8</v>
      </c>
      <c r="F13317">
        <v>13</v>
      </c>
      <c r="G13317">
        <v>6</v>
      </c>
      <c r="H13317">
        <f t="shared" si="419"/>
        <v>7</v>
      </c>
    </row>
    <row r="13318" spans="1:8" x14ac:dyDescent="0.2">
      <c r="A13318" t="s">
        <v>7</v>
      </c>
      <c r="B13318" t="s">
        <v>33</v>
      </c>
      <c r="C13318" t="str">
        <f t="shared" si="420"/>
        <v>Cumple</v>
      </c>
      <c r="D13318">
        <v>5142</v>
      </c>
      <c r="E13318" t="s">
        <v>8</v>
      </c>
      <c r="F13318">
        <v>6</v>
      </c>
      <c r="G13318">
        <v>6</v>
      </c>
      <c r="H13318">
        <f t="shared" si="419"/>
        <v>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9112</v>
      </c>
      <c r="E13319" t="s">
        <v>8</v>
      </c>
      <c r="F13319">
        <v>10</v>
      </c>
      <c r="G13319">
        <v>6</v>
      </c>
      <c r="H13319">
        <f t="shared" si="419"/>
        <v>4</v>
      </c>
    </row>
    <row r="13320" spans="1:8" x14ac:dyDescent="0.2">
      <c r="A13320" t="s">
        <v>7</v>
      </c>
      <c r="B13320" t="s">
        <v>33</v>
      </c>
      <c r="C13320" t="str">
        <f t="shared" si="420"/>
        <v>No cumple</v>
      </c>
      <c r="D13320">
        <v>9220</v>
      </c>
      <c r="E13320" t="s">
        <v>8</v>
      </c>
      <c r="F13320">
        <v>5</v>
      </c>
      <c r="G13320">
        <v>8</v>
      </c>
      <c r="H13320">
        <f t="shared" si="419"/>
        <v>-3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9234</v>
      </c>
      <c r="E13321" t="s">
        <v>8</v>
      </c>
      <c r="F13321">
        <v>11</v>
      </c>
      <c r="G13321">
        <v>6</v>
      </c>
      <c r="H13321">
        <f t="shared" si="419"/>
        <v>5</v>
      </c>
    </row>
    <row r="13322" spans="1:8" x14ac:dyDescent="0.2">
      <c r="A13322" t="s">
        <v>7</v>
      </c>
      <c r="B13322" t="s">
        <v>33</v>
      </c>
      <c r="C13322" t="str">
        <f t="shared" si="420"/>
        <v>Cumple</v>
      </c>
      <c r="D13322">
        <v>9329</v>
      </c>
      <c r="E13322" t="s">
        <v>8</v>
      </c>
      <c r="F13322">
        <v>10</v>
      </c>
      <c r="G13322">
        <v>6</v>
      </c>
      <c r="H13322">
        <f t="shared" si="419"/>
        <v>4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9472</v>
      </c>
      <c r="E13323" t="s">
        <v>8</v>
      </c>
      <c r="F13323">
        <v>10</v>
      </c>
      <c r="G13323">
        <v>6</v>
      </c>
      <c r="H13323">
        <f t="shared" si="419"/>
        <v>4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9609</v>
      </c>
      <c r="E13324" t="s">
        <v>8</v>
      </c>
      <c r="F13324">
        <v>13</v>
      </c>
      <c r="G13324">
        <v>6</v>
      </c>
      <c r="H13324">
        <f t="shared" si="419"/>
        <v>7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1836</v>
      </c>
      <c r="E13325" t="s">
        <v>8</v>
      </c>
      <c r="F13325">
        <v>12</v>
      </c>
      <c r="G13325">
        <v>6</v>
      </c>
      <c r="H13325">
        <f t="shared" si="419"/>
        <v>6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674</v>
      </c>
      <c r="E13326" t="s">
        <v>8</v>
      </c>
      <c r="F13326">
        <v>11</v>
      </c>
      <c r="G13326">
        <v>6</v>
      </c>
      <c r="H13326">
        <f t="shared" si="419"/>
        <v>5</v>
      </c>
    </row>
    <row r="13327" spans="1:8" x14ac:dyDescent="0.2">
      <c r="A13327" t="s">
        <v>7</v>
      </c>
      <c r="B13327" t="s">
        <v>33</v>
      </c>
      <c r="C13327" t="str">
        <f t="shared" si="420"/>
        <v>No cumple</v>
      </c>
      <c r="D13327">
        <v>1779</v>
      </c>
      <c r="E13327" t="s">
        <v>8</v>
      </c>
      <c r="F13327">
        <v>4</v>
      </c>
      <c r="G13327">
        <v>6</v>
      </c>
      <c r="H13327">
        <f t="shared" si="419"/>
        <v>-2</v>
      </c>
    </row>
    <row r="13328" spans="1:8" x14ac:dyDescent="0.2">
      <c r="A13328" t="s">
        <v>7</v>
      </c>
      <c r="B13328" t="s">
        <v>33</v>
      </c>
      <c r="C13328" t="str">
        <f t="shared" si="420"/>
        <v>No cumple</v>
      </c>
      <c r="D13328">
        <v>1790</v>
      </c>
      <c r="E13328" t="s">
        <v>8</v>
      </c>
      <c r="F13328">
        <v>5</v>
      </c>
      <c r="G13328">
        <v>6</v>
      </c>
      <c r="H13328">
        <f t="shared" si="419"/>
        <v>-1</v>
      </c>
    </row>
    <row r="13329" spans="1:8" x14ac:dyDescent="0.2">
      <c r="A13329" t="s">
        <v>7</v>
      </c>
      <c r="B13329" t="s">
        <v>33</v>
      </c>
      <c r="C13329" t="str">
        <f t="shared" si="420"/>
        <v>Cumple</v>
      </c>
      <c r="D13329">
        <v>2186</v>
      </c>
      <c r="E13329" t="s">
        <v>8</v>
      </c>
      <c r="F13329">
        <v>16</v>
      </c>
      <c r="G13329">
        <v>6</v>
      </c>
      <c r="H13329">
        <f t="shared" si="419"/>
        <v>10</v>
      </c>
    </row>
    <row r="13330" spans="1:8" x14ac:dyDescent="0.2">
      <c r="A13330" t="s">
        <v>7</v>
      </c>
      <c r="B13330" t="s">
        <v>33</v>
      </c>
      <c r="C13330" t="str">
        <f t="shared" si="420"/>
        <v>Cumple</v>
      </c>
      <c r="D13330">
        <v>2218</v>
      </c>
      <c r="E13330" t="s">
        <v>8</v>
      </c>
      <c r="F13330">
        <v>9</v>
      </c>
      <c r="G13330">
        <v>6</v>
      </c>
      <c r="H13330">
        <f t="shared" si="419"/>
        <v>3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2501</v>
      </c>
      <c r="E13331" t="s">
        <v>8</v>
      </c>
      <c r="F13331">
        <v>13</v>
      </c>
      <c r="G13331">
        <v>6</v>
      </c>
      <c r="H13331">
        <f t="shared" si="419"/>
        <v>7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3453</v>
      </c>
      <c r="E13332" t="s">
        <v>8</v>
      </c>
      <c r="F13332">
        <v>16</v>
      </c>
      <c r="G13332">
        <v>6</v>
      </c>
      <c r="H13332">
        <f t="shared" si="419"/>
        <v>10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3513</v>
      </c>
      <c r="E13333" t="s">
        <v>8</v>
      </c>
      <c r="F13333">
        <v>6</v>
      </c>
      <c r="G13333">
        <v>6</v>
      </c>
      <c r="H13333">
        <f t="shared" si="419"/>
        <v>0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3593</v>
      </c>
      <c r="E13334" t="s">
        <v>8</v>
      </c>
      <c r="F13334">
        <v>15</v>
      </c>
      <c r="G13334">
        <v>6</v>
      </c>
      <c r="H13334">
        <f t="shared" si="419"/>
        <v>9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3629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9139</v>
      </c>
      <c r="E13336" t="s">
        <v>8</v>
      </c>
      <c r="F13336">
        <v>7</v>
      </c>
      <c r="G13336">
        <v>6</v>
      </c>
      <c r="H13336">
        <f t="shared" si="419"/>
        <v>1</v>
      </c>
    </row>
    <row r="13337" spans="1:8" x14ac:dyDescent="0.2">
      <c r="A13337" t="s">
        <v>7</v>
      </c>
      <c r="B13337" t="s">
        <v>33</v>
      </c>
      <c r="C13337" t="str">
        <f t="shared" si="420"/>
        <v>No cumple</v>
      </c>
      <c r="D13337">
        <v>9365</v>
      </c>
      <c r="E13337" t="s">
        <v>8</v>
      </c>
      <c r="F13337">
        <v>4</v>
      </c>
      <c r="G13337">
        <v>6</v>
      </c>
      <c r="H13337">
        <f t="shared" si="419"/>
        <v>-2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9561</v>
      </c>
      <c r="E13338" t="s">
        <v>8</v>
      </c>
      <c r="F13338">
        <v>14</v>
      </c>
      <c r="G13338">
        <v>6</v>
      </c>
      <c r="H13338">
        <f t="shared" si="419"/>
        <v>8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9642</v>
      </c>
      <c r="E13339" t="s">
        <v>8</v>
      </c>
      <c r="F13339">
        <v>4</v>
      </c>
      <c r="G13339">
        <v>8</v>
      </c>
      <c r="H13339">
        <f t="shared" si="419"/>
        <v>-4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365</v>
      </c>
      <c r="E13340" t="s">
        <v>8</v>
      </c>
      <c r="F13340">
        <v>6</v>
      </c>
      <c r="G13340">
        <v>6</v>
      </c>
      <c r="H13340">
        <f t="shared" si="419"/>
        <v>0</v>
      </c>
    </row>
    <row r="13341" spans="1:8" x14ac:dyDescent="0.2">
      <c r="A13341" t="s">
        <v>7</v>
      </c>
      <c r="B13341" t="s">
        <v>33</v>
      </c>
      <c r="C13341" t="str">
        <f t="shared" si="420"/>
        <v>Cumple</v>
      </c>
      <c r="D13341">
        <v>529</v>
      </c>
      <c r="E13341" t="s">
        <v>8</v>
      </c>
      <c r="F13341">
        <v>8</v>
      </c>
      <c r="G13341">
        <v>6</v>
      </c>
      <c r="H13341">
        <f t="shared" si="419"/>
        <v>2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627</v>
      </c>
      <c r="E13342" t="s">
        <v>8</v>
      </c>
      <c r="F13342">
        <v>12</v>
      </c>
      <c r="G13342">
        <v>6</v>
      </c>
      <c r="H13342">
        <f t="shared" si="419"/>
        <v>6</v>
      </c>
    </row>
    <row r="13343" spans="1:8" x14ac:dyDescent="0.2">
      <c r="A13343" t="s">
        <v>7</v>
      </c>
      <c r="B13343" t="s">
        <v>33</v>
      </c>
      <c r="C13343" t="str">
        <f t="shared" si="420"/>
        <v>No cumple</v>
      </c>
      <c r="D13343">
        <v>692</v>
      </c>
      <c r="E13343" t="s">
        <v>8</v>
      </c>
      <c r="F13343">
        <v>5</v>
      </c>
      <c r="G13343">
        <v>6</v>
      </c>
      <c r="H13343">
        <f t="shared" si="419"/>
        <v>-1</v>
      </c>
    </row>
    <row r="13344" spans="1:8" x14ac:dyDescent="0.2">
      <c r="A13344" t="s">
        <v>7</v>
      </c>
      <c r="B13344" t="s">
        <v>33</v>
      </c>
      <c r="C13344" t="str">
        <f t="shared" si="420"/>
        <v>No cumple</v>
      </c>
      <c r="D13344">
        <v>1786</v>
      </c>
      <c r="E13344" t="s">
        <v>8</v>
      </c>
      <c r="F13344">
        <v>5</v>
      </c>
      <c r="G13344">
        <v>6</v>
      </c>
      <c r="H13344">
        <f t="shared" si="419"/>
        <v>-1</v>
      </c>
    </row>
    <row r="13345" spans="1:8" x14ac:dyDescent="0.2">
      <c r="A13345" t="s">
        <v>7</v>
      </c>
      <c r="B13345" t="s">
        <v>33</v>
      </c>
      <c r="C13345" t="str">
        <f t="shared" si="420"/>
        <v>Cumple</v>
      </c>
      <c r="D13345">
        <v>2104</v>
      </c>
      <c r="E13345" t="s">
        <v>8</v>
      </c>
      <c r="F13345">
        <v>6</v>
      </c>
      <c r="G13345">
        <v>6</v>
      </c>
      <c r="H13345">
        <f t="shared" si="419"/>
        <v>0</v>
      </c>
    </row>
    <row r="13346" spans="1:8" x14ac:dyDescent="0.2">
      <c r="A13346" t="s">
        <v>7</v>
      </c>
      <c r="B13346" t="s">
        <v>33</v>
      </c>
      <c r="C13346" t="str">
        <f t="shared" si="420"/>
        <v>Cumple</v>
      </c>
      <c r="D13346">
        <v>2278</v>
      </c>
      <c r="E13346" t="s">
        <v>8</v>
      </c>
      <c r="F13346">
        <v>12</v>
      </c>
      <c r="G13346">
        <v>6</v>
      </c>
      <c r="H13346">
        <f t="shared" si="419"/>
        <v>6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2322</v>
      </c>
      <c r="E13347" t="s">
        <v>8</v>
      </c>
      <c r="F13347">
        <v>7</v>
      </c>
      <c r="G13347">
        <v>6</v>
      </c>
      <c r="H13347">
        <f t="shared" si="419"/>
        <v>1</v>
      </c>
    </row>
    <row r="13348" spans="1:8" x14ac:dyDescent="0.2">
      <c r="A13348" t="s">
        <v>7</v>
      </c>
      <c r="B13348" t="s">
        <v>33</v>
      </c>
      <c r="C13348" t="str">
        <f t="shared" si="420"/>
        <v>No cumple</v>
      </c>
      <c r="D13348">
        <v>2395</v>
      </c>
      <c r="E13348" t="s">
        <v>8</v>
      </c>
      <c r="F13348">
        <v>4</v>
      </c>
      <c r="G13348">
        <v>6</v>
      </c>
      <c r="H13348">
        <f t="shared" si="419"/>
        <v>-2</v>
      </c>
    </row>
    <row r="13349" spans="1:8" x14ac:dyDescent="0.2">
      <c r="A13349" t="s">
        <v>7</v>
      </c>
      <c r="B13349" t="s">
        <v>33</v>
      </c>
      <c r="C13349" t="str">
        <f t="shared" si="420"/>
        <v>No cumple</v>
      </c>
      <c r="D13349">
        <v>2586</v>
      </c>
      <c r="E13349" t="s">
        <v>8</v>
      </c>
      <c r="F13349">
        <v>3</v>
      </c>
      <c r="G13349">
        <v>6</v>
      </c>
      <c r="H13349">
        <f t="shared" si="419"/>
        <v>-3</v>
      </c>
    </row>
    <row r="13350" spans="1:8" x14ac:dyDescent="0.2">
      <c r="A13350" t="s">
        <v>7</v>
      </c>
      <c r="B13350" t="s">
        <v>33</v>
      </c>
      <c r="C13350" t="str">
        <f t="shared" si="420"/>
        <v>Cumple</v>
      </c>
      <c r="D13350">
        <v>2720</v>
      </c>
      <c r="E13350" t="s">
        <v>8</v>
      </c>
      <c r="F13350">
        <v>6</v>
      </c>
      <c r="G13350">
        <v>6</v>
      </c>
      <c r="H13350">
        <f t="shared" si="419"/>
        <v>0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2815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2836</v>
      </c>
      <c r="E13352" t="s">
        <v>8</v>
      </c>
      <c r="F13352">
        <v>23</v>
      </c>
      <c r="G13352">
        <v>6</v>
      </c>
      <c r="H13352">
        <f t="shared" si="419"/>
        <v>17</v>
      </c>
    </row>
    <row r="13353" spans="1:8" x14ac:dyDescent="0.2">
      <c r="A13353" t="s">
        <v>7</v>
      </c>
      <c r="B13353" t="s">
        <v>33</v>
      </c>
      <c r="C13353" t="str">
        <f t="shared" si="420"/>
        <v>Cumple</v>
      </c>
      <c r="D13353">
        <v>3349</v>
      </c>
      <c r="E13353" t="s">
        <v>8</v>
      </c>
      <c r="F13353">
        <v>9</v>
      </c>
      <c r="G13353">
        <v>6</v>
      </c>
      <c r="H13353">
        <f t="shared" si="419"/>
        <v>3</v>
      </c>
    </row>
    <row r="13354" spans="1:8" x14ac:dyDescent="0.2">
      <c r="A13354" t="s">
        <v>7</v>
      </c>
      <c r="B13354" t="s">
        <v>33</v>
      </c>
      <c r="C13354" t="str">
        <f t="shared" si="420"/>
        <v>No cumple</v>
      </c>
      <c r="D13354">
        <v>3373</v>
      </c>
      <c r="E13354" t="s">
        <v>8</v>
      </c>
      <c r="F13354">
        <v>5</v>
      </c>
      <c r="G13354">
        <v>6</v>
      </c>
      <c r="H13354">
        <f t="shared" si="419"/>
        <v>-1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3900</v>
      </c>
      <c r="E13355" t="s">
        <v>8</v>
      </c>
      <c r="F13355">
        <v>6</v>
      </c>
      <c r="G13355">
        <v>6</v>
      </c>
      <c r="H13355">
        <f t="shared" si="419"/>
        <v>0</v>
      </c>
    </row>
    <row r="13356" spans="1:8" x14ac:dyDescent="0.2">
      <c r="A13356" t="s">
        <v>7</v>
      </c>
      <c r="B13356" t="s">
        <v>33</v>
      </c>
      <c r="C13356" t="str">
        <f t="shared" si="420"/>
        <v>Cumple</v>
      </c>
      <c r="D13356">
        <v>9159</v>
      </c>
      <c r="E13356" t="s">
        <v>8</v>
      </c>
      <c r="F13356">
        <v>6</v>
      </c>
      <c r="G13356">
        <v>6</v>
      </c>
      <c r="H13356">
        <f t="shared" si="419"/>
        <v>0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9190</v>
      </c>
      <c r="E13357" t="s">
        <v>8</v>
      </c>
      <c r="F13357">
        <v>7</v>
      </c>
      <c r="G13357">
        <v>6</v>
      </c>
      <c r="H13357">
        <f t="shared" si="419"/>
        <v>1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9224</v>
      </c>
      <c r="E13358" t="s">
        <v>8</v>
      </c>
      <c r="F13358">
        <v>10</v>
      </c>
      <c r="G13358">
        <v>6</v>
      </c>
      <c r="H13358">
        <f t="shared" si="419"/>
        <v>4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3980</v>
      </c>
      <c r="E13359" t="s">
        <v>8</v>
      </c>
      <c r="F13359">
        <v>11</v>
      </c>
      <c r="G13359">
        <v>6</v>
      </c>
      <c r="H13359">
        <f t="shared" si="419"/>
        <v>5</v>
      </c>
    </row>
    <row r="13360" spans="1:8" x14ac:dyDescent="0.2">
      <c r="A13360" t="s">
        <v>7</v>
      </c>
      <c r="B13360" t="s">
        <v>33</v>
      </c>
      <c r="C13360" t="str">
        <f t="shared" si="420"/>
        <v>No cumple</v>
      </c>
      <c r="D13360">
        <v>2776</v>
      </c>
      <c r="E13360" t="s">
        <v>8</v>
      </c>
      <c r="F13360">
        <v>3</v>
      </c>
      <c r="G13360">
        <v>6</v>
      </c>
      <c r="H13360">
        <f t="shared" si="419"/>
        <v>-3</v>
      </c>
    </row>
    <row r="13361" spans="1:8" x14ac:dyDescent="0.2">
      <c r="A13361" t="s">
        <v>7</v>
      </c>
      <c r="B13361" t="s">
        <v>33</v>
      </c>
      <c r="C13361" t="str">
        <f t="shared" si="420"/>
        <v>No cumple</v>
      </c>
      <c r="D13361">
        <v>4047</v>
      </c>
      <c r="E13361" t="s">
        <v>8</v>
      </c>
      <c r="F13361">
        <v>4</v>
      </c>
      <c r="G13361">
        <v>6</v>
      </c>
      <c r="H13361">
        <f t="shared" si="419"/>
        <v>-2</v>
      </c>
    </row>
    <row r="13362" spans="1:8" x14ac:dyDescent="0.2">
      <c r="A13362" t="s">
        <v>7</v>
      </c>
      <c r="B13362" t="s">
        <v>33</v>
      </c>
      <c r="C13362" t="str">
        <f t="shared" si="420"/>
        <v>Cumple</v>
      </c>
      <c r="D13362">
        <v>4061</v>
      </c>
      <c r="E13362" t="s">
        <v>8</v>
      </c>
      <c r="F13362">
        <v>7</v>
      </c>
      <c r="G13362">
        <v>6</v>
      </c>
      <c r="H13362">
        <f t="shared" si="419"/>
        <v>1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301</v>
      </c>
      <c r="E13363" t="s">
        <v>8</v>
      </c>
      <c r="F13363">
        <v>5</v>
      </c>
      <c r="G13363">
        <v>6</v>
      </c>
      <c r="H13363">
        <f t="shared" si="419"/>
        <v>-1</v>
      </c>
    </row>
    <row r="13364" spans="1:8" x14ac:dyDescent="0.2">
      <c r="A13364" t="s">
        <v>7</v>
      </c>
      <c r="B13364" t="s">
        <v>33</v>
      </c>
      <c r="C13364" t="str">
        <f t="shared" si="420"/>
        <v>No cumple</v>
      </c>
      <c r="D13364">
        <v>658</v>
      </c>
      <c r="E13364" t="s">
        <v>8</v>
      </c>
      <c r="F13364">
        <v>4</v>
      </c>
      <c r="G13364">
        <v>6</v>
      </c>
      <c r="H13364">
        <f t="shared" si="419"/>
        <v>-2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675</v>
      </c>
      <c r="E13365" t="s">
        <v>8</v>
      </c>
      <c r="F13365">
        <v>2</v>
      </c>
      <c r="G13365">
        <v>6</v>
      </c>
      <c r="H13365">
        <f t="shared" si="419"/>
        <v>-4</v>
      </c>
    </row>
    <row r="13366" spans="1:8" x14ac:dyDescent="0.2">
      <c r="A13366" t="s">
        <v>7</v>
      </c>
      <c r="B13366" t="s">
        <v>33</v>
      </c>
      <c r="C13366" t="str">
        <f t="shared" si="420"/>
        <v>Cumple</v>
      </c>
      <c r="D13366">
        <v>1424</v>
      </c>
      <c r="E13366" t="s">
        <v>8</v>
      </c>
      <c r="F13366">
        <v>8</v>
      </c>
      <c r="G13366">
        <v>6</v>
      </c>
      <c r="H13366">
        <f t="shared" si="419"/>
        <v>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1713</v>
      </c>
      <c r="E13367" t="s">
        <v>8</v>
      </c>
      <c r="F13367">
        <v>4</v>
      </c>
      <c r="G13367">
        <v>6</v>
      </c>
      <c r="H13367">
        <f t="shared" si="419"/>
        <v>-2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1785</v>
      </c>
      <c r="E13368" t="s">
        <v>8</v>
      </c>
      <c r="F13368">
        <v>7</v>
      </c>
      <c r="G13368">
        <v>6</v>
      </c>
      <c r="H13368">
        <f t="shared" si="419"/>
        <v>1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1826</v>
      </c>
      <c r="E13369" t="s">
        <v>8</v>
      </c>
      <c r="F13369">
        <v>3</v>
      </c>
      <c r="G13369">
        <v>6</v>
      </c>
      <c r="H13369">
        <f t="shared" si="419"/>
        <v>-3</v>
      </c>
    </row>
    <row r="13370" spans="1:8" x14ac:dyDescent="0.2">
      <c r="A13370" t="s">
        <v>7</v>
      </c>
      <c r="B13370" t="s">
        <v>33</v>
      </c>
      <c r="C13370" t="str">
        <f t="shared" si="420"/>
        <v>No cumple</v>
      </c>
      <c r="D13370">
        <v>2135</v>
      </c>
      <c r="E13370" t="s">
        <v>8</v>
      </c>
      <c r="F13370">
        <v>3</v>
      </c>
      <c r="G13370">
        <v>6</v>
      </c>
      <c r="H13370">
        <f t="shared" si="419"/>
        <v>-3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2235</v>
      </c>
      <c r="E13371" t="s">
        <v>8</v>
      </c>
      <c r="F13371">
        <v>4</v>
      </c>
      <c r="G13371">
        <v>6</v>
      </c>
      <c r="H13371">
        <f t="shared" si="419"/>
        <v>-2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2239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Cumple</v>
      </c>
      <c r="D13373">
        <v>2631</v>
      </c>
      <c r="E13373" t="s">
        <v>8</v>
      </c>
      <c r="F13373">
        <v>11</v>
      </c>
      <c r="G13373">
        <v>6</v>
      </c>
      <c r="H13373">
        <f t="shared" si="419"/>
        <v>5</v>
      </c>
    </row>
    <row r="13374" spans="1:8" x14ac:dyDescent="0.2">
      <c r="A13374" t="s">
        <v>7</v>
      </c>
      <c r="B13374" t="s">
        <v>33</v>
      </c>
      <c r="C13374" t="str">
        <f t="shared" si="420"/>
        <v>Cumple</v>
      </c>
      <c r="D13374">
        <v>2763</v>
      </c>
      <c r="E13374" t="s">
        <v>8</v>
      </c>
      <c r="F13374">
        <v>13</v>
      </c>
      <c r="G13374">
        <v>6</v>
      </c>
      <c r="H13374">
        <f t="shared" si="419"/>
        <v>7</v>
      </c>
    </row>
    <row r="13375" spans="1:8" x14ac:dyDescent="0.2">
      <c r="A13375" t="s">
        <v>7</v>
      </c>
      <c r="B13375" t="s">
        <v>33</v>
      </c>
      <c r="C13375" t="str">
        <f t="shared" si="420"/>
        <v>No cumple</v>
      </c>
      <c r="D13375">
        <v>3700</v>
      </c>
      <c r="E13375" t="s">
        <v>8</v>
      </c>
      <c r="F13375">
        <v>4</v>
      </c>
      <c r="G13375">
        <v>6</v>
      </c>
      <c r="H13375">
        <f t="shared" si="419"/>
        <v>-2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3904</v>
      </c>
      <c r="E13376" t="s">
        <v>8</v>
      </c>
      <c r="F13376">
        <v>7</v>
      </c>
      <c r="G13376">
        <v>6</v>
      </c>
      <c r="H13376">
        <f t="shared" si="419"/>
        <v>1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7602</v>
      </c>
      <c r="E13377" t="s">
        <v>8</v>
      </c>
      <c r="F13377">
        <v>2</v>
      </c>
      <c r="G13377">
        <v>6</v>
      </c>
      <c r="H13377">
        <f t="shared" si="419"/>
        <v>-4</v>
      </c>
    </row>
    <row r="13378" spans="1:8" x14ac:dyDescent="0.2">
      <c r="A13378" t="s">
        <v>7</v>
      </c>
      <c r="B13378" t="s">
        <v>33</v>
      </c>
      <c r="C13378" t="str">
        <f t="shared" si="420"/>
        <v>No cumple</v>
      </c>
      <c r="D13378">
        <v>9022</v>
      </c>
      <c r="E13378" t="s">
        <v>8</v>
      </c>
      <c r="F13378">
        <v>5</v>
      </c>
      <c r="G13378">
        <v>6</v>
      </c>
      <c r="H13378">
        <f t="shared" ref="H13378:H13441" si="421">F13378-G13378</f>
        <v>-1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9074</v>
      </c>
      <c r="E13379" t="s">
        <v>8</v>
      </c>
      <c r="F13379">
        <v>4</v>
      </c>
      <c r="G13379">
        <v>6</v>
      </c>
      <c r="H13379">
        <f t="shared" si="421"/>
        <v>-2</v>
      </c>
    </row>
    <row r="13380" spans="1:8" x14ac:dyDescent="0.2">
      <c r="A13380" t="s">
        <v>7</v>
      </c>
      <c r="B13380" t="s">
        <v>33</v>
      </c>
      <c r="C13380" t="str">
        <f t="shared" ref="C13380:C13443" si="422">IF(H13380&gt;=0,"Cumple","No cumple")</f>
        <v>No cumple</v>
      </c>
      <c r="D13380">
        <v>9082</v>
      </c>
      <c r="E13380" t="s">
        <v>8</v>
      </c>
      <c r="F13380">
        <v>2</v>
      </c>
      <c r="G13380">
        <v>6</v>
      </c>
      <c r="H13380">
        <f t="shared" si="421"/>
        <v>-4</v>
      </c>
    </row>
    <row r="13381" spans="1:8" x14ac:dyDescent="0.2">
      <c r="A13381" t="s">
        <v>7</v>
      </c>
      <c r="B13381" t="s">
        <v>33</v>
      </c>
      <c r="C13381" t="str">
        <f t="shared" si="422"/>
        <v>No cumple</v>
      </c>
      <c r="D13381">
        <v>9119</v>
      </c>
      <c r="E13381" t="s">
        <v>8</v>
      </c>
      <c r="F13381">
        <v>5</v>
      </c>
      <c r="G13381">
        <v>6</v>
      </c>
      <c r="H13381">
        <f t="shared" si="421"/>
        <v>-1</v>
      </c>
    </row>
    <row r="13382" spans="1:8" x14ac:dyDescent="0.2">
      <c r="A13382" t="s">
        <v>7</v>
      </c>
      <c r="B13382" t="s">
        <v>33</v>
      </c>
      <c r="C13382" t="str">
        <f t="shared" si="422"/>
        <v>No cumple</v>
      </c>
      <c r="D13382">
        <v>9320</v>
      </c>
      <c r="E13382" t="s">
        <v>8</v>
      </c>
      <c r="F13382">
        <v>3</v>
      </c>
      <c r="G13382">
        <v>6</v>
      </c>
      <c r="H13382">
        <f t="shared" si="421"/>
        <v>-3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9484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9669</v>
      </c>
      <c r="E13384" t="s">
        <v>8</v>
      </c>
      <c r="F13384">
        <v>5</v>
      </c>
      <c r="G13384">
        <v>6</v>
      </c>
      <c r="H13384">
        <f t="shared" si="421"/>
        <v>-1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9726</v>
      </c>
      <c r="E13385" t="s">
        <v>8</v>
      </c>
      <c r="F13385">
        <v>2</v>
      </c>
      <c r="G13385">
        <v>6</v>
      </c>
      <c r="H13385">
        <f t="shared" si="421"/>
        <v>-4</v>
      </c>
    </row>
    <row r="13386" spans="1:8" x14ac:dyDescent="0.2">
      <c r="A13386" t="s">
        <v>7</v>
      </c>
      <c r="B13386" t="s">
        <v>33</v>
      </c>
      <c r="C13386" t="str">
        <f t="shared" si="422"/>
        <v>Cumple</v>
      </c>
      <c r="D13386">
        <v>9964</v>
      </c>
      <c r="E13386" t="s">
        <v>8</v>
      </c>
      <c r="F13386">
        <v>9</v>
      </c>
      <c r="G13386">
        <v>6</v>
      </c>
      <c r="H13386">
        <f t="shared" si="421"/>
        <v>3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3989</v>
      </c>
      <c r="E13387" t="s">
        <v>8</v>
      </c>
      <c r="F13387">
        <v>5</v>
      </c>
      <c r="G13387">
        <v>6</v>
      </c>
      <c r="H13387">
        <f t="shared" si="421"/>
        <v>-1</v>
      </c>
    </row>
    <row r="13388" spans="1:8" x14ac:dyDescent="0.2">
      <c r="A13388" t="s">
        <v>7</v>
      </c>
      <c r="B13388" t="s">
        <v>33</v>
      </c>
      <c r="C13388" t="str">
        <f t="shared" si="422"/>
        <v>No cumple</v>
      </c>
      <c r="D13388">
        <v>9880</v>
      </c>
      <c r="E13388" t="s">
        <v>8</v>
      </c>
      <c r="F13388">
        <v>2</v>
      </c>
      <c r="G13388">
        <v>6</v>
      </c>
      <c r="H13388">
        <f t="shared" si="421"/>
        <v>-4</v>
      </c>
    </row>
    <row r="13389" spans="1:8" x14ac:dyDescent="0.2">
      <c r="A13389" t="s">
        <v>7</v>
      </c>
      <c r="B13389" t="s">
        <v>33</v>
      </c>
      <c r="C13389" t="str">
        <f t="shared" si="422"/>
        <v>Cumple</v>
      </c>
      <c r="D13389">
        <v>2905</v>
      </c>
      <c r="E13389" t="s">
        <v>8</v>
      </c>
      <c r="F13389">
        <v>6</v>
      </c>
      <c r="G13389">
        <v>6</v>
      </c>
      <c r="H13389">
        <f t="shared" si="421"/>
        <v>0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349</v>
      </c>
      <c r="E13390" t="s">
        <v>8</v>
      </c>
      <c r="F13390">
        <v>5</v>
      </c>
      <c r="G13390">
        <v>6</v>
      </c>
      <c r="H13390">
        <f t="shared" si="421"/>
        <v>-1</v>
      </c>
    </row>
    <row r="13391" spans="1:8" x14ac:dyDescent="0.2">
      <c r="A13391" t="s">
        <v>7</v>
      </c>
      <c r="B13391" t="s">
        <v>33</v>
      </c>
      <c r="C13391" t="str">
        <f t="shared" si="422"/>
        <v>No cumple</v>
      </c>
      <c r="D13391">
        <v>4053</v>
      </c>
      <c r="E13391" t="s">
        <v>8</v>
      </c>
      <c r="F13391">
        <v>4</v>
      </c>
      <c r="G13391">
        <v>6</v>
      </c>
      <c r="H13391">
        <f t="shared" si="421"/>
        <v>-2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307</v>
      </c>
      <c r="E13392" t="s">
        <v>8</v>
      </c>
      <c r="F13392">
        <v>3</v>
      </c>
      <c r="G13392">
        <v>6</v>
      </c>
      <c r="H13392">
        <f t="shared" si="421"/>
        <v>-3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361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523</v>
      </c>
      <c r="E13394" t="s">
        <v>8</v>
      </c>
      <c r="F13394">
        <v>1</v>
      </c>
      <c r="G13394">
        <v>6</v>
      </c>
      <c r="H13394">
        <f t="shared" si="421"/>
        <v>-5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684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748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953</v>
      </c>
      <c r="E13397" t="s">
        <v>8</v>
      </c>
      <c r="F13397">
        <v>1</v>
      </c>
      <c r="G13397">
        <v>6</v>
      </c>
      <c r="H13397">
        <f t="shared" si="421"/>
        <v>-5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1718</v>
      </c>
      <c r="E13398" t="s">
        <v>8</v>
      </c>
      <c r="F13398">
        <v>2</v>
      </c>
      <c r="G13398">
        <v>6</v>
      </c>
      <c r="H13398">
        <f t="shared" si="421"/>
        <v>-4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2006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2030</v>
      </c>
      <c r="E13400" t="s">
        <v>8</v>
      </c>
      <c r="F13400">
        <v>4</v>
      </c>
      <c r="G13400">
        <v>6</v>
      </c>
      <c r="H13400">
        <f t="shared" si="421"/>
        <v>-2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2098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2227</v>
      </c>
      <c r="E13402" t="s">
        <v>8</v>
      </c>
      <c r="F13402">
        <v>1</v>
      </c>
      <c r="G13402">
        <v>6</v>
      </c>
      <c r="H13402">
        <f t="shared" si="421"/>
        <v>-5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2246</v>
      </c>
      <c r="E13403" t="s">
        <v>8</v>
      </c>
      <c r="F13403">
        <v>3</v>
      </c>
      <c r="G13403">
        <v>6</v>
      </c>
      <c r="H13403">
        <f t="shared" si="421"/>
        <v>-3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2581</v>
      </c>
      <c r="E13404" t="s">
        <v>8</v>
      </c>
      <c r="F13404">
        <v>5</v>
      </c>
      <c r="G13404">
        <v>6</v>
      </c>
      <c r="H13404">
        <f t="shared" si="421"/>
        <v>-1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2649</v>
      </c>
      <c r="E13405" t="s">
        <v>8</v>
      </c>
      <c r="F13405">
        <v>1</v>
      </c>
      <c r="G13405">
        <v>6</v>
      </c>
      <c r="H13405">
        <f t="shared" si="421"/>
        <v>-5</v>
      </c>
    </row>
    <row r="13406" spans="1:8" x14ac:dyDescent="0.2">
      <c r="A13406" t="s">
        <v>7</v>
      </c>
      <c r="B13406" t="s">
        <v>33</v>
      </c>
      <c r="C13406" t="str">
        <f t="shared" si="422"/>
        <v>Cumple</v>
      </c>
      <c r="D13406">
        <v>2784</v>
      </c>
      <c r="E13406" t="s">
        <v>8</v>
      </c>
      <c r="F13406">
        <v>6</v>
      </c>
      <c r="G13406">
        <v>6</v>
      </c>
      <c r="H13406">
        <f t="shared" si="421"/>
        <v>0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2871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2912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2916</v>
      </c>
      <c r="E13409" t="s">
        <v>8</v>
      </c>
      <c r="F13409">
        <v>2</v>
      </c>
      <c r="G13409">
        <v>6</v>
      </c>
      <c r="H13409">
        <f t="shared" si="421"/>
        <v>-4</v>
      </c>
    </row>
    <row r="13410" spans="1:8" x14ac:dyDescent="0.2">
      <c r="A13410" t="s">
        <v>7</v>
      </c>
      <c r="B13410" t="s">
        <v>33</v>
      </c>
      <c r="C13410" t="str">
        <f t="shared" si="422"/>
        <v>No cumple</v>
      </c>
      <c r="D13410">
        <v>3049</v>
      </c>
      <c r="E13410" t="s">
        <v>8</v>
      </c>
      <c r="F13410">
        <v>1</v>
      </c>
      <c r="G13410">
        <v>6</v>
      </c>
      <c r="H13410">
        <f t="shared" si="421"/>
        <v>-5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3381</v>
      </c>
      <c r="E13411" t="s">
        <v>8</v>
      </c>
      <c r="F13411">
        <v>4</v>
      </c>
      <c r="G13411">
        <v>6</v>
      </c>
      <c r="H13411">
        <f t="shared" si="421"/>
        <v>-2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3630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3898</v>
      </c>
      <c r="E13413" t="s">
        <v>8</v>
      </c>
      <c r="F13413">
        <v>1</v>
      </c>
      <c r="G13413">
        <v>6</v>
      </c>
      <c r="H13413">
        <f t="shared" si="421"/>
        <v>-5</v>
      </c>
    </row>
    <row r="13414" spans="1:8" x14ac:dyDescent="0.2">
      <c r="A13414" t="s">
        <v>7</v>
      </c>
      <c r="B13414" t="s">
        <v>33</v>
      </c>
      <c r="C13414" t="str">
        <f t="shared" si="422"/>
        <v>Cumple</v>
      </c>
      <c r="D13414">
        <v>3942</v>
      </c>
      <c r="E13414" t="s">
        <v>8</v>
      </c>
      <c r="F13414">
        <v>12</v>
      </c>
      <c r="G13414">
        <v>6</v>
      </c>
      <c r="H13414">
        <f t="shared" si="421"/>
        <v>6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3944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No cumple</v>
      </c>
      <c r="D13416">
        <v>5002</v>
      </c>
      <c r="E13416" t="s">
        <v>8</v>
      </c>
      <c r="F13416">
        <v>1</v>
      </c>
      <c r="G13416">
        <v>6</v>
      </c>
      <c r="H13416">
        <f t="shared" si="421"/>
        <v>-5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7027</v>
      </c>
      <c r="E13417" t="s">
        <v>8</v>
      </c>
      <c r="F13417">
        <v>2</v>
      </c>
      <c r="G13417">
        <v>6</v>
      </c>
      <c r="H13417">
        <f t="shared" si="421"/>
        <v>-4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9071</v>
      </c>
      <c r="E13418" t="s">
        <v>8</v>
      </c>
      <c r="F13418">
        <v>3</v>
      </c>
      <c r="G13418">
        <v>6</v>
      </c>
      <c r="H13418">
        <f t="shared" si="421"/>
        <v>-3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9072</v>
      </c>
      <c r="E13419" t="s">
        <v>8</v>
      </c>
      <c r="F13419">
        <v>1</v>
      </c>
      <c r="G13419">
        <v>8</v>
      </c>
      <c r="H13419">
        <f t="shared" si="421"/>
        <v>-7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9174</v>
      </c>
      <c r="E13420" t="s">
        <v>8</v>
      </c>
      <c r="F13420">
        <v>4</v>
      </c>
      <c r="G13420">
        <v>6</v>
      </c>
      <c r="H13420">
        <f t="shared" si="421"/>
        <v>-2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9200</v>
      </c>
      <c r="E13421" t="s">
        <v>8</v>
      </c>
      <c r="F13421">
        <v>3</v>
      </c>
      <c r="G13421">
        <v>6</v>
      </c>
      <c r="H13421">
        <f t="shared" si="421"/>
        <v>-3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9364</v>
      </c>
      <c r="E13422" t="s">
        <v>8</v>
      </c>
      <c r="F13422">
        <v>5</v>
      </c>
      <c r="G13422">
        <v>6</v>
      </c>
      <c r="H13422">
        <f t="shared" si="421"/>
        <v>-1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9470</v>
      </c>
      <c r="E13423" t="s">
        <v>8</v>
      </c>
      <c r="F13423">
        <v>2</v>
      </c>
      <c r="G13423">
        <v>6</v>
      </c>
      <c r="H13423">
        <f t="shared" si="421"/>
        <v>-4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9617</v>
      </c>
      <c r="E13424" t="s">
        <v>8</v>
      </c>
      <c r="F13424">
        <v>1</v>
      </c>
      <c r="G13424">
        <v>6</v>
      </c>
      <c r="H13424">
        <f t="shared" si="421"/>
        <v>-5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9701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Cumple</v>
      </c>
      <c r="D13426">
        <v>9868</v>
      </c>
      <c r="E13426" t="s">
        <v>8</v>
      </c>
      <c r="F13426">
        <v>8</v>
      </c>
      <c r="G13426">
        <v>6</v>
      </c>
      <c r="H13426">
        <f t="shared" si="421"/>
        <v>2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9916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No cumple</v>
      </c>
      <c r="D13428">
        <v>3976</v>
      </c>
      <c r="E13428" t="s">
        <v>8</v>
      </c>
      <c r="F13428">
        <v>5</v>
      </c>
      <c r="G13428">
        <v>6</v>
      </c>
      <c r="H13428">
        <f t="shared" si="421"/>
        <v>-1</v>
      </c>
    </row>
    <row r="13429" spans="1:8" x14ac:dyDescent="0.2">
      <c r="A13429" t="s">
        <v>7</v>
      </c>
      <c r="B13429" t="s">
        <v>33</v>
      </c>
      <c r="C13429" t="str">
        <f t="shared" si="422"/>
        <v>Cumple</v>
      </c>
      <c r="D13429">
        <v>4037</v>
      </c>
      <c r="E13429" t="s">
        <v>8</v>
      </c>
      <c r="F13429">
        <v>9</v>
      </c>
      <c r="G13429">
        <v>6</v>
      </c>
      <c r="H13429">
        <f t="shared" si="421"/>
        <v>3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4062</v>
      </c>
      <c r="E13430" t="s">
        <v>8</v>
      </c>
      <c r="F13430">
        <v>2</v>
      </c>
      <c r="G13430">
        <v>6</v>
      </c>
      <c r="H13430">
        <f t="shared" si="421"/>
        <v>-4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4063</v>
      </c>
      <c r="E13431" t="s">
        <v>8</v>
      </c>
      <c r="F13431">
        <v>8</v>
      </c>
      <c r="G13431">
        <v>6</v>
      </c>
      <c r="H13431">
        <f t="shared" si="421"/>
        <v>2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208</v>
      </c>
      <c r="E13432" t="s">
        <v>8</v>
      </c>
      <c r="F13432">
        <v>0</v>
      </c>
      <c r="G13432">
        <v>6</v>
      </c>
      <c r="H13432">
        <f t="shared" si="421"/>
        <v>-6</v>
      </c>
    </row>
    <row r="13433" spans="1:8" x14ac:dyDescent="0.2">
      <c r="A13433" t="s">
        <v>7</v>
      </c>
      <c r="B13433" t="s">
        <v>33</v>
      </c>
      <c r="C13433" t="str">
        <f t="shared" si="422"/>
        <v>No cumple</v>
      </c>
      <c r="D13433">
        <v>234</v>
      </c>
      <c r="E13433" t="s">
        <v>8</v>
      </c>
      <c r="F13433">
        <v>0</v>
      </c>
      <c r="G13433">
        <v>6</v>
      </c>
      <c r="H13433">
        <f t="shared" si="421"/>
        <v>-6</v>
      </c>
    </row>
    <row r="13434" spans="1:8" x14ac:dyDescent="0.2">
      <c r="A13434" t="s">
        <v>18</v>
      </c>
      <c r="B13434" t="s">
        <v>33</v>
      </c>
      <c r="C13434" t="str">
        <f t="shared" si="422"/>
        <v>No cumple</v>
      </c>
      <c r="D13434">
        <v>331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479</v>
      </c>
      <c r="E13435" t="s">
        <v>8</v>
      </c>
      <c r="F13435">
        <v>2</v>
      </c>
      <c r="G13435">
        <v>6</v>
      </c>
      <c r="H13435">
        <f t="shared" si="421"/>
        <v>-4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504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507</v>
      </c>
      <c r="E13437" t="s">
        <v>8</v>
      </c>
      <c r="F13437">
        <v>1</v>
      </c>
      <c r="G13437">
        <v>6</v>
      </c>
      <c r="H13437">
        <f t="shared" si="421"/>
        <v>-5</v>
      </c>
    </row>
    <row r="13438" spans="1:8" x14ac:dyDescent="0.2">
      <c r="A13438" t="s">
        <v>7</v>
      </c>
      <c r="B13438" t="s">
        <v>33</v>
      </c>
      <c r="C13438" t="str">
        <f t="shared" si="422"/>
        <v>No cumple</v>
      </c>
      <c r="D13438">
        <v>517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18</v>
      </c>
      <c r="B13439" t="s">
        <v>33</v>
      </c>
      <c r="C13439" t="str">
        <f t="shared" si="422"/>
        <v>No cumple</v>
      </c>
      <c r="D13439">
        <v>539</v>
      </c>
      <c r="E13439" t="s">
        <v>8</v>
      </c>
      <c r="F13439">
        <v>0</v>
      </c>
      <c r="G13439">
        <v>6</v>
      </c>
      <c r="H13439">
        <f t="shared" si="421"/>
        <v>-6</v>
      </c>
    </row>
    <row r="13440" spans="1:8" x14ac:dyDescent="0.2">
      <c r="A13440" t="s">
        <v>18</v>
      </c>
      <c r="B13440" t="s">
        <v>33</v>
      </c>
      <c r="C13440" t="str">
        <f t="shared" si="422"/>
        <v>No cumple</v>
      </c>
      <c r="D13440">
        <v>541</v>
      </c>
      <c r="E13440" t="s">
        <v>8</v>
      </c>
      <c r="F13440">
        <v>0</v>
      </c>
      <c r="G13440">
        <v>8</v>
      </c>
      <c r="H13440">
        <f t="shared" si="421"/>
        <v>-8</v>
      </c>
    </row>
    <row r="13441" spans="1:8" x14ac:dyDescent="0.2">
      <c r="A13441" t="s">
        <v>7</v>
      </c>
      <c r="B13441" t="s">
        <v>33</v>
      </c>
      <c r="C13441" t="str">
        <f t="shared" si="422"/>
        <v>No cumple</v>
      </c>
      <c r="D13441">
        <v>559</v>
      </c>
      <c r="E13441" t="s">
        <v>8</v>
      </c>
      <c r="F13441">
        <v>3</v>
      </c>
      <c r="G13441">
        <v>6</v>
      </c>
      <c r="H13441">
        <f t="shared" si="421"/>
        <v>-3</v>
      </c>
    </row>
    <row r="13442" spans="1:8" x14ac:dyDescent="0.2">
      <c r="A13442" t="s">
        <v>7</v>
      </c>
      <c r="B13442" t="s">
        <v>33</v>
      </c>
      <c r="C13442" t="str">
        <f t="shared" si="422"/>
        <v>No cumple</v>
      </c>
      <c r="D13442">
        <v>666</v>
      </c>
      <c r="E13442" t="s">
        <v>8</v>
      </c>
      <c r="F13442">
        <v>2</v>
      </c>
      <c r="G13442">
        <v>6</v>
      </c>
      <c r="H13442">
        <f t="shared" ref="H13442:H13505" si="423">F13442-G13442</f>
        <v>-4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680</v>
      </c>
      <c r="E13443" t="s">
        <v>8</v>
      </c>
      <c r="F13443">
        <v>3</v>
      </c>
      <c r="G13443">
        <v>6</v>
      </c>
      <c r="H13443">
        <f t="shared" si="423"/>
        <v>-3</v>
      </c>
    </row>
    <row r="13444" spans="1:8" x14ac:dyDescent="0.2">
      <c r="A13444" t="s">
        <v>18</v>
      </c>
      <c r="B13444" t="s">
        <v>33</v>
      </c>
      <c r="C13444" t="str">
        <f t="shared" ref="C13444:C13507" si="424">IF(H13444&gt;=0,"Cumple","No cumple")</f>
        <v>No cumple</v>
      </c>
      <c r="D13444">
        <v>761</v>
      </c>
      <c r="E13444" t="s">
        <v>8</v>
      </c>
      <c r="F13444">
        <v>0</v>
      </c>
      <c r="G13444">
        <v>6</v>
      </c>
      <c r="H13444">
        <f t="shared" si="423"/>
        <v>-6</v>
      </c>
    </row>
    <row r="13445" spans="1:8" x14ac:dyDescent="0.2">
      <c r="A13445" t="s">
        <v>7</v>
      </c>
      <c r="B13445" t="s">
        <v>33</v>
      </c>
      <c r="C13445" t="str">
        <f t="shared" si="424"/>
        <v>No cumple</v>
      </c>
      <c r="D13445">
        <v>797</v>
      </c>
      <c r="E13445" t="s">
        <v>8</v>
      </c>
      <c r="F13445">
        <v>2</v>
      </c>
      <c r="G13445">
        <v>6</v>
      </c>
      <c r="H13445">
        <f t="shared" si="423"/>
        <v>-4</v>
      </c>
    </row>
    <row r="13446" spans="1:8" x14ac:dyDescent="0.2">
      <c r="A13446" t="s">
        <v>7</v>
      </c>
      <c r="B13446" t="s">
        <v>33</v>
      </c>
      <c r="C13446" t="str">
        <f t="shared" si="424"/>
        <v>No cumple</v>
      </c>
      <c r="D13446">
        <v>828</v>
      </c>
      <c r="E13446" t="s">
        <v>8</v>
      </c>
      <c r="F13446">
        <v>5</v>
      </c>
      <c r="G13446">
        <v>6</v>
      </c>
      <c r="H13446">
        <f t="shared" si="423"/>
        <v>-1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1573</v>
      </c>
      <c r="E13447" t="s">
        <v>8</v>
      </c>
      <c r="F13447">
        <v>1</v>
      </c>
      <c r="G13447">
        <v>6</v>
      </c>
      <c r="H13447">
        <f t="shared" si="423"/>
        <v>-5</v>
      </c>
    </row>
    <row r="13448" spans="1:8" x14ac:dyDescent="0.2">
      <c r="A13448" t="s">
        <v>18</v>
      </c>
      <c r="B13448" t="s">
        <v>33</v>
      </c>
      <c r="C13448" t="str">
        <f t="shared" si="424"/>
        <v>No cumple</v>
      </c>
      <c r="D13448">
        <v>1714</v>
      </c>
      <c r="E13448" t="s">
        <v>8</v>
      </c>
      <c r="F13448">
        <v>0</v>
      </c>
      <c r="G13448">
        <v>6</v>
      </c>
      <c r="H13448">
        <f t="shared" si="423"/>
        <v>-6</v>
      </c>
    </row>
    <row r="13449" spans="1:8" x14ac:dyDescent="0.2">
      <c r="A13449" t="s">
        <v>18</v>
      </c>
      <c r="B13449" t="s">
        <v>33</v>
      </c>
      <c r="C13449" t="str">
        <f t="shared" si="424"/>
        <v>No cumple</v>
      </c>
      <c r="D13449">
        <v>1827</v>
      </c>
      <c r="E13449" t="s">
        <v>8</v>
      </c>
      <c r="F13449">
        <v>0</v>
      </c>
      <c r="G13449">
        <v>6</v>
      </c>
      <c r="H13449">
        <f t="shared" si="423"/>
        <v>-6</v>
      </c>
    </row>
    <row r="13450" spans="1:8" x14ac:dyDescent="0.2">
      <c r="A13450" t="s">
        <v>7</v>
      </c>
      <c r="B13450" t="s">
        <v>33</v>
      </c>
      <c r="C13450" t="str">
        <f t="shared" si="424"/>
        <v>No cumple</v>
      </c>
      <c r="D13450">
        <v>1981</v>
      </c>
      <c r="E13450" t="s">
        <v>8</v>
      </c>
      <c r="F13450">
        <v>1</v>
      </c>
      <c r="G13450">
        <v>6</v>
      </c>
      <c r="H13450">
        <f t="shared" si="423"/>
        <v>-5</v>
      </c>
    </row>
    <row r="13451" spans="1:8" x14ac:dyDescent="0.2">
      <c r="A13451" t="s">
        <v>7</v>
      </c>
      <c r="B13451" t="s">
        <v>33</v>
      </c>
      <c r="C13451" t="str">
        <f t="shared" si="424"/>
        <v>No cumple</v>
      </c>
      <c r="D13451">
        <v>2031</v>
      </c>
      <c r="E13451" t="s">
        <v>8</v>
      </c>
      <c r="F13451">
        <v>1</v>
      </c>
      <c r="G13451">
        <v>6</v>
      </c>
      <c r="H13451">
        <f t="shared" si="423"/>
        <v>-5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2051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2082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2102</v>
      </c>
      <c r="E13454" t="s">
        <v>8</v>
      </c>
      <c r="F13454">
        <v>0</v>
      </c>
      <c r="G13454">
        <v>6</v>
      </c>
      <c r="H13454">
        <f t="shared" si="423"/>
        <v>-6</v>
      </c>
    </row>
    <row r="13455" spans="1:8" x14ac:dyDescent="0.2">
      <c r="A13455" t="s">
        <v>18</v>
      </c>
      <c r="B13455" t="s">
        <v>33</v>
      </c>
      <c r="C13455" t="str">
        <f t="shared" si="424"/>
        <v>No cumple</v>
      </c>
      <c r="D13455">
        <v>2163</v>
      </c>
      <c r="E13455" t="s">
        <v>8</v>
      </c>
      <c r="F13455">
        <v>0</v>
      </c>
      <c r="G13455">
        <v>6</v>
      </c>
      <c r="H13455">
        <f t="shared" si="423"/>
        <v>-6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2331</v>
      </c>
      <c r="E13456" t="s">
        <v>8</v>
      </c>
      <c r="F13456">
        <v>1</v>
      </c>
      <c r="G13456">
        <v>6</v>
      </c>
      <c r="H13456">
        <f t="shared" si="423"/>
        <v>-5</v>
      </c>
    </row>
    <row r="13457" spans="1:8" x14ac:dyDescent="0.2">
      <c r="A13457" t="s">
        <v>7</v>
      </c>
      <c r="B13457" t="s">
        <v>33</v>
      </c>
      <c r="C13457" t="str">
        <f t="shared" si="424"/>
        <v>No cumple</v>
      </c>
      <c r="D13457">
        <v>2341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2364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18</v>
      </c>
      <c r="B13459" t="s">
        <v>33</v>
      </c>
      <c r="C13459" t="str">
        <f t="shared" si="424"/>
        <v>No cumple</v>
      </c>
      <c r="D13459">
        <v>2421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2463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7</v>
      </c>
      <c r="B13461" t="s">
        <v>33</v>
      </c>
      <c r="C13461" t="str">
        <f t="shared" si="424"/>
        <v>No cumple</v>
      </c>
      <c r="D13461">
        <v>2512</v>
      </c>
      <c r="E13461" t="s">
        <v>8</v>
      </c>
      <c r="F13461">
        <v>1</v>
      </c>
      <c r="G13461">
        <v>6</v>
      </c>
      <c r="H13461">
        <f t="shared" si="423"/>
        <v>-5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2626</v>
      </c>
      <c r="E13462" t="s">
        <v>8</v>
      </c>
      <c r="F13462">
        <v>0</v>
      </c>
      <c r="G13462">
        <v>6</v>
      </c>
      <c r="H13462">
        <f t="shared" si="423"/>
        <v>-6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2746</v>
      </c>
      <c r="E13463" t="s">
        <v>8</v>
      </c>
      <c r="F13463">
        <v>0</v>
      </c>
      <c r="G13463">
        <v>8</v>
      </c>
      <c r="H13463">
        <f t="shared" si="423"/>
        <v>-8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2753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Cumple</v>
      </c>
      <c r="D13465">
        <v>2755</v>
      </c>
      <c r="E13465" t="s">
        <v>8</v>
      </c>
      <c r="F13465">
        <v>7</v>
      </c>
      <c r="G13465">
        <v>6</v>
      </c>
      <c r="H13465">
        <f t="shared" si="423"/>
        <v>1</v>
      </c>
    </row>
    <row r="13466" spans="1:8" x14ac:dyDescent="0.2">
      <c r="A13466" t="s">
        <v>18</v>
      </c>
      <c r="B13466" t="s">
        <v>33</v>
      </c>
      <c r="C13466" t="str">
        <f t="shared" si="424"/>
        <v>No cumple</v>
      </c>
      <c r="D13466">
        <v>2766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18</v>
      </c>
      <c r="B13467" t="s">
        <v>33</v>
      </c>
      <c r="C13467" t="str">
        <f t="shared" si="424"/>
        <v>No cumple</v>
      </c>
      <c r="D13467">
        <v>2795</v>
      </c>
      <c r="E13467" t="s">
        <v>8</v>
      </c>
      <c r="F13467">
        <v>0</v>
      </c>
      <c r="G13467">
        <v>6</v>
      </c>
      <c r="H13467">
        <f t="shared" si="423"/>
        <v>-6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2910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7</v>
      </c>
      <c r="B13469" t="s">
        <v>33</v>
      </c>
      <c r="C13469" t="str">
        <f t="shared" si="424"/>
        <v>No cumple</v>
      </c>
      <c r="D13469">
        <v>3368</v>
      </c>
      <c r="E13469" t="s">
        <v>8</v>
      </c>
      <c r="F13469">
        <v>1</v>
      </c>
      <c r="G13469">
        <v>6</v>
      </c>
      <c r="H13469">
        <f t="shared" si="423"/>
        <v>-5</v>
      </c>
    </row>
    <row r="13470" spans="1:8" x14ac:dyDescent="0.2">
      <c r="A13470" t="s">
        <v>7</v>
      </c>
      <c r="B13470" t="s">
        <v>33</v>
      </c>
      <c r="C13470" t="str">
        <f t="shared" si="424"/>
        <v>No cumple</v>
      </c>
      <c r="D13470">
        <v>3458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3547</v>
      </c>
      <c r="E13471" t="s">
        <v>8</v>
      </c>
      <c r="F13471">
        <v>3</v>
      </c>
      <c r="G13471">
        <v>6</v>
      </c>
      <c r="H13471">
        <f t="shared" si="423"/>
        <v>-3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3554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18</v>
      </c>
      <c r="B13473" t="s">
        <v>33</v>
      </c>
      <c r="C13473" t="str">
        <f t="shared" si="424"/>
        <v>No cumple</v>
      </c>
      <c r="D13473">
        <v>3555</v>
      </c>
      <c r="E13473" t="s">
        <v>8</v>
      </c>
      <c r="F13473">
        <v>0</v>
      </c>
      <c r="G13473">
        <v>6</v>
      </c>
      <c r="H13473">
        <f t="shared" si="423"/>
        <v>-6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3572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7</v>
      </c>
      <c r="B13475" t="s">
        <v>33</v>
      </c>
      <c r="C13475" t="str">
        <f t="shared" si="424"/>
        <v>No cumple</v>
      </c>
      <c r="D13475">
        <v>3575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3585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3628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3655</v>
      </c>
      <c r="E13478" t="s">
        <v>8</v>
      </c>
      <c r="F13478">
        <v>2</v>
      </c>
      <c r="G13478">
        <v>6</v>
      </c>
      <c r="H13478">
        <f t="shared" si="423"/>
        <v>-4</v>
      </c>
    </row>
    <row r="13479" spans="1:8" x14ac:dyDescent="0.2">
      <c r="A13479" t="s">
        <v>18</v>
      </c>
      <c r="B13479" t="s">
        <v>33</v>
      </c>
      <c r="C13479" t="str">
        <f t="shared" si="424"/>
        <v>No cumple</v>
      </c>
      <c r="D13479">
        <v>3778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18</v>
      </c>
      <c r="B13480" t="s">
        <v>33</v>
      </c>
      <c r="C13480" t="str">
        <f t="shared" si="424"/>
        <v>No cumple</v>
      </c>
      <c r="D13480">
        <v>3780</v>
      </c>
      <c r="E13480" t="s">
        <v>8</v>
      </c>
      <c r="F13480">
        <v>0</v>
      </c>
      <c r="G13480">
        <v>6</v>
      </c>
      <c r="H13480">
        <f t="shared" si="423"/>
        <v>-6</v>
      </c>
    </row>
    <row r="13481" spans="1:8" x14ac:dyDescent="0.2">
      <c r="A13481" t="s">
        <v>7</v>
      </c>
      <c r="B13481" t="s">
        <v>33</v>
      </c>
      <c r="C13481" t="str">
        <f t="shared" si="424"/>
        <v>No cumple</v>
      </c>
      <c r="D13481">
        <v>3820</v>
      </c>
      <c r="E13481" t="s">
        <v>8</v>
      </c>
      <c r="F13481">
        <v>3</v>
      </c>
      <c r="G13481">
        <v>6</v>
      </c>
      <c r="H13481">
        <f t="shared" si="423"/>
        <v>-3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3856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3857</v>
      </c>
      <c r="E13483" t="s">
        <v>8</v>
      </c>
      <c r="F13483">
        <v>1</v>
      </c>
      <c r="G13483">
        <v>6</v>
      </c>
      <c r="H13483">
        <f t="shared" si="423"/>
        <v>-5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3858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3875</v>
      </c>
      <c r="E13485" t="s">
        <v>8</v>
      </c>
      <c r="F13485">
        <v>0</v>
      </c>
      <c r="G13485">
        <v>6</v>
      </c>
      <c r="H13485">
        <f t="shared" si="423"/>
        <v>-6</v>
      </c>
    </row>
    <row r="13486" spans="1:8" x14ac:dyDescent="0.2">
      <c r="A13486" t="s">
        <v>7</v>
      </c>
      <c r="B13486" t="s">
        <v>33</v>
      </c>
      <c r="C13486" t="str">
        <f t="shared" si="424"/>
        <v>No cumple</v>
      </c>
      <c r="D13486">
        <v>3901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3902</v>
      </c>
      <c r="E13487" t="s">
        <v>8</v>
      </c>
      <c r="F13487">
        <v>2</v>
      </c>
      <c r="G13487">
        <v>6</v>
      </c>
      <c r="H13487">
        <f t="shared" si="423"/>
        <v>-4</v>
      </c>
    </row>
    <row r="13488" spans="1:8" x14ac:dyDescent="0.2">
      <c r="A13488" t="s">
        <v>18</v>
      </c>
      <c r="B13488" t="s">
        <v>33</v>
      </c>
      <c r="C13488" t="str">
        <f t="shared" si="424"/>
        <v>No cumple</v>
      </c>
      <c r="D13488">
        <v>3909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18</v>
      </c>
      <c r="B13489" t="s">
        <v>33</v>
      </c>
      <c r="C13489" t="str">
        <f t="shared" si="424"/>
        <v>No cumple</v>
      </c>
      <c r="D13489">
        <v>3916</v>
      </c>
      <c r="E13489" t="s">
        <v>8</v>
      </c>
      <c r="F13489">
        <v>0</v>
      </c>
      <c r="G13489">
        <v>6</v>
      </c>
      <c r="H13489">
        <f t="shared" si="423"/>
        <v>-6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3919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7</v>
      </c>
      <c r="B13491" t="s">
        <v>33</v>
      </c>
      <c r="C13491" t="str">
        <f t="shared" si="424"/>
        <v>No cumple</v>
      </c>
      <c r="D13491">
        <v>3929</v>
      </c>
      <c r="E13491" t="s">
        <v>8</v>
      </c>
      <c r="F13491">
        <v>1</v>
      </c>
      <c r="G13491">
        <v>6</v>
      </c>
      <c r="H13491">
        <f t="shared" si="423"/>
        <v>-5</v>
      </c>
    </row>
    <row r="13492" spans="1:8" x14ac:dyDescent="0.2">
      <c r="A13492" t="s">
        <v>7</v>
      </c>
      <c r="B13492" t="s">
        <v>33</v>
      </c>
      <c r="C13492" t="str">
        <f t="shared" si="424"/>
        <v>No cumple</v>
      </c>
      <c r="D13492">
        <v>3962</v>
      </c>
      <c r="E13492" t="s">
        <v>8</v>
      </c>
      <c r="F13492">
        <v>1</v>
      </c>
      <c r="G13492">
        <v>6</v>
      </c>
      <c r="H13492">
        <f t="shared" si="423"/>
        <v>-5</v>
      </c>
    </row>
    <row r="13493" spans="1:8" x14ac:dyDescent="0.2">
      <c r="A13493" t="s">
        <v>18</v>
      </c>
      <c r="B13493" t="s">
        <v>33</v>
      </c>
      <c r="C13493" t="str">
        <f t="shared" si="424"/>
        <v>No cumple</v>
      </c>
      <c r="D13493">
        <v>3965</v>
      </c>
      <c r="E13493" t="s">
        <v>8</v>
      </c>
      <c r="F13493">
        <v>0</v>
      </c>
      <c r="G13493">
        <v>6</v>
      </c>
      <c r="H13493">
        <f t="shared" si="423"/>
        <v>-6</v>
      </c>
    </row>
    <row r="13494" spans="1:8" x14ac:dyDescent="0.2">
      <c r="A13494" t="s">
        <v>18</v>
      </c>
      <c r="B13494" t="s">
        <v>33</v>
      </c>
      <c r="C13494" t="str">
        <f t="shared" si="424"/>
        <v>No cumple</v>
      </c>
      <c r="D13494">
        <v>3968</v>
      </c>
      <c r="E13494" t="s">
        <v>8</v>
      </c>
      <c r="F13494">
        <v>0</v>
      </c>
      <c r="G13494">
        <v>6</v>
      </c>
      <c r="H13494">
        <f t="shared" si="423"/>
        <v>-6</v>
      </c>
    </row>
    <row r="13495" spans="1:8" x14ac:dyDescent="0.2">
      <c r="A13495" t="s">
        <v>7</v>
      </c>
      <c r="B13495" t="s">
        <v>33</v>
      </c>
      <c r="C13495" t="str">
        <f t="shared" si="424"/>
        <v>No cumple</v>
      </c>
      <c r="D13495">
        <v>9031</v>
      </c>
      <c r="E13495" t="s">
        <v>8</v>
      </c>
      <c r="F13495">
        <v>2</v>
      </c>
      <c r="G13495">
        <v>6</v>
      </c>
      <c r="H13495">
        <f t="shared" si="423"/>
        <v>-4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9114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9121</v>
      </c>
      <c r="E13497" t="s">
        <v>8</v>
      </c>
      <c r="F13497">
        <v>0</v>
      </c>
      <c r="G13497">
        <v>6</v>
      </c>
      <c r="H13497">
        <f t="shared" si="423"/>
        <v>-6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9131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9161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7</v>
      </c>
      <c r="B13500" t="s">
        <v>33</v>
      </c>
      <c r="C13500" t="str">
        <f t="shared" si="424"/>
        <v>No cumple</v>
      </c>
      <c r="D13500">
        <v>9177</v>
      </c>
      <c r="E13500" t="s">
        <v>8</v>
      </c>
      <c r="F13500">
        <v>2</v>
      </c>
      <c r="G13500">
        <v>6</v>
      </c>
      <c r="H13500">
        <f t="shared" si="423"/>
        <v>-4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9218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18</v>
      </c>
      <c r="B13502" t="s">
        <v>33</v>
      </c>
      <c r="C13502" t="str">
        <f t="shared" si="424"/>
        <v>No cumple</v>
      </c>
      <c r="D13502">
        <v>9317</v>
      </c>
      <c r="E13502" t="s">
        <v>8</v>
      </c>
      <c r="F13502">
        <v>0</v>
      </c>
      <c r="G13502">
        <v>6</v>
      </c>
      <c r="H13502">
        <f t="shared" si="423"/>
        <v>-6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9340</v>
      </c>
      <c r="E13503" t="s">
        <v>8</v>
      </c>
      <c r="F13503">
        <v>1</v>
      </c>
      <c r="G13503">
        <v>6</v>
      </c>
      <c r="H13503">
        <f t="shared" si="423"/>
        <v>-5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9426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9468</v>
      </c>
      <c r="E13505" t="s">
        <v>8</v>
      </c>
      <c r="F13505">
        <v>0</v>
      </c>
      <c r="G13505">
        <v>6</v>
      </c>
      <c r="H13505">
        <f t="shared" si="423"/>
        <v>-6</v>
      </c>
    </row>
    <row r="13506" spans="1:8" x14ac:dyDescent="0.2">
      <c r="A13506" t="s">
        <v>7</v>
      </c>
      <c r="B13506" t="s">
        <v>33</v>
      </c>
      <c r="C13506" t="str">
        <f t="shared" si="424"/>
        <v>No cumple</v>
      </c>
      <c r="D13506">
        <v>9471</v>
      </c>
      <c r="E13506" t="s">
        <v>8</v>
      </c>
      <c r="F13506">
        <v>1</v>
      </c>
      <c r="G13506">
        <v>6</v>
      </c>
      <c r="H13506">
        <f t="shared" ref="H13506:H13569" si="425">F13506-G13506</f>
        <v>-5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9548</v>
      </c>
      <c r="E13507" t="s">
        <v>8</v>
      </c>
      <c r="F13507">
        <v>0</v>
      </c>
      <c r="G13507">
        <v>6</v>
      </c>
      <c r="H13507">
        <f t="shared" si="425"/>
        <v>-6</v>
      </c>
    </row>
    <row r="13508" spans="1:8" x14ac:dyDescent="0.2">
      <c r="A13508" t="s">
        <v>18</v>
      </c>
      <c r="B13508" t="s">
        <v>33</v>
      </c>
      <c r="C13508" t="str">
        <f t="shared" ref="C13508:C13571" si="426">IF(H13508&gt;=0,"Cumple","No cumple")</f>
        <v>No cumple</v>
      </c>
      <c r="D13508">
        <v>9670</v>
      </c>
      <c r="E13508" t="s">
        <v>8</v>
      </c>
      <c r="F13508">
        <v>0</v>
      </c>
      <c r="G13508">
        <v>6</v>
      </c>
      <c r="H13508">
        <f t="shared" si="425"/>
        <v>-6</v>
      </c>
    </row>
    <row r="13509" spans="1:8" x14ac:dyDescent="0.2">
      <c r="A13509" t="s">
        <v>7</v>
      </c>
      <c r="B13509" t="s">
        <v>33</v>
      </c>
      <c r="C13509" t="str">
        <f t="shared" si="426"/>
        <v>No cumple</v>
      </c>
      <c r="D13509">
        <v>9740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si="426"/>
        <v>No cumple</v>
      </c>
      <c r="D13510">
        <v>9794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18</v>
      </c>
      <c r="B13511" t="s">
        <v>33</v>
      </c>
      <c r="C13511" t="str">
        <f t="shared" si="426"/>
        <v>No cumple</v>
      </c>
      <c r="D13511">
        <v>9828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9839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9843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7</v>
      </c>
      <c r="B13514" t="s">
        <v>33</v>
      </c>
      <c r="C13514" t="str">
        <f t="shared" si="426"/>
        <v>No cumple</v>
      </c>
      <c r="D13514">
        <v>9844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9850</v>
      </c>
      <c r="E13515" t="s">
        <v>8</v>
      </c>
      <c r="F13515" s="9">
        <v>0</v>
      </c>
      <c r="G13515" s="9">
        <v>8</v>
      </c>
      <c r="H13515">
        <f t="shared" si="425"/>
        <v>-8</v>
      </c>
    </row>
    <row r="13516" spans="1:8" x14ac:dyDescent="0.2">
      <c r="A13516" t="s">
        <v>18</v>
      </c>
      <c r="B13516" t="s">
        <v>33</v>
      </c>
      <c r="C13516" t="str">
        <f t="shared" si="426"/>
        <v>No cumple</v>
      </c>
      <c r="D13516">
        <v>9943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7</v>
      </c>
      <c r="B13517" t="s">
        <v>33</v>
      </c>
      <c r="C13517" t="str">
        <f t="shared" si="426"/>
        <v>No cumple</v>
      </c>
      <c r="D13517">
        <v>9973</v>
      </c>
      <c r="E13517" t="s">
        <v>8</v>
      </c>
      <c r="F13517">
        <v>0</v>
      </c>
      <c r="G13517">
        <v>6</v>
      </c>
      <c r="H13517">
        <f t="shared" si="425"/>
        <v>-6</v>
      </c>
    </row>
    <row r="13518" spans="1:8" x14ac:dyDescent="0.2">
      <c r="A13518" t="s">
        <v>7</v>
      </c>
      <c r="B13518" t="s">
        <v>33</v>
      </c>
      <c r="C13518" t="str">
        <f t="shared" si="426"/>
        <v>No cumple</v>
      </c>
      <c r="D13518">
        <v>3592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18</v>
      </c>
      <c r="B13519" t="s">
        <v>33</v>
      </c>
      <c r="C13519" t="str">
        <f t="shared" si="426"/>
        <v>No cumple</v>
      </c>
      <c r="D13519">
        <v>9824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18</v>
      </c>
      <c r="B13520" t="s">
        <v>33</v>
      </c>
      <c r="C13520" t="str">
        <f t="shared" si="426"/>
        <v>No cumple</v>
      </c>
      <c r="D13520">
        <v>9060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7</v>
      </c>
      <c r="B13521" t="s">
        <v>33</v>
      </c>
      <c r="C13521" t="str">
        <f t="shared" si="426"/>
        <v>No cumple</v>
      </c>
      <c r="D13521">
        <v>3977</v>
      </c>
      <c r="E13521" t="s">
        <v>8</v>
      </c>
      <c r="F13521">
        <v>3</v>
      </c>
      <c r="G13521">
        <v>6</v>
      </c>
      <c r="H13521">
        <f t="shared" si="425"/>
        <v>-3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2695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3990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3992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18</v>
      </c>
      <c r="B13525" t="s">
        <v>33</v>
      </c>
      <c r="C13525" t="str">
        <f t="shared" si="426"/>
        <v>No cumple</v>
      </c>
      <c r="D13525">
        <v>3993</v>
      </c>
      <c r="E13525" t="s">
        <v>8</v>
      </c>
      <c r="F13525">
        <v>0</v>
      </c>
      <c r="G13525">
        <v>6</v>
      </c>
      <c r="H13525">
        <f t="shared" si="425"/>
        <v>-6</v>
      </c>
    </row>
    <row r="13526" spans="1:8" x14ac:dyDescent="0.2">
      <c r="A13526" t="s">
        <v>7</v>
      </c>
      <c r="B13526" t="s">
        <v>33</v>
      </c>
      <c r="C13526" t="str">
        <f t="shared" si="426"/>
        <v>No cumple</v>
      </c>
      <c r="D13526">
        <v>3995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7</v>
      </c>
      <c r="B13527" t="s">
        <v>33</v>
      </c>
      <c r="C13527" t="str">
        <f t="shared" si="426"/>
        <v>No cumple</v>
      </c>
      <c r="D13527">
        <v>4031</v>
      </c>
      <c r="E13527" t="s">
        <v>8</v>
      </c>
      <c r="F13527">
        <v>1</v>
      </c>
      <c r="G13527">
        <v>6</v>
      </c>
      <c r="H13527">
        <f t="shared" si="425"/>
        <v>-5</v>
      </c>
    </row>
    <row r="13528" spans="1:8" x14ac:dyDescent="0.2">
      <c r="A13528" t="s">
        <v>18</v>
      </c>
      <c r="B13528" t="s">
        <v>33</v>
      </c>
      <c r="C13528" t="str">
        <f t="shared" si="426"/>
        <v>No cumple</v>
      </c>
      <c r="D13528">
        <v>2194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18</v>
      </c>
      <c r="B13529" t="s">
        <v>33</v>
      </c>
      <c r="C13529" t="str">
        <f t="shared" si="426"/>
        <v>No cumple</v>
      </c>
      <c r="D13529">
        <v>1604</v>
      </c>
      <c r="E13529" t="s">
        <v>8</v>
      </c>
      <c r="F13529">
        <v>0</v>
      </c>
      <c r="G13529">
        <v>6</v>
      </c>
      <c r="H13529">
        <f t="shared" si="425"/>
        <v>-6</v>
      </c>
    </row>
    <row r="13530" spans="1:8" x14ac:dyDescent="0.2">
      <c r="A13530" t="s">
        <v>7</v>
      </c>
      <c r="B13530" t="s">
        <v>33</v>
      </c>
      <c r="C13530" t="str">
        <f t="shared" si="426"/>
        <v>No cumple</v>
      </c>
      <c r="D13530">
        <v>4038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4040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2724</v>
      </c>
      <c r="E13532" t="s">
        <v>8</v>
      </c>
      <c r="F13532">
        <v>1</v>
      </c>
      <c r="G13532">
        <v>6</v>
      </c>
      <c r="H13532">
        <f t="shared" si="425"/>
        <v>-5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1781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987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7</v>
      </c>
      <c r="B13535" t="s">
        <v>33</v>
      </c>
      <c r="C13535" t="str">
        <f t="shared" si="426"/>
        <v>No cumple</v>
      </c>
      <c r="D13535">
        <v>2099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9708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4046</v>
      </c>
      <c r="E13537" t="s">
        <v>8</v>
      </c>
      <c r="F13537">
        <v>3</v>
      </c>
      <c r="G13537">
        <v>6</v>
      </c>
      <c r="H13537">
        <f t="shared" si="425"/>
        <v>-3</v>
      </c>
    </row>
    <row r="13538" spans="1:8" x14ac:dyDescent="0.2">
      <c r="A13538" t="s">
        <v>18</v>
      </c>
      <c r="B13538" t="s">
        <v>33</v>
      </c>
      <c r="C13538" t="str">
        <f t="shared" si="426"/>
        <v>No cumple</v>
      </c>
      <c r="D13538">
        <v>315</v>
      </c>
      <c r="E13538" t="s">
        <v>8</v>
      </c>
      <c r="F13538">
        <v>0</v>
      </c>
      <c r="G13538">
        <v>6</v>
      </c>
      <c r="H13538">
        <f t="shared" si="425"/>
        <v>-6</v>
      </c>
    </row>
    <row r="13539" spans="1:8" x14ac:dyDescent="0.2">
      <c r="A13539" t="s">
        <v>18</v>
      </c>
      <c r="B13539" t="s">
        <v>33</v>
      </c>
      <c r="C13539" t="str">
        <f t="shared" si="426"/>
        <v>No cumple</v>
      </c>
      <c r="D13539">
        <v>2647</v>
      </c>
      <c r="E13539" t="s">
        <v>8</v>
      </c>
      <c r="F13539">
        <v>0</v>
      </c>
      <c r="G13539">
        <v>6</v>
      </c>
      <c r="H13539">
        <f t="shared" si="425"/>
        <v>-6</v>
      </c>
    </row>
    <row r="13540" spans="1:8" x14ac:dyDescent="0.2">
      <c r="A13540" t="s">
        <v>7</v>
      </c>
      <c r="B13540" t="s">
        <v>33</v>
      </c>
      <c r="C13540" t="str">
        <f t="shared" si="426"/>
        <v>Cumple</v>
      </c>
      <c r="D13540">
        <v>9476</v>
      </c>
      <c r="E13540" t="s">
        <v>11</v>
      </c>
      <c r="F13540">
        <v>57</v>
      </c>
      <c r="G13540">
        <v>20</v>
      </c>
      <c r="H13540">
        <f t="shared" si="425"/>
        <v>37</v>
      </c>
    </row>
    <row r="13541" spans="1:8" x14ac:dyDescent="0.2">
      <c r="A13541" t="s">
        <v>7</v>
      </c>
      <c r="B13541" t="s">
        <v>33</v>
      </c>
      <c r="C13541" t="str">
        <f t="shared" si="426"/>
        <v>Cumple</v>
      </c>
      <c r="D13541">
        <v>3950</v>
      </c>
      <c r="E13541" t="s">
        <v>11</v>
      </c>
      <c r="F13541">
        <v>49</v>
      </c>
      <c r="G13541">
        <v>15</v>
      </c>
      <c r="H13541">
        <f t="shared" si="425"/>
        <v>34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3683</v>
      </c>
      <c r="E13542" t="s">
        <v>11</v>
      </c>
      <c r="F13542">
        <v>46</v>
      </c>
      <c r="G13542">
        <v>20</v>
      </c>
      <c r="H13542">
        <f t="shared" si="425"/>
        <v>26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9245</v>
      </c>
      <c r="E13543" t="s">
        <v>11</v>
      </c>
      <c r="F13543">
        <v>45</v>
      </c>
      <c r="G13543">
        <v>20</v>
      </c>
      <c r="H13543">
        <f t="shared" si="425"/>
        <v>25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1875</v>
      </c>
      <c r="E13544" t="s">
        <v>10</v>
      </c>
      <c r="F13544">
        <v>42</v>
      </c>
      <c r="G13544">
        <v>20</v>
      </c>
      <c r="H13544">
        <f t="shared" si="425"/>
        <v>22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9360</v>
      </c>
      <c r="E13545" t="s">
        <v>11</v>
      </c>
      <c r="F13545">
        <v>42</v>
      </c>
      <c r="G13545">
        <v>20</v>
      </c>
      <c r="H13545">
        <f t="shared" si="425"/>
        <v>22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3169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3047</v>
      </c>
      <c r="E13547" t="s">
        <v>10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9982</v>
      </c>
      <c r="E13548" t="s">
        <v>10</v>
      </c>
      <c r="F13548">
        <v>39</v>
      </c>
      <c r="G13548">
        <v>20</v>
      </c>
      <c r="H13548">
        <f t="shared" si="425"/>
        <v>19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9633</v>
      </c>
      <c r="E13549" t="s">
        <v>11</v>
      </c>
      <c r="F13549">
        <v>36</v>
      </c>
      <c r="G13549">
        <v>20</v>
      </c>
      <c r="H13549">
        <f t="shared" si="425"/>
        <v>16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3125</v>
      </c>
      <c r="E13550" t="s">
        <v>10</v>
      </c>
      <c r="F13550">
        <v>36</v>
      </c>
      <c r="G13550">
        <v>20</v>
      </c>
      <c r="H13550">
        <f t="shared" si="425"/>
        <v>16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3038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1537</v>
      </c>
      <c r="E13552" t="s">
        <v>11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9431</v>
      </c>
      <c r="E13553" t="s">
        <v>12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3364</v>
      </c>
      <c r="E13554" t="s">
        <v>11</v>
      </c>
      <c r="F13554">
        <v>35</v>
      </c>
      <c r="G13554">
        <v>20</v>
      </c>
      <c r="H13554">
        <f t="shared" si="425"/>
        <v>15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3414</v>
      </c>
      <c r="E13555" t="s">
        <v>11</v>
      </c>
      <c r="F13555">
        <v>35</v>
      </c>
      <c r="G13555">
        <v>20</v>
      </c>
      <c r="H13555">
        <f t="shared" si="425"/>
        <v>15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9045</v>
      </c>
      <c r="E13556" t="s">
        <v>12</v>
      </c>
      <c r="F13556">
        <v>35</v>
      </c>
      <c r="G13556">
        <v>15</v>
      </c>
      <c r="H13556">
        <f t="shared" si="425"/>
        <v>20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3730</v>
      </c>
      <c r="E13557" t="s">
        <v>12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1844</v>
      </c>
      <c r="E13558" t="s">
        <v>12</v>
      </c>
      <c r="F13558">
        <v>35</v>
      </c>
      <c r="G13558">
        <v>20</v>
      </c>
      <c r="H13558">
        <f t="shared" si="425"/>
        <v>15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3036</v>
      </c>
      <c r="E13559" t="s">
        <v>11</v>
      </c>
      <c r="F13559">
        <v>34</v>
      </c>
      <c r="G13559">
        <v>15</v>
      </c>
      <c r="H13559">
        <f t="shared" si="425"/>
        <v>19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3938</v>
      </c>
      <c r="E13560" t="s">
        <v>11</v>
      </c>
      <c r="F13560">
        <v>34</v>
      </c>
      <c r="G13560">
        <v>15</v>
      </c>
      <c r="H13560">
        <f t="shared" si="425"/>
        <v>19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3567</v>
      </c>
      <c r="E13561" t="s">
        <v>12</v>
      </c>
      <c r="F13561">
        <v>34</v>
      </c>
      <c r="G13561">
        <v>20</v>
      </c>
      <c r="H13561">
        <f t="shared" si="425"/>
        <v>14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3411</v>
      </c>
      <c r="E13562" t="s">
        <v>11</v>
      </c>
      <c r="F13562">
        <v>33</v>
      </c>
      <c r="G13562">
        <v>15</v>
      </c>
      <c r="H13562">
        <f t="shared" si="425"/>
        <v>18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952</v>
      </c>
      <c r="E13563" t="s">
        <v>10</v>
      </c>
      <c r="F13563">
        <v>33</v>
      </c>
      <c r="G13563">
        <v>20</v>
      </c>
      <c r="H13563">
        <f t="shared" si="425"/>
        <v>13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3460</v>
      </c>
      <c r="E13564" t="s">
        <v>11</v>
      </c>
      <c r="F13564">
        <v>33</v>
      </c>
      <c r="G13564">
        <v>20</v>
      </c>
      <c r="H13564">
        <f t="shared" si="425"/>
        <v>13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3118</v>
      </c>
      <c r="E13565" t="s">
        <v>11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3299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1131</v>
      </c>
      <c r="E13567" t="s">
        <v>12</v>
      </c>
      <c r="F13567">
        <v>33</v>
      </c>
      <c r="G13567">
        <v>15</v>
      </c>
      <c r="H13567">
        <f t="shared" si="425"/>
        <v>18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709</v>
      </c>
      <c r="E13568" t="s">
        <v>12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1894</v>
      </c>
      <c r="E13569" t="s">
        <v>11</v>
      </c>
      <c r="F13569">
        <v>32</v>
      </c>
      <c r="G13569">
        <v>20</v>
      </c>
      <c r="H13569">
        <f t="shared" si="425"/>
        <v>12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1576</v>
      </c>
      <c r="E13570" t="s">
        <v>11</v>
      </c>
      <c r="F13570">
        <v>32</v>
      </c>
      <c r="G13570">
        <v>20</v>
      </c>
      <c r="H13570">
        <f t="shared" ref="H13570:H13633" si="427">F13570-G13570</f>
        <v>12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3378</v>
      </c>
      <c r="E13571" t="s">
        <v>10</v>
      </c>
      <c r="F13571">
        <v>32</v>
      </c>
      <c r="G13571">
        <v>20</v>
      </c>
      <c r="H13571">
        <f t="shared" si="427"/>
        <v>12</v>
      </c>
    </row>
    <row r="13572" spans="1:8" x14ac:dyDescent="0.2">
      <c r="A13572" t="s">
        <v>7</v>
      </c>
      <c r="B13572" t="s">
        <v>33</v>
      </c>
      <c r="C13572" t="str">
        <f t="shared" ref="C13572:C13635" si="428">IF(H13572&gt;=0,"Cumple","No cumple")</f>
        <v>Cumple</v>
      </c>
      <c r="D13572">
        <v>9099</v>
      </c>
      <c r="E13572" t="s">
        <v>10</v>
      </c>
      <c r="F13572">
        <v>32</v>
      </c>
      <c r="G13572">
        <v>20</v>
      </c>
      <c r="H13572">
        <f t="shared" si="427"/>
        <v>12</v>
      </c>
    </row>
    <row r="13573" spans="1:8" x14ac:dyDescent="0.2">
      <c r="A13573" t="s">
        <v>7</v>
      </c>
      <c r="B13573" t="s">
        <v>33</v>
      </c>
      <c r="C13573" t="str">
        <f t="shared" si="428"/>
        <v>Cumple</v>
      </c>
      <c r="D13573">
        <v>3708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si="428"/>
        <v>Cumple</v>
      </c>
      <c r="D13574">
        <v>3830</v>
      </c>
      <c r="E13574" t="s">
        <v>11</v>
      </c>
      <c r="F13574">
        <v>31</v>
      </c>
      <c r="G13574">
        <v>15</v>
      </c>
      <c r="H13574">
        <f t="shared" si="427"/>
        <v>16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3850</v>
      </c>
      <c r="E13575" t="s">
        <v>11</v>
      </c>
      <c r="F13575">
        <v>31</v>
      </c>
      <c r="G13575">
        <v>20</v>
      </c>
      <c r="H13575">
        <f t="shared" si="427"/>
        <v>11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1738</v>
      </c>
      <c r="E13576" t="s">
        <v>11</v>
      </c>
      <c r="F13576">
        <v>31</v>
      </c>
      <c r="G13576">
        <v>20</v>
      </c>
      <c r="H13576">
        <f t="shared" si="427"/>
        <v>11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3102</v>
      </c>
      <c r="E13577" t="s">
        <v>10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3061</v>
      </c>
      <c r="E13578" t="s">
        <v>10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3800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1893</v>
      </c>
      <c r="E13580" t="s">
        <v>12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4027</v>
      </c>
      <c r="E13581" t="s">
        <v>11</v>
      </c>
      <c r="F13581">
        <v>30</v>
      </c>
      <c r="G13581">
        <v>15</v>
      </c>
      <c r="H13581">
        <f t="shared" si="427"/>
        <v>15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9480</v>
      </c>
      <c r="E13582" t="s">
        <v>11</v>
      </c>
      <c r="F13582">
        <v>30</v>
      </c>
      <c r="G13582">
        <v>20</v>
      </c>
      <c r="H13582">
        <f t="shared" si="427"/>
        <v>10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3621</v>
      </c>
      <c r="E13583" t="s">
        <v>11</v>
      </c>
      <c r="F13583">
        <v>30</v>
      </c>
      <c r="G13583">
        <v>20</v>
      </c>
      <c r="H13583">
        <f t="shared" si="427"/>
        <v>10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3471</v>
      </c>
      <c r="E13584" t="s">
        <v>10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9948</v>
      </c>
      <c r="E13585" t="s">
        <v>12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3638</v>
      </c>
      <c r="E13586" t="s">
        <v>12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2440</v>
      </c>
      <c r="E13587" t="s">
        <v>11</v>
      </c>
      <c r="F13587">
        <v>29</v>
      </c>
      <c r="G13587">
        <v>20</v>
      </c>
      <c r="H13587">
        <f t="shared" si="427"/>
        <v>9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3934</v>
      </c>
      <c r="E13588" t="s">
        <v>11</v>
      </c>
      <c r="F13588">
        <v>29</v>
      </c>
      <c r="G13588">
        <v>15</v>
      </c>
      <c r="H13588">
        <f t="shared" si="427"/>
        <v>14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2777</v>
      </c>
      <c r="E13589" t="s">
        <v>11</v>
      </c>
      <c r="F13589">
        <v>29</v>
      </c>
      <c r="G13589">
        <v>15</v>
      </c>
      <c r="H13589">
        <f t="shared" si="427"/>
        <v>14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3707</v>
      </c>
      <c r="E13590" t="s">
        <v>11</v>
      </c>
      <c r="F13590">
        <v>29</v>
      </c>
      <c r="G13590">
        <v>20</v>
      </c>
      <c r="H13590">
        <f t="shared" si="427"/>
        <v>9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629</v>
      </c>
      <c r="E13591" t="s">
        <v>10</v>
      </c>
      <c r="F13591">
        <v>29</v>
      </c>
      <c r="G13591">
        <v>20</v>
      </c>
      <c r="H13591">
        <f t="shared" si="427"/>
        <v>9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3487</v>
      </c>
      <c r="E13592" t="s">
        <v>10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3461</v>
      </c>
      <c r="E13593" t="s">
        <v>12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1874</v>
      </c>
      <c r="E13594" t="s">
        <v>12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3948</v>
      </c>
      <c r="E13595" t="s">
        <v>11</v>
      </c>
      <c r="F13595">
        <v>28</v>
      </c>
      <c r="G13595">
        <v>15</v>
      </c>
      <c r="H13595">
        <f t="shared" si="427"/>
        <v>13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3132</v>
      </c>
      <c r="E13596" t="s">
        <v>11</v>
      </c>
      <c r="F13596">
        <v>28</v>
      </c>
      <c r="G13596">
        <v>15</v>
      </c>
      <c r="H13596">
        <f t="shared" si="427"/>
        <v>13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4041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1771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3432</v>
      </c>
      <c r="E13599" t="s">
        <v>11</v>
      </c>
      <c r="F13599">
        <v>28</v>
      </c>
      <c r="G13599">
        <v>20</v>
      </c>
      <c r="H13599">
        <f t="shared" si="427"/>
        <v>8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3682</v>
      </c>
      <c r="E13600" t="s">
        <v>10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9376</v>
      </c>
      <c r="E13601" t="s">
        <v>11</v>
      </c>
      <c r="F13601">
        <v>28</v>
      </c>
      <c r="G13601">
        <v>15</v>
      </c>
      <c r="H13601">
        <f t="shared" si="427"/>
        <v>13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2609</v>
      </c>
      <c r="E13602" t="s">
        <v>10</v>
      </c>
      <c r="F13602">
        <v>28</v>
      </c>
      <c r="G13602">
        <v>20</v>
      </c>
      <c r="H13602">
        <f t="shared" si="427"/>
        <v>8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3153</v>
      </c>
      <c r="E13603" t="s">
        <v>10</v>
      </c>
      <c r="F13603">
        <v>27</v>
      </c>
      <c r="G13603">
        <v>20</v>
      </c>
      <c r="H13603">
        <f t="shared" si="427"/>
        <v>7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2889</v>
      </c>
      <c r="E13604" t="s">
        <v>10</v>
      </c>
      <c r="F13604">
        <v>27</v>
      </c>
      <c r="G13604">
        <v>20</v>
      </c>
      <c r="H13604">
        <f t="shared" si="427"/>
        <v>7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3521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3014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3924</v>
      </c>
      <c r="E13607" s="19" t="s">
        <v>12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1532</v>
      </c>
      <c r="E13608" t="s">
        <v>11</v>
      </c>
      <c r="F13608">
        <v>26</v>
      </c>
      <c r="G13608">
        <v>20</v>
      </c>
      <c r="H13608">
        <f t="shared" si="427"/>
        <v>6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3829</v>
      </c>
      <c r="E13609" t="s">
        <v>11</v>
      </c>
      <c r="F13609">
        <v>26</v>
      </c>
      <c r="G13609">
        <v>20</v>
      </c>
      <c r="H13609">
        <f t="shared" si="427"/>
        <v>6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3457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3786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9461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9172</v>
      </c>
      <c r="E13613" t="s">
        <v>12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2961</v>
      </c>
      <c r="E13614" t="s">
        <v>12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3568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127</v>
      </c>
      <c r="E13616" t="s">
        <v>11</v>
      </c>
      <c r="F13616">
        <v>25</v>
      </c>
      <c r="G13616">
        <v>15</v>
      </c>
      <c r="H13616">
        <f t="shared" si="427"/>
        <v>10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3006</v>
      </c>
      <c r="E13617" t="s">
        <v>11</v>
      </c>
      <c r="F13617">
        <v>25</v>
      </c>
      <c r="G13617">
        <v>20</v>
      </c>
      <c r="H13617">
        <f t="shared" si="427"/>
        <v>5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3113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3686</v>
      </c>
      <c r="E13619" t="s">
        <v>11</v>
      </c>
      <c r="F13619">
        <v>25</v>
      </c>
      <c r="G13619">
        <v>15</v>
      </c>
      <c r="H13619">
        <f t="shared" si="427"/>
        <v>10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9630</v>
      </c>
      <c r="E13620" t="s">
        <v>10</v>
      </c>
      <c r="F13620">
        <v>25</v>
      </c>
      <c r="G13620">
        <v>20</v>
      </c>
      <c r="H13620">
        <f t="shared" si="427"/>
        <v>5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9769</v>
      </c>
      <c r="E13621" t="s">
        <v>10</v>
      </c>
      <c r="F13621">
        <v>25</v>
      </c>
      <c r="G13621">
        <v>20</v>
      </c>
      <c r="H13621">
        <f t="shared" si="427"/>
        <v>5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3488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3504</v>
      </c>
      <c r="E13623" t="s">
        <v>11</v>
      </c>
      <c r="F13623">
        <v>25</v>
      </c>
      <c r="G13623">
        <v>15</v>
      </c>
      <c r="H13623">
        <f t="shared" si="427"/>
        <v>10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3238</v>
      </c>
      <c r="E13624" t="s">
        <v>11</v>
      </c>
      <c r="F13624">
        <v>25</v>
      </c>
      <c r="G13624">
        <v>15</v>
      </c>
      <c r="H13624">
        <f t="shared" si="427"/>
        <v>10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9084</v>
      </c>
      <c r="E13625" t="s">
        <v>12</v>
      </c>
      <c r="F13625">
        <v>25</v>
      </c>
      <c r="G13625">
        <v>20</v>
      </c>
      <c r="H13625">
        <f t="shared" si="427"/>
        <v>5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3159</v>
      </c>
      <c r="E13626" t="s">
        <v>11</v>
      </c>
      <c r="F13626">
        <v>24</v>
      </c>
      <c r="G13626">
        <v>15</v>
      </c>
      <c r="H13626">
        <f t="shared" si="427"/>
        <v>9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3039</v>
      </c>
      <c r="E13627" t="s">
        <v>10</v>
      </c>
      <c r="F13627">
        <v>24</v>
      </c>
      <c r="G13627">
        <v>20</v>
      </c>
      <c r="H13627">
        <f t="shared" si="427"/>
        <v>4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3289</v>
      </c>
      <c r="E13628" t="s">
        <v>11</v>
      </c>
      <c r="F13628">
        <v>24</v>
      </c>
      <c r="G13628">
        <v>20</v>
      </c>
      <c r="H13628">
        <f t="shared" si="427"/>
        <v>4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2118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3951</v>
      </c>
      <c r="E13630" t="s">
        <v>11</v>
      </c>
      <c r="F13630">
        <v>23</v>
      </c>
      <c r="G13630">
        <v>15</v>
      </c>
      <c r="H13630">
        <f t="shared" si="427"/>
        <v>8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9875</v>
      </c>
      <c r="E13631" t="s">
        <v>11</v>
      </c>
      <c r="F13631">
        <v>23</v>
      </c>
      <c r="G13631">
        <v>20</v>
      </c>
      <c r="H13631">
        <f t="shared" si="427"/>
        <v>3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4050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3404</v>
      </c>
      <c r="E13633" t="s">
        <v>10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3157</v>
      </c>
      <c r="E13634" t="s">
        <v>11</v>
      </c>
      <c r="F13634">
        <v>22</v>
      </c>
      <c r="G13634">
        <v>15</v>
      </c>
      <c r="H13634">
        <f t="shared" ref="H13634:H13697" si="429">F13634-G13634</f>
        <v>7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1843</v>
      </c>
      <c r="E13635" t="s">
        <v>11</v>
      </c>
      <c r="F13635">
        <v>22</v>
      </c>
      <c r="G13635">
        <v>15</v>
      </c>
      <c r="H13635">
        <f t="shared" si="429"/>
        <v>7</v>
      </c>
    </row>
    <row r="13636" spans="1:8" x14ac:dyDescent="0.2">
      <c r="A13636" t="s">
        <v>7</v>
      </c>
      <c r="B13636" t="s">
        <v>33</v>
      </c>
      <c r="C13636" t="str">
        <f t="shared" ref="C13636:C13699" si="430">IF(H13636&gt;=0,"Cumple","No cumple")</f>
        <v>Cumple</v>
      </c>
      <c r="D13636">
        <v>9980</v>
      </c>
      <c r="E13636" t="s">
        <v>10</v>
      </c>
      <c r="F13636">
        <v>22</v>
      </c>
      <c r="G13636">
        <v>15</v>
      </c>
      <c r="H13636">
        <f t="shared" si="429"/>
        <v>7</v>
      </c>
    </row>
    <row r="13637" spans="1:8" x14ac:dyDescent="0.2">
      <c r="A13637" t="s">
        <v>7</v>
      </c>
      <c r="B13637" t="s">
        <v>33</v>
      </c>
      <c r="C13637" t="str">
        <f t="shared" si="430"/>
        <v>Cumple</v>
      </c>
      <c r="D13637">
        <v>1534</v>
      </c>
      <c r="E13637" t="s">
        <v>10</v>
      </c>
      <c r="F13637">
        <v>22</v>
      </c>
      <c r="G13637">
        <v>20</v>
      </c>
      <c r="H13637">
        <f t="shared" si="429"/>
        <v>2</v>
      </c>
    </row>
    <row r="13638" spans="1:8" x14ac:dyDescent="0.2">
      <c r="A13638" t="s">
        <v>7</v>
      </c>
      <c r="B13638" t="s">
        <v>33</v>
      </c>
      <c r="C13638" t="str">
        <f t="shared" si="430"/>
        <v>Cumple</v>
      </c>
      <c r="D13638">
        <v>2854</v>
      </c>
      <c r="E13638" t="s">
        <v>11</v>
      </c>
      <c r="F13638">
        <v>22</v>
      </c>
      <c r="G13638">
        <v>20</v>
      </c>
      <c r="H13638">
        <f t="shared" si="429"/>
        <v>2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3206</v>
      </c>
      <c r="E13639" t="s">
        <v>11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3591</v>
      </c>
      <c r="E13640" t="s">
        <v>12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3114</v>
      </c>
      <c r="E13641" t="s">
        <v>12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3908</v>
      </c>
      <c r="E13642" t="s">
        <v>11</v>
      </c>
      <c r="F13642">
        <v>21</v>
      </c>
      <c r="G13642">
        <v>15</v>
      </c>
      <c r="H13642">
        <f t="shared" si="429"/>
        <v>6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2890</v>
      </c>
      <c r="E13643" t="s">
        <v>11</v>
      </c>
      <c r="F13643">
        <v>21</v>
      </c>
      <c r="G13643">
        <v>20</v>
      </c>
      <c r="H13643">
        <f t="shared" si="429"/>
        <v>1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3518</v>
      </c>
      <c r="E13644" t="s">
        <v>12</v>
      </c>
      <c r="F13644">
        <v>21</v>
      </c>
      <c r="G13644">
        <v>20</v>
      </c>
      <c r="H13644">
        <f t="shared" si="429"/>
        <v>1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3016</v>
      </c>
      <c r="E13645" t="s">
        <v>11</v>
      </c>
      <c r="F13645">
        <v>21</v>
      </c>
      <c r="G13645">
        <v>15</v>
      </c>
      <c r="H13645">
        <f t="shared" si="429"/>
        <v>6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3922</v>
      </c>
      <c r="E13646" t="s">
        <v>11</v>
      </c>
      <c r="F13646">
        <v>20</v>
      </c>
      <c r="G13646">
        <v>15</v>
      </c>
      <c r="H13646">
        <f t="shared" si="429"/>
        <v>5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9368</v>
      </c>
      <c r="E13647" t="s">
        <v>11</v>
      </c>
      <c r="F13647">
        <v>20</v>
      </c>
      <c r="G13647">
        <v>20</v>
      </c>
      <c r="H13647">
        <f t="shared" si="429"/>
        <v>0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9705</v>
      </c>
      <c r="E13648" t="s">
        <v>10</v>
      </c>
      <c r="F13648">
        <v>20</v>
      </c>
      <c r="G13648">
        <v>20</v>
      </c>
      <c r="H13648">
        <f t="shared" si="429"/>
        <v>0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3729</v>
      </c>
      <c r="E13649" t="s">
        <v>11</v>
      </c>
      <c r="F13649">
        <v>20</v>
      </c>
      <c r="G13649">
        <v>15</v>
      </c>
      <c r="H13649">
        <f t="shared" si="429"/>
        <v>5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3620</v>
      </c>
      <c r="E13650" t="s">
        <v>11</v>
      </c>
      <c r="F13650">
        <v>20</v>
      </c>
      <c r="G13650">
        <v>15</v>
      </c>
      <c r="H13650">
        <f t="shared" si="429"/>
        <v>5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9650</v>
      </c>
      <c r="E13651" t="s">
        <v>11</v>
      </c>
      <c r="F13651">
        <v>20</v>
      </c>
      <c r="G13651">
        <v>20</v>
      </c>
      <c r="H13651">
        <f t="shared" si="429"/>
        <v>0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3637</v>
      </c>
      <c r="E13652" t="s">
        <v>12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3123</v>
      </c>
      <c r="E13653" t="s">
        <v>11</v>
      </c>
      <c r="F13653" s="9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9905</v>
      </c>
      <c r="E13654" t="s">
        <v>11</v>
      </c>
      <c r="F13654">
        <v>19</v>
      </c>
      <c r="G13654">
        <v>15</v>
      </c>
      <c r="H13654">
        <f t="shared" si="429"/>
        <v>4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2545</v>
      </c>
      <c r="E13655" t="s">
        <v>11</v>
      </c>
      <c r="F13655">
        <v>19</v>
      </c>
      <c r="G13655">
        <v>15</v>
      </c>
      <c r="H13655">
        <f t="shared" si="429"/>
        <v>4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9369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3549</v>
      </c>
      <c r="E13657" t="s">
        <v>10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3674</v>
      </c>
      <c r="E13658" t="s">
        <v>12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5162</v>
      </c>
      <c r="E13659" t="s">
        <v>12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9377</v>
      </c>
      <c r="E13660" t="s">
        <v>11</v>
      </c>
      <c r="F13660">
        <v>18</v>
      </c>
      <c r="G13660">
        <v>15</v>
      </c>
      <c r="H13660">
        <f t="shared" si="429"/>
        <v>3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2597</v>
      </c>
      <c r="E13661" t="s">
        <v>10</v>
      </c>
      <c r="F13661">
        <v>18</v>
      </c>
      <c r="G13661">
        <v>15</v>
      </c>
      <c r="H13661">
        <f t="shared" si="429"/>
        <v>3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3070</v>
      </c>
      <c r="E13662" t="s">
        <v>10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3607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3937</v>
      </c>
      <c r="E13664" t="s">
        <v>11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No cumple</v>
      </c>
      <c r="D13665">
        <v>3041</v>
      </c>
      <c r="E13665" t="s">
        <v>11</v>
      </c>
      <c r="F13665">
        <v>18</v>
      </c>
      <c r="G13665">
        <v>20</v>
      </c>
      <c r="H13665">
        <f t="shared" si="429"/>
        <v>-2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3936</v>
      </c>
      <c r="E13666" t="s">
        <v>11</v>
      </c>
      <c r="F13666">
        <v>17</v>
      </c>
      <c r="G13666">
        <v>15</v>
      </c>
      <c r="H13666">
        <f t="shared" si="429"/>
        <v>2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3243</v>
      </c>
      <c r="E13667" t="s">
        <v>11</v>
      </c>
      <c r="F13667">
        <v>17</v>
      </c>
      <c r="G13667">
        <v>20</v>
      </c>
      <c r="H13667">
        <f t="shared" si="429"/>
        <v>-3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3309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Cumple</v>
      </c>
      <c r="D13669">
        <v>9892</v>
      </c>
      <c r="E13669" t="s">
        <v>11</v>
      </c>
      <c r="F13669">
        <v>16</v>
      </c>
      <c r="G13669">
        <v>15</v>
      </c>
      <c r="H13669">
        <f t="shared" si="429"/>
        <v>1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3725</v>
      </c>
      <c r="E13670" t="s">
        <v>11</v>
      </c>
      <c r="F13670">
        <v>16</v>
      </c>
      <c r="G13670">
        <v>15</v>
      </c>
      <c r="H13670">
        <f t="shared" si="429"/>
        <v>1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9981</v>
      </c>
      <c r="E13671" t="s">
        <v>10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3379</v>
      </c>
      <c r="E13672" t="s">
        <v>10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3194</v>
      </c>
      <c r="E13673" t="s">
        <v>11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3972</v>
      </c>
      <c r="E13674" t="s">
        <v>11</v>
      </c>
      <c r="F13674">
        <v>15</v>
      </c>
      <c r="G13674">
        <v>15</v>
      </c>
      <c r="H13674">
        <f t="shared" si="429"/>
        <v>0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4049</v>
      </c>
      <c r="E13675" t="s">
        <v>11</v>
      </c>
      <c r="F13675">
        <v>15</v>
      </c>
      <c r="G13675">
        <v>15</v>
      </c>
      <c r="H13675">
        <f t="shared" si="429"/>
        <v>0</v>
      </c>
    </row>
    <row r="13676" spans="1:8" x14ac:dyDescent="0.2">
      <c r="A13676" t="s">
        <v>7</v>
      </c>
      <c r="B13676" t="s">
        <v>33</v>
      </c>
      <c r="C13676" t="str">
        <f t="shared" si="430"/>
        <v>No cumple</v>
      </c>
      <c r="D13676">
        <v>9129</v>
      </c>
      <c r="E13676" t="s">
        <v>10</v>
      </c>
      <c r="F13676">
        <v>14</v>
      </c>
      <c r="G13676">
        <v>15</v>
      </c>
      <c r="H13676">
        <f t="shared" si="429"/>
        <v>-1</v>
      </c>
    </row>
    <row r="13677" spans="1:8" x14ac:dyDescent="0.2">
      <c r="A13677" t="s">
        <v>7</v>
      </c>
      <c r="B13677" t="s">
        <v>33</v>
      </c>
      <c r="C13677" t="str">
        <f t="shared" si="430"/>
        <v>No cumple</v>
      </c>
      <c r="D13677">
        <v>1872</v>
      </c>
      <c r="E13677" t="s">
        <v>11</v>
      </c>
      <c r="F13677">
        <v>14</v>
      </c>
      <c r="G13677">
        <v>15</v>
      </c>
      <c r="H13677">
        <f t="shared" si="429"/>
        <v>-1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9869</v>
      </c>
      <c r="E13678" t="s">
        <v>11</v>
      </c>
      <c r="F13678">
        <v>13</v>
      </c>
      <c r="G13678">
        <v>15</v>
      </c>
      <c r="H13678">
        <f t="shared" si="429"/>
        <v>-2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2674</v>
      </c>
      <c r="E13679" t="s">
        <v>10</v>
      </c>
      <c r="F13679">
        <v>13</v>
      </c>
      <c r="G13679">
        <v>20</v>
      </c>
      <c r="H13679">
        <f t="shared" si="429"/>
        <v>-7</v>
      </c>
    </row>
    <row r="13680" spans="1:8" x14ac:dyDescent="0.2">
      <c r="A13680" t="s">
        <v>7</v>
      </c>
      <c r="B13680" t="s">
        <v>33</v>
      </c>
      <c r="C13680" t="str">
        <f t="shared" si="430"/>
        <v>Cumple</v>
      </c>
      <c r="D13680">
        <v>3685</v>
      </c>
      <c r="E13680" t="s">
        <v>11</v>
      </c>
      <c r="F13680" s="9">
        <v>20</v>
      </c>
      <c r="G13680">
        <v>20</v>
      </c>
      <c r="H13680">
        <f t="shared" si="429"/>
        <v>0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3806</v>
      </c>
      <c r="E13681" t="s">
        <v>11</v>
      </c>
      <c r="F13681">
        <v>12</v>
      </c>
      <c r="G13681">
        <v>15</v>
      </c>
      <c r="H13681">
        <f t="shared" si="429"/>
        <v>-3</v>
      </c>
    </row>
    <row r="13682" spans="1:8" x14ac:dyDescent="0.2">
      <c r="A13682" t="s">
        <v>7</v>
      </c>
      <c r="B13682" t="s">
        <v>33</v>
      </c>
      <c r="C13682" t="str">
        <f t="shared" si="430"/>
        <v>No cumple</v>
      </c>
      <c r="D13682">
        <v>3905</v>
      </c>
      <c r="E13682" t="s">
        <v>11</v>
      </c>
      <c r="F13682">
        <v>12</v>
      </c>
      <c r="G13682">
        <v>15</v>
      </c>
      <c r="H13682">
        <f t="shared" si="429"/>
        <v>-3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3724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3282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3788</v>
      </c>
      <c r="E13685" t="s">
        <v>11</v>
      </c>
      <c r="F13685">
        <v>11</v>
      </c>
      <c r="G13685">
        <v>15</v>
      </c>
      <c r="H13685">
        <f t="shared" si="429"/>
        <v>-4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3370</v>
      </c>
      <c r="E13686" t="s">
        <v>11</v>
      </c>
      <c r="F13686">
        <v>10</v>
      </c>
      <c r="G13686">
        <v>15</v>
      </c>
      <c r="H13686">
        <f t="shared" si="429"/>
        <v>-5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3517</v>
      </c>
      <c r="E13687" t="s">
        <v>11</v>
      </c>
      <c r="F13687">
        <v>10</v>
      </c>
      <c r="G13687">
        <v>15</v>
      </c>
      <c r="H13687">
        <f t="shared" si="429"/>
        <v>-5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3599</v>
      </c>
      <c r="E13688" t="s">
        <v>11</v>
      </c>
      <c r="F13688">
        <v>9</v>
      </c>
      <c r="G13688">
        <v>15</v>
      </c>
      <c r="H13688">
        <f t="shared" si="429"/>
        <v>-6</v>
      </c>
    </row>
    <row r="13689" spans="1:8" x14ac:dyDescent="0.2">
      <c r="A13689" t="s">
        <v>7</v>
      </c>
      <c r="B13689" t="s">
        <v>33</v>
      </c>
      <c r="C13689" t="str">
        <f t="shared" si="430"/>
        <v>Cumple</v>
      </c>
      <c r="D13689">
        <v>3726</v>
      </c>
      <c r="E13689" t="s">
        <v>11</v>
      </c>
      <c r="F13689" s="9">
        <v>20</v>
      </c>
      <c r="G13689" s="9">
        <v>20</v>
      </c>
      <c r="H13689">
        <f t="shared" si="429"/>
        <v>0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9619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No cumple</v>
      </c>
      <c r="D13691">
        <v>2867</v>
      </c>
      <c r="E13691" t="s">
        <v>12</v>
      </c>
      <c r="F13691">
        <v>9</v>
      </c>
      <c r="G13691">
        <v>15</v>
      </c>
      <c r="H13691">
        <f t="shared" si="429"/>
        <v>-6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3447</v>
      </c>
      <c r="E13692" t="s">
        <v>12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9584</v>
      </c>
      <c r="E13693" t="s">
        <v>11</v>
      </c>
      <c r="F13693">
        <v>8</v>
      </c>
      <c r="G13693">
        <v>15</v>
      </c>
      <c r="H13693">
        <f t="shared" si="429"/>
        <v>-7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3613</v>
      </c>
      <c r="E13694" t="s">
        <v>10</v>
      </c>
      <c r="F13694">
        <v>8</v>
      </c>
      <c r="G13694">
        <v>15</v>
      </c>
      <c r="H13694">
        <f t="shared" si="429"/>
        <v>-7</v>
      </c>
    </row>
    <row r="13695" spans="1:8" x14ac:dyDescent="0.2">
      <c r="A13695" t="s">
        <v>7</v>
      </c>
      <c r="B13695" t="s">
        <v>33</v>
      </c>
      <c r="C13695" t="str">
        <f t="shared" si="430"/>
        <v>Cumple</v>
      </c>
      <c r="D13695">
        <v>9195</v>
      </c>
      <c r="E13695" t="s">
        <v>12</v>
      </c>
      <c r="F13695" s="9">
        <v>20</v>
      </c>
      <c r="G13695">
        <v>20</v>
      </c>
      <c r="H13695">
        <f t="shared" si="429"/>
        <v>0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1896</v>
      </c>
      <c r="E13696" t="s">
        <v>11</v>
      </c>
      <c r="F13696">
        <v>7</v>
      </c>
      <c r="G13696">
        <v>15</v>
      </c>
      <c r="H13696">
        <f t="shared" si="429"/>
        <v>-8</v>
      </c>
    </row>
    <row r="13697" spans="1:8" x14ac:dyDescent="0.2">
      <c r="A13697" t="s">
        <v>7</v>
      </c>
      <c r="B13697" t="s">
        <v>33</v>
      </c>
      <c r="C13697" t="str">
        <f t="shared" si="430"/>
        <v>No cumple</v>
      </c>
      <c r="D13697">
        <v>9196</v>
      </c>
      <c r="E13697" t="s">
        <v>11</v>
      </c>
      <c r="F13697">
        <v>7</v>
      </c>
      <c r="G13697">
        <v>15</v>
      </c>
      <c r="H13697">
        <f t="shared" si="429"/>
        <v>-8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3341</v>
      </c>
      <c r="E13698" t="s">
        <v>10</v>
      </c>
      <c r="F13698">
        <v>6</v>
      </c>
      <c r="G13698">
        <v>20</v>
      </c>
      <c r="H13698">
        <f t="shared" ref="H13698:H13761" si="431">F13698-G13698</f>
        <v>-14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3091</v>
      </c>
      <c r="E13699" t="s">
        <v>10</v>
      </c>
      <c r="F13699">
        <v>6</v>
      </c>
      <c r="G13699">
        <v>15</v>
      </c>
      <c r="H13699">
        <f t="shared" si="431"/>
        <v>-9</v>
      </c>
    </row>
    <row r="13700" spans="1:8" x14ac:dyDescent="0.2">
      <c r="A13700" t="s">
        <v>7</v>
      </c>
      <c r="B13700" t="s">
        <v>33</v>
      </c>
      <c r="C13700" t="str">
        <f t="shared" ref="C13700:C13763" si="432">IF(H13700&gt;=0,"Cumple","No cumple")</f>
        <v>No cumple</v>
      </c>
      <c r="D13700">
        <v>3138</v>
      </c>
      <c r="E13700" t="s">
        <v>11</v>
      </c>
      <c r="F13700">
        <v>5</v>
      </c>
      <c r="G13700">
        <v>15</v>
      </c>
      <c r="H13700">
        <f t="shared" si="431"/>
        <v>-10</v>
      </c>
    </row>
    <row r="13701" spans="1:8" x14ac:dyDescent="0.2">
      <c r="A13701" t="s">
        <v>7</v>
      </c>
      <c r="B13701" t="s">
        <v>33</v>
      </c>
      <c r="C13701" t="str">
        <f t="shared" si="432"/>
        <v>No cumple</v>
      </c>
      <c r="D13701">
        <v>3982</v>
      </c>
      <c r="E13701" t="s">
        <v>11</v>
      </c>
      <c r="F13701">
        <v>5</v>
      </c>
      <c r="G13701">
        <v>15</v>
      </c>
      <c r="H13701">
        <f t="shared" si="431"/>
        <v>-10</v>
      </c>
    </row>
    <row r="13702" spans="1:8" x14ac:dyDescent="0.2">
      <c r="A13702" t="s">
        <v>7</v>
      </c>
      <c r="B13702" t="s">
        <v>33</v>
      </c>
      <c r="C13702" t="str">
        <f t="shared" si="432"/>
        <v>No cumple</v>
      </c>
      <c r="D13702">
        <v>3233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3192</v>
      </c>
      <c r="E13703" t="s">
        <v>10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9103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3671</v>
      </c>
      <c r="E13705" t="s">
        <v>12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957</v>
      </c>
      <c r="E13706" t="s">
        <v>12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3480</v>
      </c>
      <c r="E13707" t="s">
        <v>11</v>
      </c>
      <c r="F13707">
        <v>4</v>
      </c>
      <c r="G13707">
        <v>15</v>
      </c>
      <c r="H13707">
        <f t="shared" si="431"/>
        <v>-11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1598</v>
      </c>
      <c r="E13708" t="s">
        <v>10</v>
      </c>
      <c r="F13708">
        <v>4</v>
      </c>
      <c r="G13708">
        <v>15</v>
      </c>
      <c r="H13708">
        <f t="shared" si="431"/>
        <v>-11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1583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2488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4026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3634</v>
      </c>
      <c r="E13712" t="s">
        <v>12</v>
      </c>
      <c r="F13712">
        <v>3</v>
      </c>
      <c r="G13712">
        <v>15</v>
      </c>
      <c r="H13712">
        <f t="shared" si="431"/>
        <v>-12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1809</v>
      </c>
      <c r="E13713" t="s">
        <v>11</v>
      </c>
      <c r="F13713">
        <v>2</v>
      </c>
      <c r="G13713">
        <v>15</v>
      </c>
      <c r="H13713">
        <f t="shared" si="431"/>
        <v>-13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1997</v>
      </c>
      <c r="E13714" t="s">
        <v>10</v>
      </c>
      <c r="F13714">
        <v>2</v>
      </c>
      <c r="G13714">
        <v>15</v>
      </c>
      <c r="H13714">
        <f t="shared" si="431"/>
        <v>-13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3881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3945</v>
      </c>
      <c r="E13716" t="s">
        <v>11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3952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9026</v>
      </c>
      <c r="E13718" t="s">
        <v>10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3569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9612</v>
      </c>
      <c r="E13720" t="s">
        <v>12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9354</v>
      </c>
      <c r="E13721" t="s">
        <v>11</v>
      </c>
      <c r="F13721">
        <v>1</v>
      </c>
      <c r="G13721">
        <v>15</v>
      </c>
      <c r="H13721">
        <f t="shared" si="431"/>
        <v>-14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3242</v>
      </c>
      <c r="E13722" t="s">
        <v>11</v>
      </c>
      <c r="F13722">
        <v>1</v>
      </c>
      <c r="G13722">
        <v>15</v>
      </c>
      <c r="H13722">
        <f t="shared" si="431"/>
        <v>-14</v>
      </c>
    </row>
    <row r="13723" spans="1:8" x14ac:dyDescent="0.2">
      <c r="A13723" t="s">
        <v>18</v>
      </c>
      <c r="B13723" t="s">
        <v>33</v>
      </c>
      <c r="C13723" t="str">
        <f t="shared" si="432"/>
        <v>No cumple</v>
      </c>
      <c r="D13723">
        <v>1717</v>
      </c>
      <c r="E13723" t="s">
        <v>11</v>
      </c>
      <c r="F13723">
        <v>0</v>
      </c>
      <c r="G13723">
        <v>15</v>
      </c>
      <c r="H13723">
        <f t="shared" si="431"/>
        <v>-15</v>
      </c>
    </row>
    <row r="13724" spans="1:8" x14ac:dyDescent="0.2">
      <c r="A13724" t="s">
        <v>18</v>
      </c>
      <c r="B13724" t="s">
        <v>33</v>
      </c>
      <c r="C13724" t="str">
        <f t="shared" si="432"/>
        <v>No cumple</v>
      </c>
      <c r="D13724">
        <v>2930</v>
      </c>
      <c r="E13724" t="s">
        <v>11</v>
      </c>
      <c r="F13724">
        <v>0</v>
      </c>
      <c r="G13724">
        <v>15</v>
      </c>
      <c r="H13724">
        <f t="shared" si="431"/>
        <v>-15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3130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3160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3357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3426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7</v>
      </c>
      <c r="B13729" t="s">
        <v>33</v>
      </c>
      <c r="C13729" t="str">
        <f t="shared" si="432"/>
        <v>No cumple</v>
      </c>
      <c r="D13729">
        <v>3540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3548</v>
      </c>
      <c r="E13730" t="s">
        <v>10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18</v>
      </c>
      <c r="B13731" t="s">
        <v>33</v>
      </c>
      <c r="C13731" t="str">
        <f t="shared" si="432"/>
        <v>No cumple</v>
      </c>
      <c r="D13731">
        <v>3606</v>
      </c>
      <c r="E13731" t="s">
        <v>12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3636</v>
      </c>
      <c r="E13732" t="s">
        <v>12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3649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3673</v>
      </c>
      <c r="E13734" t="s">
        <v>11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3787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3828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3849</v>
      </c>
      <c r="E13737" t="s">
        <v>11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3883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3907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3997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3998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4025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9053</v>
      </c>
      <c r="E13743" t="s">
        <v>11</v>
      </c>
      <c r="F13743">
        <v>0</v>
      </c>
      <c r="G13743">
        <v>20</v>
      </c>
      <c r="H13743">
        <f t="shared" si="431"/>
        <v>-20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9325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9894</v>
      </c>
      <c r="E13745" t="s">
        <v>11</v>
      </c>
      <c r="F13745">
        <v>0</v>
      </c>
      <c r="G13745">
        <v>15</v>
      </c>
      <c r="H13745">
        <f t="shared" si="431"/>
        <v>-15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474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9925</v>
      </c>
      <c r="E13747" t="s">
        <v>10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7</v>
      </c>
      <c r="B13748" t="s">
        <v>33</v>
      </c>
      <c r="C13748" t="str">
        <f t="shared" si="432"/>
        <v>Cumple</v>
      </c>
      <c r="D13748">
        <v>3691</v>
      </c>
      <c r="E13748" t="s">
        <v>13</v>
      </c>
      <c r="F13748">
        <v>16</v>
      </c>
      <c r="G13748">
        <v>6</v>
      </c>
      <c r="H13748">
        <f t="shared" si="431"/>
        <v>10</v>
      </c>
    </row>
    <row r="13749" spans="1:8" x14ac:dyDescent="0.2">
      <c r="A13749" t="s">
        <v>7</v>
      </c>
      <c r="B13749" t="s">
        <v>33</v>
      </c>
      <c r="C13749" t="str">
        <f t="shared" si="432"/>
        <v>Cumple</v>
      </c>
      <c r="D13749">
        <v>1891</v>
      </c>
      <c r="E13749" t="s">
        <v>13</v>
      </c>
      <c r="F13749">
        <v>12</v>
      </c>
      <c r="G13749">
        <v>6</v>
      </c>
      <c r="H13749">
        <f t="shared" si="431"/>
        <v>6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3663</v>
      </c>
      <c r="E13750" t="s">
        <v>13</v>
      </c>
      <c r="F13750">
        <v>12</v>
      </c>
      <c r="G13750">
        <v>6</v>
      </c>
      <c r="H13750">
        <f t="shared" si="431"/>
        <v>6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9967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292</v>
      </c>
      <c r="E13752" t="s">
        <v>13</v>
      </c>
      <c r="F13752">
        <v>11</v>
      </c>
      <c r="G13752">
        <v>3</v>
      </c>
      <c r="H13752">
        <f t="shared" si="431"/>
        <v>8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831</v>
      </c>
      <c r="E13753" t="s">
        <v>13</v>
      </c>
      <c r="F13753">
        <v>11</v>
      </c>
      <c r="G13753">
        <v>6</v>
      </c>
      <c r="H13753">
        <f t="shared" si="431"/>
        <v>5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2851</v>
      </c>
      <c r="E13754" t="s">
        <v>13</v>
      </c>
      <c r="F13754">
        <v>11</v>
      </c>
      <c r="G13754">
        <v>6</v>
      </c>
      <c r="H13754">
        <f t="shared" si="431"/>
        <v>5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3664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4029</v>
      </c>
      <c r="E13756" t="s">
        <v>13</v>
      </c>
      <c r="F13756">
        <v>11</v>
      </c>
      <c r="G13756">
        <v>3</v>
      </c>
      <c r="H13756">
        <f t="shared" si="431"/>
        <v>8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223</v>
      </c>
      <c r="E13757" t="s">
        <v>13</v>
      </c>
      <c r="F13757">
        <v>10</v>
      </c>
      <c r="G13757">
        <v>6</v>
      </c>
      <c r="H13757">
        <f t="shared" si="431"/>
        <v>4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818</v>
      </c>
      <c r="E13758" t="s">
        <v>13</v>
      </c>
      <c r="F13758">
        <v>10</v>
      </c>
      <c r="G13758">
        <v>6</v>
      </c>
      <c r="H13758">
        <f t="shared" si="431"/>
        <v>4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1857</v>
      </c>
      <c r="E13759" t="s">
        <v>13</v>
      </c>
      <c r="F13759">
        <v>10</v>
      </c>
      <c r="G13759">
        <v>3</v>
      </c>
      <c r="H13759">
        <f t="shared" si="431"/>
        <v>7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1887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3079</v>
      </c>
      <c r="E13761" t="s">
        <v>13</v>
      </c>
      <c r="F13761">
        <v>10</v>
      </c>
      <c r="G13761">
        <v>6</v>
      </c>
      <c r="H13761">
        <f t="shared" si="431"/>
        <v>4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3791</v>
      </c>
      <c r="E13762" t="s">
        <v>13</v>
      </c>
      <c r="F13762">
        <v>10</v>
      </c>
      <c r="G13762">
        <v>6</v>
      </c>
      <c r="H13762">
        <f t="shared" ref="H13762:H13825" si="433">F13762-G13762</f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9795</v>
      </c>
      <c r="E13763" t="s">
        <v>13</v>
      </c>
      <c r="F13763">
        <v>10</v>
      </c>
      <c r="G13763">
        <v>6</v>
      </c>
      <c r="H13763">
        <f t="shared" si="433"/>
        <v>4</v>
      </c>
    </row>
    <row r="13764" spans="1:8" x14ac:dyDescent="0.2">
      <c r="A13764" t="s">
        <v>7</v>
      </c>
      <c r="B13764" t="s">
        <v>33</v>
      </c>
      <c r="C13764" t="str">
        <f t="shared" ref="C13764:C13827" si="434">IF(H13764&gt;=0,"Cumple","No cumple")</f>
        <v>Cumple</v>
      </c>
      <c r="D13764">
        <v>219</v>
      </c>
      <c r="E13764" t="s">
        <v>13</v>
      </c>
      <c r="F13764">
        <v>9</v>
      </c>
      <c r="G13764">
        <v>6</v>
      </c>
      <c r="H13764">
        <f t="shared" si="433"/>
        <v>3</v>
      </c>
    </row>
    <row r="13765" spans="1:8" x14ac:dyDescent="0.2">
      <c r="A13765" t="s">
        <v>7</v>
      </c>
      <c r="B13765" t="s">
        <v>33</v>
      </c>
      <c r="C13765" t="str">
        <f t="shared" si="434"/>
        <v>Cumple</v>
      </c>
      <c r="D13765">
        <v>707</v>
      </c>
      <c r="E13765" t="s">
        <v>13</v>
      </c>
      <c r="F13765">
        <v>9</v>
      </c>
      <c r="G13765">
        <v>6</v>
      </c>
      <c r="H13765">
        <f t="shared" si="433"/>
        <v>3</v>
      </c>
    </row>
    <row r="13766" spans="1:8" x14ac:dyDescent="0.2">
      <c r="A13766" t="s">
        <v>7</v>
      </c>
      <c r="B13766" t="s">
        <v>33</v>
      </c>
      <c r="C13766" t="str">
        <f t="shared" si="434"/>
        <v>Cumple</v>
      </c>
      <c r="D13766">
        <v>784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927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1447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1468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2014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3661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3744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3816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9020</v>
      </c>
      <c r="E13774" t="s">
        <v>13</v>
      </c>
      <c r="F13774">
        <v>9</v>
      </c>
      <c r="G13774">
        <v>3</v>
      </c>
      <c r="H13774">
        <f t="shared" si="433"/>
        <v>6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9132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9158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9742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283</v>
      </c>
      <c r="E13778" t="s">
        <v>13</v>
      </c>
      <c r="F13778">
        <v>8</v>
      </c>
      <c r="G13778">
        <v>6</v>
      </c>
      <c r="H13778">
        <f t="shared" si="433"/>
        <v>2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291</v>
      </c>
      <c r="E13779" t="s">
        <v>13</v>
      </c>
      <c r="F13779">
        <v>8</v>
      </c>
      <c r="G13779">
        <v>6</v>
      </c>
      <c r="H13779">
        <f t="shared" si="433"/>
        <v>2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498</v>
      </c>
      <c r="E13780" t="s">
        <v>13</v>
      </c>
      <c r="F13780">
        <v>8</v>
      </c>
      <c r="G13780">
        <v>3</v>
      </c>
      <c r="H13780">
        <f t="shared" si="433"/>
        <v>5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785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1410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1416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1429</v>
      </c>
      <c r="E13784" t="s">
        <v>13</v>
      </c>
      <c r="F13784">
        <v>8</v>
      </c>
      <c r="G13784">
        <v>6</v>
      </c>
      <c r="H13784">
        <f t="shared" si="433"/>
        <v>2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1595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1624</v>
      </c>
      <c r="E13786" t="s">
        <v>13</v>
      </c>
      <c r="F13786">
        <v>8</v>
      </c>
      <c r="G13786">
        <v>3</v>
      </c>
      <c r="H13786">
        <f t="shared" si="433"/>
        <v>5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1813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2086</v>
      </c>
      <c r="E13788" t="s">
        <v>13</v>
      </c>
      <c r="F13788">
        <v>8</v>
      </c>
      <c r="G13788">
        <v>6</v>
      </c>
      <c r="H13788">
        <f t="shared" si="433"/>
        <v>2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2502</v>
      </c>
      <c r="E13789" t="s">
        <v>13</v>
      </c>
      <c r="F13789">
        <v>8</v>
      </c>
      <c r="G13789">
        <v>3</v>
      </c>
      <c r="H13789">
        <f t="shared" si="433"/>
        <v>5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2810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3278</v>
      </c>
      <c r="E13791" t="s">
        <v>13</v>
      </c>
      <c r="F13791">
        <v>8</v>
      </c>
      <c r="G13791">
        <v>6</v>
      </c>
      <c r="H13791">
        <f t="shared" si="433"/>
        <v>2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3740</v>
      </c>
      <c r="E13792" t="s">
        <v>13</v>
      </c>
      <c r="F13792">
        <v>8</v>
      </c>
      <c r="G13792">
        <v>3</v>
      </c>
      <c r="H13792">
        <f t="shared" si="433"/>
        <v>5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3769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3809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3812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3891</v>
      </c>
      <c r="E13796" t="s">
        <v>13</v>
      </c>
      <c r="F13796">
        <v>8</v>
      </c>
      <c r="G13796">
        <v>6</v>
      </c>
      <c r="H13796">
        <f t="shared" si="433"/>
        <v>2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3912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7597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9686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9743</v>
      </c>
      <c r="E13800" t="s">
        <v>13</v>
      </c>
      <c r="F13800">
        <v>8</v>
      </c>
      <c r="G13800">
        <v>3</v>
      </c>
      <c r="H13800">
        <f t="shared" si="433"/>
        <v>5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4070</v>
      </c>
      <c r="E13801" t="s">
        <v>13</v>
      </c>
      <c r="F13801">
        <v>8</v>
      </c>
      <c r="G13801">
        <v>3</v>
      </c>
      <c r="H13801">
        <f t="shared" si="433"/>
        <v>5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763</v>
      </c>
      <c r="E13802" t="s">
        <v>13</v>
      </c>
      <c r="F13802">
        <v>7</v>
      </c>
      <c r="G13802">
        <v>6</v>
      </c>
      <c r="H13802">
        <f t="shared" si="433"/>
        <v>1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790</v>
      </c>
      <c r="E13803" t="s">
        <v>13</v>
      </c>
      <c r="F13803">
        <v>7</v>
      </c>
      <c r="G13803">
        <v>3</v>
      </c>
      <c r="H13803">
        <f t="shared" si="433"/>
        <v>4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795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838</v>
      </c>
      <c r="E13805" t="s">
        <v>13</v>
      </c>
      <c r="F13805">
        <v>7</v>
      </c>
      <c r="G13805">
        <v>6</v>
      </c>
      <c r="H13805">
        <f t="shared" si="433"/>
        <v>1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846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899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1466</v>
      </c>
      <c r="E13808" t="s">
        <v>13</v>
      </c>
      <c r="F13808">
        <v>7</v>
      </c>
      <c r="G13808">
        <v>3</v>
      </c>
      <c r="H13808">
        <f t="shared" si="433"/>
        <v>4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1482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1601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1793</v>
      </c>
      <c r="E13811" t="s">
        <v>13</v>
      </c>
      <c r="F13811">
        <v>7</v>
      </c>
      <c r="G13811">
        <v>3</v>
      </c>
      <c r="H13811">
        <f t="shared" si="433"/>
        <v>4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1879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2275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2852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2862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2874</v>
      </c>
      <c r="E13816" t="s">
        <v>13</v>
      </c>
      <c r="F13816">
        <v>7</v>
      </c>
      <c r="G13816">
        <v>6</v>
      </c>
      <c r="H13816">
        <f t="shared" si="433"/>
        <v>1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3811</v>
      </c>
      <c r="E13817" t="s">
        <v>13</v>
      </c>
      <c r="F13817">
        <v>7</v>
      </c>
      <c r="G13817">
        <v>6</v>
      </c>
      <c r="H13817">
        <f t="shared" si="433"/>
        <v>1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3815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3818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3927</v>
      </c>
      <c r="E13820" t="s">
        <v>13</v>
      </c>
      <c r="F13820">
        <v>7</v>
      </c>
      <c r="G13820">
        <v>3</v>
      </c>
      <c r="H13820">
        <f t="shared" si="433"/>
        <v>4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9575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9626</v>
      </c>
      <c r="E13822" t="s">
        <v>13</v>
      </c>
      <c r="F13822">
        <v>7</v>
      </c>
      <c r="G13822">
        <v>6</v>
      </c>
      <c r="H13822">
        <f t="shared" si="433"/>
        <v>1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9645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9938</v>
      </c>
      <c r="E13824" t="s">
        <v>13</v>
      </c>
      <c r="F13824">
        <v>7</v>
      </c>
      <c r="G13824">
        <v>3</v>
      </c>
      <c r="H13824">
        <f t="shared" si="433"/>
        <v>4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3939</v>
      </c>
      <c r="E13825" t="s">
        <v>13</v>
      </c>
      <c r="F13825">
        <v>7</v>
      </c>
      <c r="G13825">
        <v>3</v>
      </c>
      <c r="H13825">
        <f t="shared" si="433"/>
        <v>4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4042</v>
      </c>
      <c r="E13826" t="s">
        <v>13</v>
      </c>
      <c r="F13826">
        <v>7</v>
      </c>
      <c r="G13826">
        <v>3</v>
      </c>
      <c r="H13826">
        <f t="shared" ref="H13826:H13889" si="435">F13826-G13826</f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3646</v>
      </c>
      <c r="E13827" t="s">
        <v>13</v>
      </c>
      <c r="F13827" s="9">
        <v>6</v>
      </c>
      <c r="G13827" s="9">
        <v>6</v>
      </c>
      <c r="H13827">
        <f t="shared" si="435"/>
        <v>0</v>
      </c>
    </row>
    <row r="13828" spans="1:8" x14ac:dyDescent="0.2">
      <c r="A13828" t="s">
        <v>7</v>
      </c>
      <c r="B13828" t="s">
        <v>33</v>
      </c>
      <c r="C13828" t="str">
        <f t="shared" ref="C13828:C13891" si="436">IF(H13828&gt;=0,"Cumple","No cumple")</f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35"/>
        <v>0</v>
      </c>
    </row>
    <row r="13829" spans="1:8" x14ac:dyDescent="0.2">
      <c r="A13829" t="s">
        <v>7</v>
      </c>
      <c r="B13829" t="s">
        <v>33</v>
      </c>
      <c r="C13829" t="str">
        <f t="shared" si="436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si="436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917</v>
      </c>
      <c r="E13834" t="s">
        <v>13</v>
      </c>
      <c r="F13834">
        <v>6</v>
      </c>
      <c r="G13834">
        <v>3</v>
      </c>
      <c r="H13834">
        <f t="shared" si="435"/>
        <v>3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1226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1443</v>
      </c>
      <c r="E13837" t="s">
        <v>13</v>
      </c>
      <c r="F13837">
        <v>6</v>
      </c>
      <c r="G13837">
        <v>3</v>
      </c>
      <c r="H13837">
        <f t="shared" si="435"/>
        <v>3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1458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35"/>
        <v>0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1524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35"/>
        <v>0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2850</v>
      </c>
      <c r="E13845" t="s">
        <v>13</v>
      </c>
      <c r="F13845">
        <v>6</v>
      </c>
      <c r="G13845">
        <v>3</v>
      </c>
      <c r="H13845">
        <f t="shared" si="435"/>
        <v>3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3576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3746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35"/>
        <v>0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3855</v>
      </c>
      <c r="E13855" t="s">
        <v>13</v>
      </c>
      <c r="F13855">
        <v>6</v>
      </c>
      <c r="G13855">
        <v>3</v>
      </c>
      <c r="H13855">
        <f t="shared" si="435"/>
        <v>3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3868</v>
      </c>
      <c r="E13856" t="s">
        <v>13</v>
      </c>
      <c r="F13856">
        <v>6</v>
      </c>
      <c r="G13856">
        <v>3</v>
      </c>
      <c r="H13856">
        <f t="shared" si="435"/>
        <v>3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3926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3956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9102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35"/>
        <v>0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9434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9624</v>
      </c>
      <c r="E13862" t="s">
        <v>13</v>
      </c>
      <c r="F13862">
        <v>6</v>
      </c>
      <c r="G13862">
        <v>3</v>
      </c>
      <c r="H13862">
        <f t="shared" si="435"/>
        <v>3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35"/>
        <v>0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9950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4055</v>
      </c>
      <c r="E13865" t="s">
        <v>13</v>
      </c>
      <c r="F13865">
        <v>6</v>
      </c>
      <c r="G13865">
        <v>3</v>
      </c>
      <c r="H13865">
        <f t="shared" si="435"/>
        <v>3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4028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210</v>
      </c>
      <c r="E13867" t="s">
        <v>13</v>
      </c>
      <c r="F13867">
        <v>5</v>
      </c>
      <c r="G13867">
        <v>3</v>
      </c>
      <c r="H13867">
        <f t="shared" si="435"/>
        <v>2</v>
      </c>
    </row>
    <row r="13868" spans="1:8" x14ac:dyDescent="0.2">
      <c r="A13868" t="s">
        <v>7</v>
      </c>
      <c r="B13868" t="s">
        <v>33</v>
      </c>
      <c r="C13868" t="str">
        <f t="shared" si="436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35"/>
        <v>-1</v>
      </c>
    </row>
    <row r="13869" spans="1:8" x14ac:dyDescent="0.2">
      <c r="A13869" t="s">
        <v>7</v>
      </c>
      <c r="B13869" t="s">
        <v>33</v>
      </c>
      <c r="C13869" t="str">
        <f t="shared" si="436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35"/>
        <v>-1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Cumple</v>
      </c>
      <c r="D13873">
        <v>1448</v>
      </c>
      <c r="E13873" t="s">
        <v>13</v>
      </c>
      <c r="F13873">
        <v>5</v>
      </c>
      <c r="G13873">
        <v>3</v>
      </c>
      <c r="H13873">
        <f t="shared" si="435"/>
        <v>2</v>
      </c>
    </row>
    <row r="13874" spans="1:8" x14ac:dyDescent="0.2">
      <c r="A13874" t="s">
        <v>7</v>
      </c>
      <c r="B13874" t="s">
        <v>33</v>
      </c>
      <c r="C13874" t="str">
        <f t="shared" si="436"/>
        <v>Cumple</v>
      </c>
      <c r="D13874">
        <v>1487</v>
      </c>
      <c r="E13874" t="s">
        <v>13</v>
      </c>
      <c r="F13874">
        <v>5</v>
      </c>
      <c r="G13874">
        <v>3</v>
      </c>
      <c r="H13874">
        <f t="shared" si="435"/>
        <v>2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1798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1878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2356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2829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3180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3236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3449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3509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3541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35"/>
        <v>-1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3810</v>
      </c>
      <c r="E13885" t="s">
        <v>13</v>
      </c>
      <c r="F13885" s="39">
        <v>6</v>
      </c>
      <c r="G13885">
        <v>6</v>
      </c>
      <c r="H13885">
        <f t="shared" si="435"/>
        <v>0</v>
      </c>
    </row>
    <row r="13886" spans="1:8" x14ac:dyDescent="0.2">
      <c r="A13886" t="s">
        <v>7</v>
      </c>
      <c r="B13886" t="s">
        <v>33</v>
      </c>
      <c r="C13886" t="str">
        <f t="shared" si="436"/>
        <v>Cumple</v>
      </c>
      <c r="D13886">
        <v>3843</v>
      </c>
      <c r="E13886" t="s">
        <v>13</v>
      </c>
      <c r="F13886">
        <v>5</v>
      </c>
      <c r="G13886">
        <v>3</v>
      </c>
      <c r="H13886">
        <f t="shared" si="435"/>
        <v>2</v>
      </c>
    </row>
    <row r="13887" spans="1:8" x14ac:dyDescent="0.2">
      <c r="A13887" t="s">
        <v>7</v>
      </c>
      <c r="B13887" t="s">
        <v>33</v>
      </c>
      <c r="C13887" t="str">
        <f t="shared" si="436"/>
        <v>Cumple</v>
      </c>
      <c r="D13887">
        <v>3863</v>
      </c>
      <c r="E13887" t="s">
        <v>13</v>
      </c>
      <c r="F13887">
        <v>5</v>
      </c>
      <c r="G13887">
        <v>3</v>
      </c>
      <c r="H13887">
        <f t="shared" si="435"/>
        <v>2</v>
      </c>
    </row>
    <row r="13888" spans="1:8" x14ac:dyDescent="0.2">
      <c r="A13888" t="s">
        <v>7</v>
      </c>
      <c r="B13888" t="s">
        <v>33</v>
      </c>
      <c r="C13888" t="str">
        <f t="shared" si="436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35"/>
        <v>-1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9510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Cumple</v>
      </c>
      <c r="D13890">
        <v>9952</v>
      </c>
      <c r="E13890" t="s">
        <v>13</v>
      </c>
      <c r="F13890">
        <v>5</v>
      </c>
      <c r="G13890">
        <v>3</v>
      </c>
      <c r="H13890">
        <f t="shared" ref="H13890:H13953" si="437">F13890-G13890</f>
        <v>2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3985</v>
      </c>
      <c r="E13891" t="s">
        <v>13</v>
      </c>
      <c r="F13891">
        <v>5</v>
      </c>
      <c r="G13891">
        <v>3</v>
      </c>
      <c r="H13891">
        <f t="shared" si="437"/>
        <v>2</v>
      </c>
    </row>
    <row r="13892" spans="1:8" x14ac:dyDescent="0.2">
      <c r="A13892" t="s">
        <v>7</v>
      </c>
      <c r="B13892" t="s">
        <v>33</v>
      </c>
      <c r="C13892" t="str">
        <f t="shared" ref="C13892:C13955" si="438">IF(H13892&gt;=0,"Cumple","No cumple")</f>
        <v>Cumple</v>
      </c>
      <c r="D13892">
        <v>3770</v>
      </c>
      <c r="E13892" t="s">
        <v>13</v>
      </c>
      <c r="F13892">
        <v>5</v>
      </c>
      <c r="G13892">
        <v>3</v>
      </c>
      <c r="H13892">
        <f t="shared" si="437"/>
        <v>2</v>
      </c>
    </row>
    <row r="13893" spans="1:8" x14ac:dyDescent="0.2">
      <c r="A13893" t="s">
        <v>7</v>
      </c>
      <c r="B13893" t="s">
        <v>33</v>
      </c>
      <c r="C13893" t="str">
        <f t="shared" si="438"/>
        <v>Cumple</v>
      </c>
      <c r="D13893">
        <v>1209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si="438"/>
        <v>Cumple</v>
      </c>
      <c r="D13894">
        <v>4054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4068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240</v>
      </c>
      <c r="E13896" t="s">
        <v>13</v>
      </c>
      <c r="F13896">
        <v>4</v>
      </c>
      <c r="G13896">
        <v>3</v>
      </c>
      <c r="H13896">
        <f t="shared" si="437"/>
        <v>1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247</v>
      </c>
      <c r="E13897" t="s">
        <v>13</v>
      </c>
      <c r="F13897">
        <v>4</v>
      </c>
      <c r="G13897">
        <v>3</v>
      </c>
      <c r="H13897">
        <f t="shared" si="437"/>
        <v>1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760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37"/>
        <v>-2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807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37"/>
        <v>-2</v>
      </c>
    </row>
    <row r="13903" spans="1:8" x14ac:dyDescent="0.2">
      <c r="A13903" t="s">
        <v>7</v>
      </c>
      <c r="B13903" t="s">
        <v>33</v>
      </c>
      <c r="C13903" t="str">
        <f t="shared" si="438"/>
        <v>Cumple</v>
      </c>
      <c r="D13903">
        <v>988</v>
      </c>
      <c r="E13903" t="s">
        <v>13</v>
      </c>
      <c r="F13903">
        <v>4</v>
      </c>
      <c r="G13903">
        <v>3</v>
      </c>
      <c r="H13903">
        <f t="shared" si="437"/>
        <v>1</v>
      </c>
    </row>
    <row r="13904" spans="1:8" x14ac:dyDescent="0.2">
      <c r="A13904" t="s">
        <v>7</v>
      </c>
      <c r="B13904" t="s">
        <v>33</v>
      </c>
      <c r="C13904" t="str">
        <f t="shared" si="438"/>
        <v>Cumple</v>
      </c>
      <c r="D13904">
        <v>1812</v>
      </c>
      <c r="E13904" t="s">
        <v>13</v>
      </c>
      <c r="F13904">
        <v>4</v>
      </c>
      <c r="G13904">
        <v>3</v>
      </c>
      <c r="H13904">
        <f t="shared" si="437"/>
        <v>1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2653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2864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3566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37"/>
        <v>-2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3693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3741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Cumple</v>
      </c>
      <c r="D13912">
        <v>3795</v>
      </c>
      <c r="E13912" t="s">
        <v>13</v>
      </c>
      <c r="F13912">
        <v>4</v>
      </c>
      <c r="G13912">
        <v>3</v>
      </c>
      <c r="H13912">
        <f t="shared" si="437"/>
        <v>1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3796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3838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3853</v>
      </c>
      <c r="E13915" t="s">
        <v>13</v>
      </c>
      <c r="F13915" s="9">
        <v>6</v>
      </c>
      <c r="G13915">
        <v>6</v>
      </c>
      <c r="H13915">
        <f t="shared" si="437"/>
        <v>0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3865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Cumple</v>
      </c>
      <c r="D13917">
        <v>3870</v>
      </c>
      <c r="E13917" t="s">
        <v>13</v>
      </c>
      <c r="F13917">
        <v>4</v>
      </c>
      <c r="G13917">
        <v>3</v>
      </c>
      <c r="H13917">
        <f t="shared" si="437"/>
        <v>1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3974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37"/>
        <v>-2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9637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Cumple</v>
      </c>
      <c r="D13921">
        <v>9834</v>
      </c>
      <c r="E13921" t="s">
        <v>13</v>
      </c>
      <c r="F13921">
        <v>4</v>
      </c>
      <c r="G13921">
        <v>3</v>
      </c>
      <c r="H13921">
        <f t="shared" si="437"/>
        <v>1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9953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1451</v>
      </c>
      <c r="E13923" t="s">
        <v>13</v>
      </c>
      <c r="F13923">
        <v>4</v>
      </c>
      <c r="G13923" s="9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774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4045</v>
      </c>
      <c r="E13925" t="s">
        <v>13</v>
      </c>
      <c r="F13925">
        <v>4</v>
      </c>
      <c r="G13925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207</v>
      </c>
      <c r="E13926" t="s">
        <v>13</v>
      </c>
      <c r="F13926">
        <v>3</v>
      </c>
      <c r="G13926">
        <v>3</v>
      </c>
      <c r="H13926">
        <f t="shared" si="437"/>
        <v>0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221</v>
      </c>
      <c r="E13927" t="s">
        <v>13</v>
      </c>
      <c r="F13927">
        <v>3</v>
      </c>
      <c r="G13927">
        <v>3</v>
      </c>
      <c r="H13927">
        <f t="shared" si="437"/>
        <v>0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677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715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772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794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803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No cumple</v>
      </c>
      <c r="D13933">
        <v>826</v>
      </c>
      <c r="E13933" t="s">
        <v>13</v>
      </c>
      <c r="F13933">
        <v>3</v>
      </c>
      <c r="G13933">
        <v>6</v>
      </c>
      <c r="H13933">
        <f t="shared" si="437"/>
        <v>-3</v>
      </c>
    </row>
    <row r="13934" spans="1:8" x14ac:dyDescent="0.2">
      <c r="A13934" t="s">
        <v>7</v>
      </c>
      <c r="B13934" t="s">
        <v>33</v>
      </c>
      <c r="C13934" t="str">
        <f t="shared" si="438"/>
        <v>No cumple</v>
      </c>
      <c r="D13934">
        <v>923</v>
      </c>
      <c r="E13934" t="s">
        <v>13</v>
      </c>
      <c r="F13934">
        <v>3</v>
      </c>
      <c r="G13934">
        <v>6</v>
      </c>
      <c r="H13934">
        <f t="shared" si="437"/>
        <v>-3</v>
      </c>
    </row>
    <row r="13935" spans="1:8" x14ac:dyDescent="0.2">
      <c r="A13935" t="s">
        <v>7</v>
      </c>
      <c r="B13935" t="s">
        <v>33</v>
      </c>
      <c r="C13935" t="str">
        <f t="shared" si="438"/>
        <v>Cumple</v>
      </c>
      <c r="D13935">
        <v>1224</v>
      </c>
      <c r="E13935" t="s">
        <v>13</v>
      </c>
      <c r="F13935">
        <v>3</v>
      </c>
      <c r="G13935">
        <v>3</v>
      </c>
      <c r="H13935">
        <f t="shared" si="437"/>
        <v>0</v>
      </c>
    </row>
    <row r="13936" spans="1:8" x14ac:dyDescent="0.2">
      <c r="A13936" t="s">
        <v>7</v>
      </c>
      <c r="B13936" t="s">
        <v>33</v>
      </c>
      <c r="C13936" t="str">
        <f t="shared" si="438"/>
        <v>Cumple</v>
      </c>
      <c r="D13936">
        <v>1402</v>
      </c>
      <c r="E13936" t="s">
        <v>13</v>
      </c>
      <c r="F13936" s="9">
        <v>6</v>
      </c>
      <c r="G13936">
        <v>6</v>
      </c>
      <c r="H13936">
        <f t="shared" si="437"/>
        <v>0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1411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1425</v>
      </c>
      <c r="E13938" t="s">
        <v>13</v>
      </c>
      <c r="F13938">
        <v>3</v>
      </c>
      <c r="G13938">
        <v>3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1434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1553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1584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1594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1773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2722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2848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3294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3694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3703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9017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9035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9246</v>
      </c>
      <c r="E13951" t="s">
        <v>13</v>
      </c>
      <c r="F13951" s="9">
        <v>6</v>
      </c>
      <c r="G13951">
        <v>6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9301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No cumple</v>
      </c>
      <c r="D13953">
        <v>9527</v>
      </c>
      <c r="E13953" t="s">
        <v>13</v>
      </c>
      <c r="F13953">
        <v>3</v>
      </c>
      <c r="G13953">
        <v>6</v>
      </c>
      <c r="H13953">
        <f t="shared" si="437"/>
        <v>-3</v>
      </c>
    </row>
    <row r="13954" spans="1:8" x14ac:dyDescent="0.2">
      <c r="A13954" t="s">
        <v>7</v>
      </c>
      <c r="B13954" t="s">
        <v>33</v>
      </c>
      <c r="C13954" t="str">
        <f t="shared" si="438"/>
        <v>No cumple</v>
      </c>
      <c r="D13954">
        <v>9672</v>
      </c>
      <c r="E13954" t="s">
        <v>13</v>
      </c>
      <c r="F13954">
        <v>3</v>
      </c>
      <c r="G13954">
        <v>6</v>
      </c>
      <c r="H13954">
        <f t="shared" ref="H13954:H14017" si="439">F13954-G13954</f>
        <v>-3</v>
      </c>
    </row>
    <row r="13955" spans="1:8" x14ac:dyDescent="0.2">
      <c r="A13955" t="s">
        <v>7</v>
      </c>
      <c r="B13955" t="s">
        <v>33</v>
      </c>
      <c r="C13955" t="str">
        <f t="shared" si="438"/>
        <v>Cumple</v>
      </c>
      <c r="D13955">
        <v>9720</v>
      </c>
      <c r="E13955" t="s">
        <v>13</v>
      </c>
      <c r="F13955">
        <v>3</v>
      </c>
      <c r="G13955">
        <v>3</v>
      </c>
      <c r="H13955">
        <f t="shared" si="439"/>
        <v>0</v>
      </c>
    </row>
    <row r="13956" spans="1:8" x14ac:dyDescent="0.2">
      <c r="A13956" t="s">
        <v>7</v>
      </c>
      <c r="B13956" t="s">
        <v>33</v>
      </c>
      <c r="C13956" t="str">
        <f t="shared" ref="C13956:C14019" si="440">IF(H13956&gt;=0,"Cumple","No cumple")</f>
        <v>Cumple</v>
      </c>
      <c r="D13956">
        <v>9744</v>
      </c>
      <c r="E13956" t="s">
        <v>13</v>
      </c>
      <c r="F13956">
        <v>3</v>
      </c>
      <c r="G13956">
        <v>3</v>
      </c>
      <c r="H13956">
        <f t="shared" si="439"/>
        <v>0</v>
      </c>
    </row>
    <row r="13957" spans="1:8" x14ac:dyDescent="0.2">
      <c r="A13957" t="s">
        <v>7</v>
      </c>
      <c r="B13957" t="s">
        <v>33</v>
      </c>
      <c r="C13957" t="str">
        <f t="shared" si="440"/>
        <v>Cumple</v>
      </c>
      <c r="D13957">
        <v>9991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si="440"/>
        <v>Cumple</v>
      </c>
      <c r="D13958">
        <v>3984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4056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4057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No cumple</v>
      </c>
      <c r="D13961">
        <v>205</v>
      </c>
      <c r="E13961" t="s">
        <v>13</v>
      </c>
      <c r="F13961">
        <v>2</v>
      </c>
      <c r="G13961">
        <v>3</v>
      </c>
      <c r="H13961">
        <f t="shared" si="439"/>
        <v>-1</v>
      </c>
    </row>
    <row r="13962" spans="1:8" x14ac:dyDescent="0.2">
      <c r="A13962" t="s">
        <v>7</v>
      </c>
      <c r="B13962" t="s">
        <v>33</v>
      </c>
      <c r="C13962" t="str">
        <f t="shared" si="440"/>
        <v>No cumple</v>
      </c>
      <c r="D13962">
        <v>217</v>
      </c>
      <c r="E13962" t="s">
        <v>13</v>
      </c>
      <c r="F13962">
        <v>2</v>
      </c>
      <c r="G13962">
        <v>3</v>
      </c>
      <c r="H13962">
        <f t="shared" si="439"/>
        <v>-1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224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227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679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717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1445</v>
      </c>
      <c r="E13967" t="s">
        <v>13</v>
      </c>
      <c r="F13967">
        <v>2</v>
      </c>
      <c r="G13967">
        <v>6</v>
      </c>
      <c r="H13967">
        <f t="shared" si="439"/>
        <v>-4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1472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2857</v>
      </c>
      <c r="E13969" t="s">
        <v>13</v>
      </c>
      <c r="F13969">
        <v>2</v>
      </c>
      <c r="G13969">
        <v>3</v>
      </c>
      <c r="H13969">
        <f t="shared" si="439"/>
        <v>-1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3424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3565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3677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3733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3866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3887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3913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9333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9658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9665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9298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4033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4043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4044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2060</v>
      </c>
      <c r="E13984" t="s">
        <v>13</v>
      </c>
      <c r="F13984">
        <v>2</v>
      </c>
      <c r="G13984">
        <v>6</v>
      </c>
      <c r="H13984">
        <f t="shared" si="439"/>
        <v>-4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2875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226</v>
      </c>
      <c r="E13986" t="s">
        <v>13</v>
      </c>
      <c r="F13986">
        <v>1</v>
      </c>
      <c r="G13986">
        <v>3</v>
      </c>
      <c r="H13986">
        <f t="shared" si="439"/>
        <v>-2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243</v>
      </c>
      <c r="E13987" t="s">
        <v>13</v>
      </c>
      <c r="F13987">
        <v>1</v>
      </c>
      <c r="G13987">
        <v>3</v>
      </c>
      <c r="H13987">
        <f t="shared" si="439"/>
        <v>-2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251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821</v>
      </c>
      <c r="E13989" t="s">
        <v>13</v>
      </c>
      <c r="F13989">
        <v>1</v>
      </c>
      <c r="G13989" s="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847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859</v>
      </c>
      <c r="E13991" t="s">
        <v>13</v>
      </c>
      <c r="F13991">
        <v>1</v>
      </c>
      <c r="G13991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903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926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951</v>
      </c>
      <c r="E13994" t="s">
        <v>13</v>
      </c>
      <c r="F13994">
        <v>1</v>
      </c>
      <c r="G13994">
        <v>6</v>
      </c>
      <c r="H13994">
        <f t="shared" si="439"/>
        <v>-5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1420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1698</v>
      </c>
      <c r="E13996" t="s">
        <v>13</v>
      </c>
      <c r="F13996">
        <v>1</v>
      </c>
      <c r="G13996">
        <v>3</v>
      </c>
      <c r="H13996">
        <f t="shared" si="439"/>
        <v>-2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1699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3735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3742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3790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3833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9382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9656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9921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9381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747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230</v>
      </c>
      <c r="E14007" t="s">
        <v>13</v>
      </c>
      <c r="F14007">
        <v>0</v>
      </c>
      <c r="G14007">
        <v>3</v>
      </c>
      <c r="H14007">
        <f t="shared" si="439"/>
        <v>-3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239</v>
      </c>
      <c r="E14008" t="s">
        <v>13</v>
      </c>
      <c r="F14008">
        <v>0</v>
      </c>
      <c r="G14008">
        <v>3</v>
      </c>
      <c r="H14008">
        <f t="shared" si="439"/>
        <v>-3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245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248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836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858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865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902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1297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1423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1437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1441</v>
      </c>
      <c r="E14018" t="s">
        <v>13</v>
      </c>
      <c r="F14018">
        <v>0</v>
      </c>
      <c r="G14018">
        <v>3</v>
      </c>
      <c r="H14018">
        <f t="shared" ref="H14018:H14081" si="441">F14018-G14018</f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1453</v>
      </c>
      <c r="E14019" t="s">
        <v>13</v>
      </c>
      <c r="F14019">
        <v>0</v>
      </c>
      <c r="G14019">
        <v>3</v>
      </c>
      <c r="H14019">
        <f t="shared" si="441"/>
        <v>-3</v>
      </c>
    </row>
    <row r="14020" spans="1:8" x14ac:dyDescent="0.2">
      <c r="A14020" t="s">
        <v>7</v>
      </c>
      <c r="B14020" t="s">
        <v>33</v>
      </c>
      <c r="C14020" t="str">
        <f t="shared" ref="C14020:C14083" si="442">IF(H14020&gt;=0,"Cumple","No cumple")</f>
        <v>No cumple</v>
      </c>
      <c r="D14020">
        <v>1470</v>
      </c>
      <c r="E14020" t="s">
        <v>13</v>
      </c>
      <c r="F14020">
        <v>0</v>
      </c>
      <c r="G14020">
        <v>3</v>
      </c>
      <c r="H14020">
        <f t="shared" si="441"/>
        <v>-3</v>
      </c>
    </row>
    <row r="14021" spans="1:8" x14ac:dyDescent="0.2">
      <c r="A14021" t="s">
        <v>7</v>
      </c>
      <c r="B14021" t="s">
        <v>33</v>
      </c>
      <c r="C14021" t="str">
        <f t="shared" si="442"/>
        <v>No cumple</v>
      </c>
      <c r="D14021">
        <v>1541</v>
      </c>
      <c r="E14021" t="s">
        <v>13</v>
      </c>
      <c r="F14021">
        <v>0</v>
      </c>
      <c r="G14021">
        <v>6</v>
      </c>
      <c r="H14021">
        <f t="shared" si="441"/>
        <v>-6</v>
      </c>
    </row>
    <row r="14022" spans="1:8" x14ac:dyDescent="0.2">
      <c r="A14022" t="s">
        <v>7</v>
      </c>
      <c r="B14022" t="s">
        <v>33</v>
      </c>
      <c r="C14022" t="str">
        <f t="shared" si="442"/>
        <v>No cumple</v>
      </c>
      <c r="D14022">
        <v>1615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1792</v>
      </c>
      <c r="E14023" t="s">
        <v>13</v>
      </c>
      <c r="F14023">
        <v>0</v>
      </c>
      <c r="G14023">
        <v>3</v>
      </c>
      <c r="H14023">
        <f t="shared" si="441"/>
        <v>-3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1828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2549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2563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2703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3543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3545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3562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3594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3666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3731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3819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3840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3893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7028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9004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9684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9767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9837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9935</v>
      </c>
      <c r="E14042" t="s">
        <v>13</v>
      </c>
      <c r="F14042">
        <v>0</v>
      </c>
      <c r="G14042">
        <v>6</v>
      </c>
      <c r="H14042">
        <f t="shared" si="441"/>
        <v>-6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9821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319</v>
      </c>
      <c r="E14044" t="s">
        <v>13</v>
      </c>
      <c r="F14044">
        <v>0</v>
      </c>
      <c r="G14044">
        <v>3</v>
      </c>
      <c r="H14044">
        <f t="shared" si="441"/>
        <v>-3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4034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Cumple</v>
      </c>
      <c r="D14046">
        <v>2726</v>
      </c>
      <c r="E14046" t="s">
        <v>15</v>
      </c>
      <c r="F14046">
        <v>37</v>
      </c>
      <c r="G14046">
        <v>6</v>
      </c>
      <c r="H14046">
        <f t="shared" si="441"/>
        <v>31</v>
      </c>
    </row>
    <row r="14047" spans="1:8" x14ac:dyDescent="0.2">
      <c r="A14047" t="s">
        <v>7</v>
      </c>
      <c r="B14047" t="s">
        <v>33</v>
      </c>
      <c r="C14047" t="str">
        <f t="shared" si="442"/>
        <v>Cumple</v>
      </c>
      <c r="D14047">
        <v>7566</v>
      </c>
      <c r="E14047" t="s">
        <v>15</v>
      </c>
      <c r="F14047">
        <v>36</v>
      </c>
      <c r="G14047">
        <v>6</v>
      </c>
      <c r="H14047">
        <f t="shared" si="441"/>
        <v>30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376</v>
      </c>
      <c r="E14048" t="s">
        <v>15</v>
      </c>
      <c r="F14048">
        <v>35</v>
      </c>
      <c r="G14048">
        <v>6</v>
      </c>
      <c r="H14048">
        <f t="shared" si="441"/>
        <v>29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3959</v>
      </c>
      <c r="E14049" t="s">
        <v>15</v>
      </c>
      <c r="F14049">
        <v>29</v>
      </c>
      <c r="G14049">
        <v>6</v>
      </c>
      <c r="H14049">
        <f t="shared" si="441"/>
        <v>23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9110</v>
      </c>
      <c r="E14050" t="s">
        <v>15</v>
      </c>
      <c r="F14050">
        <v>21</v>
      </c>
      <c r="G14050">
        <v>6</v>
      </c>
      <c r="H14050">
        <f t="shared" si="441"/>
        <v>15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7635</v>
      </c>
      <c r="E14051" t="s">
        <v>15</v>
      </c>
      <c r="F14051">
        <v>17</v>
      </c>
      <c r="G14051">
        <v>6</v>
      </c>
      <c r="H14051">
        <f t="shared" si="441"/>
        <v>11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7628</v>
      </c>
      <c r="E14052" t="s">
        <v>15</v>
      </c>
      <c r="F14052">
        <v>15</v>
      </c>
      <c r="G14052">
        <v>6</v>
      </c>
      <c r="H14052">
        <f t="shared" si="441"/>
        <v>9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7581</v>
      </c>
      <c r="E14053" t="s">
        <v>15</v>
      </c>
      <c r="F14053">
        <v>13</v>
      </c>
      <c r="G14053">
        <v>6</v>
      </c>
      <c r="H14053">
        <f t="shared" si="441"/>
        <v>7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3789</v>
      </c>
      <c r="E14054" t="s">
        <v>15</v>
      </c>
      <c r="F14054">
        <v>13</v>
      </c>
      <c r="G14054">
        <v>6</v>
      </c>
      <c r="H14054">
        <f t="shared" si="441"/>
        <v>7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9063</v>
      </c>
      <c r="E14055" t="s">
        <v>16</v>
      </c>
      <c r="F14055">
        <v>12</v>
      </c>
      <c r="G14055">
        <v>6</v>
      </c>
      <c r="H14055">
        <f t="shared" si="441"/>
        <v>6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2210</v>
      </c>
      <c r="E14056" t="s">
        <v>15</v>
      </c>
      <c r="F14056">
        <v>11</v>
      </c>
      <c r="G14056">
        <v>6</v>
      </c>
      <c r="H14056">
        <f t="shared" si="441"/>
        <v>5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7055</v>
      </c>
      <c r="E14057" t="s">
        <v>15</v>
      </c>
      <c r="F14057">
        <v>11</v>
      </c>
      <c r="G14057">
        <v>6</v>
      </c>
      <c r="H14057">
        <f t="shared" si="441"/>
        <v>5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3975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9789</v>
      </c>
      <c r="E14059" t="s">
        <v>16</v>
      </c>
      <c r="F14059">
        <v>10</v>
      </c>
      <c r="G14059">
        <v>6</v>
      </c>
      <c r="H14059">
        <f t="shared" si="441"/>
        <v>4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7438</v>
      </c>
      <c r="E14060" t="s">
        <v>15</v>
      </c>
      <c r="F14060">
        <v>10</v>
      </c>
      <c r="G14060">
        <v>6</v>
      </c>
      <c r="H14060">
        <f t="shared" si="441"/>
        <v>4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7090</v>
      </c>
      <c r="E14061" t="s">
        <v>15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7109</v>
      </c>
      <c r="E14062" t="s">
        <v>15</v>
      </c>
      <c r="F14062">
        <v>8</v>
      </c>
      <c r="G14062">
        <v>6</v>
      </c>
      <c r="H14062">
        <f t="shared" si="441"/>
        <v>2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9281</v>
      </c>
      <c r="E14063" t="s">
        <v>15</v>
      </c>
      <c r="F14063">
        <v>8</v>
      </c>
      <c r="G14063">
        <v>6</v>
      </c>
      <c r="H14063">
        <f t="shared" si="441"/>
        <v>2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9802</v>
      </c>
      <c r="E14064" t="s">
        <v>15</v>
      </c>
      <c r="F14064">
        <v>7</v>
      </c>
      <c r="G14064">
        <v>6</v>
      </c>
      <c r="H14064">
        <f t="shared" si="441"/>
        <v>1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7059</v>
      </c>
      <c r="E14065" t="s">
        <v>15</v>
      </c>
      <c r="F14065">
        <v>6</v>
      </c>
      <c r="G14065">
        <v>6</v>
      </c>
      <c r="H14065">
        <f t="shared" si="441"/>
        <v>0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7044</v>
      </c>
      <c r="E14066" t="s">
        <v>15</v>
      </c>
      <c r="F14066">
        <v>6</v>
      </c>
      <c r="G14066">
        <v>6</v>
      </c>
      <c r="H14066">
        <f t="shared" si="441"/>
        <v>0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7060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7097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9296</v>
      </c>
      <c r="E14069" t="s">
        <v>16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No cumple</v>
      </c>
      <c r="D14070">
        <v>7630</v>
      </c>
      <c r="E14070" t="s">
        <v>15</v>
      </c>
      <c r="F14070">
        <v>5</v>
      </c>
      <c r="G14070">
        <v>6</v>
      </c>
      <c r="H14070">
        <f t="shared" si="441"/>
        <v>-1</v>
      </c>
    </row>
    <row r="14071" spans="1:8" x14ac:dyDescent="0.2">
      <c r="A14071" t="s">
        <v>7</v>
      </c>
      <c r="B14071" t="s">
        <v>33</v>
      </c>
      <c r="C14071" t="str">
        <f t="shared" si="442"/>
        <v>No cumple</v>
      </c>
      <c r="D14071">
        <v>7106</v>
      </c>
      <c r="E14071" t="s">
        <v>15</v>
      </c>
      <c r="F14071">
        <v>5</v>
      </c>
      <c r="G14071">
        <v>6</v>
      </c>
      <c r="H14071">
        <f t="shared" si="441"/>
        <v>-1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9120</v>
      </c>
      <c r="E14072" t="s">
        <v>15</v>
      </c>
      <c r="F14072">
        <v>4</v>
      </c>
      <c r="G14072">
        <v>6</v>
      </c>
      <c r="H14072">
        <f t="shared" si="441"/>
        <v>-2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7051</v>
      </c>
      <c r="E14073" t="s">
        <v>15</v>
      </c>
      <c r="F14073">
        <v>4</v>
      </c>
      <c r="G14073">
        <v>6</v>
      </c>
      <c r="H14073">
        <f t="shared" si="441"/>
        <v>-2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9411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7014</v>
      </c>
      <c r="E14075" t="s">
        <v>15</v>
      </c>
      <c r="F14075">
        <v>3</v>
      </c>
      <c r="G14075">
        <v>6</v>
      </c>
      <c r="H14075">
        <f t="shared" si="441"/>
        <v>-3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7066</v>
      </c>
      <c r="E14076" t="s">
        <v>15</v>
      </c>
      <c r="F14076">
        <v>3</v>
      </c>
      <c r="G14076">
        <v>6</v>
      </c>
      <c r="H14076">
        <f t="shared" si="441"/>
        <v>-3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446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2736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7632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9334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9443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9604</v>
      </c>
      <c r="E14082" t="s">
        <v>15</v>
      </c>
      <c r="F14082">
        <v>3</v>
      </c>
      <c r="G14082">
        <v>6</v>
      </c>
      <c r="H14082">
        <f t="shared" ref="H14082:H14145" si="443">F14082-G14082</f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3867</v>
      </c>
      <c r="E14083" t="s">
        <v>15</v>
      </c>
      <c r="F14083">
        <v>3</v>
      </c>
      <c r="G14083">
        <v>6</v>
      </c>
      <c r="H14083">
        <f t="shared" si="443"/>
        <v>-3</v>
      </c>
    </row>
    <row r="14084" spans="1:8" x14ac:dyDescent="0.2">
      <c r="A14084" t="s">
        <v>7</v>
      </c>
      <c r="B14084" t="s">
        <v>33</v>
      </c>
      <c r="C14084" t="str">
        <f t="shared" ref="C14084:C14147" si="444">IF(H14084&gt;=0,"Cumple","No cumple")</f>
        <v>No cumple</v>
      </c>
      <c r="D14084">
        <v>2613</v>
      </c>
      <c r="E14084" t="s">
        <v>15</v>
      </c>
      <c r="F14084">
        <v>3</v>
      </c>
      <c r="G14084">
        <v>6</v>
      </c>
      <c r="H14084">
        <f t="shared" si="443"/>
        <v>-3</v>
      </c>
    </row>
    <row r="14085" spans="1:8" x14ac:dyDescent="0.2">
      <c r="A14085" t="s">
        <v>7</v>
      </c>
      <c r="B14085" t="s">
        <v>33</v>
      </c>
      <c r="C14085" t="str">
        <f t="shared" si="444"/>
        <v>No cumple</v>
      </c>
      <c r="D14085">
        <v>9849</v>
      </c>
      <c r="E14085" t="s">
        <v>16</v>
      </c>
      <c r="F14085">
        <v>2</v>
      </c>
      <c r="G14085">
        <v>6</v>
      </c>
      <c r="H14085">
        <f t="shared" si="443"/>
        <v>-4</v>
      </c>
    </row>
    <row r="14086" spans="1:8" x14ac:dyDescent="0.2">
      <c r="A14086" t="s">
        <v>7</v>
      </c>
      <c r="B14086" t="s">
        <v>33</v>
      </c>
      <c r="C14086" t="str">
        <f t="shared" si="444"/>
        <v>No cumple</v>
      </c>
      <c r="D14086">
        <v>9887</v>
      </c>
      <c r="E14086" t="s">
        <v>16</v>
      </c>
      <c r="F14086">
        <v>2</v>
      </c>
      <c r="G14086">
        <v>6</v>
      </c>
      <c r="H14086">
        <f t="shared" si="443"/>
        <v>-4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3224</v>
      </c>
      <c r="E14087" t="s">
        <v>15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7071</v>
      </c>
      <c r="E14088" t="s">
        <v>15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7474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7040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7084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7606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7629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9259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3996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3757</v>
      </c>
      <c r="E14096" t="s">
        <v>15</v>
      </c>
      <c r="F14096">
        <v>1</v>
      </c>
      <c r="G14096">
        <v>6</v>
      </c>
      <c r="H14096">
        <f t="shared" si="443"/>
        <v>-5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7008</v>
      </c>
      <c r="E14097" t="s">
        <v>15</v>
      </c>
      <c r="F14097">
        <v>1</v>
      </c>
      <c r="G14097">
        <v>6</v>
      </c>
      <c r="H14097">
        <f t="shared" si="443"/>
        <v>-5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7517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7580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1864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7038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7116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9152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9761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7042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18</v>
      </c>
      <c r="B14106" t="s">
        <v>33</v>
      </c>
      <c r="C14106" t="str">
        <f t="shared" si="444"/>
        <v>No cumple</v>
      </c>
      <c r="D14106">
        <v>1089</v>
      </c>
      <c r="E14106" t="s">
        <v>16</v>
      </c>
      <c r="F14106">
        <v>0</v>
      </c>
      <c r="G14106">
        <v>6</v>
      </c>
      <c r="H14106">
        <f t="shared" si="443"/>
        <v>-6</v>
      </c>
    </row>
    <row r="14107" spans="1:8" x14ac:dyDescent="0.2">
      <c r="A14107" t="s">
        <v>18</v>
      </c>
      <c r="B14107" t="s">
        <v>33</v>
      </c>
      <c r="C14107" t="str">
        <f t="shared" si="444"/>
        <v>No cumple</v>
      </c>
      <c r="D14107">
        <v>3583</v>
      </c>
      <c r="E14107" t="s">
        <v>16</v>
      </c>
      <c r="F14107">
        <v>0</v>
      </c>
      <c r="G14107">
        <v>6</v>
      </c>
      <c r="H14107">
        <f t="shared" si="443"/>
        <v>-6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9383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9384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9386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9388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9390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9391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9393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9394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9395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9407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9417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9418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7</v>
      </c>
      <c r="B14120" t="s">
        <v>33</v>
      </c>
      <c r="C14120" t="str">
        <f t="shared" si="444"/>
        <v>No cumple</v>
      </c>
      <c r="D14120">
        <v>9492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9493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18</v>
      </c>
      <c r="B14122" t="s">
        <v>33</v>
      </c>
      <c r="C14122" t="str">
        <f t="shared" si="444"/>
        <v>No cumple</v>
      </c>
      <c r="D14122">
        <v>9678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9947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136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1539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9387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9404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9405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9406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9409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9410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9444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9447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9494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9572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9797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7</v>
      </c>
      <c r="B14137" t="s">
        <v>33</v>
      </c>
      <c r="C14137" t="str">
        <f t="shared" si="444"/>
        <v>No cumple</v>
      </c>
      <c r="D14137">
        <v>7026</v>
      </c>
      <c r="E14137" t="s">
        <v>15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7</v>
      </c>
      <c r="B14138" t="s">
        <v>33</v>
      </c>
      <c r="C14138" t="str">
        <f t="shared" si="444"/>
        <v>No cumple</v>
      </c>
      <c r="D14138">
        <v>7032</v>
      </c>
      <c r="E14138" t="s">
        <v>15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7068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18</v>
      </c>
      <c r="B14140" t="s">
        <v>33</v>
      </c>
      <c r="C14140" t="str">
        <f t="shared" si="444"/>
        <v>No cumple</v>
      </c>
      <c r="D14140">
        <v>7092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7123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7</v>
      </c>
      <c r="B14142" t="s">
        <v>33</v>
      </c>
      <c r="C14142" t="str">
        <f t="shared" si="444"/>
        <v>No cumple</v>
      </c>
      <c r="D14142">
        <v>7183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18</v>
      </c>
      <c r="B14143" t="s">
        <v>33</v>
      </c>
      <c r="C14143" t="str">
        <f t="shared" si="444"/>
        <v>No cumple</v>
      </c>
      <c r="D14143">
        <v>7345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7380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7395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7398</v>
      </c>
      <c r="E14146" t="s">
        <v>15</v>
      </c>
      <c r="F14146">
        <v>0</v>
      </c>
      <c r="G14146">
        <v>6</v>
      </c>
      <c r="H14146">
        <f t="shared" ref="H14146:H14165" si="445">F14146-G14146</f>
        <v>-6</v>
      </c>
    </row>
    <row r="14147" spans="1:8" x14ac:dyDescent="0.2">
      <c r="A14147" t="s">
        <v>7</v>
      </c>
      <c r="B14147" t="s">
        <v>33</v>
      </c>
      <c r="C14147" t="str">
        <f t="shared" si="444"/>
        <v>No cumple</v>
      </c>
      <c r="D14147">
        <v>7402</v>
      </c>
      <c r="E14147" t="s">
        <v>15</v>
      </c>
      <c r="F14147">
        <v>0</v>
      </c>
      <c r="G14147">
        <v>6</v>
      </c>
      <c r="H14147">
        <f t="shared" si="445"/>
        <v>-6</v>
      </c>
    </row>
    <row r="14148" spans="1:8" x14ac:dyDescent="0.2">
      <c r="A14148" t="s">
        <v>7</v>
      </c>
      <c r="B14148" t="s">
        <v>33</v>
      </c>
      <c r="C14148" t="str">
        <f t="shared" ref="C14148:C14211" si="446">IF(H14148&gt;=0,"Cumple","No cumple")</f>
        <v>No cumple</v>
      </c>
      <c r="D14148">
        <v>7417</v>
      </c>
      <c r="E14148" t="s">
        <v>15</v>
      </c>
      <c r="F14148">
        <v>0</v>
      </c>
      <c r="G14148">
        <v>6</v>
      </c>
      <c r="H14148">
        <f t="shared" si="445"/>
        <v>-6</v>
      </c>
    </row>
    <row r="14149" spans="1:8" x14ac:dyDescent="0.2">
      <c r="A14149" t="s">
        <v>7</v>
      </c>
      <c r="B14149" t="s">
        <v>33</v>
      </c>
      <c r="C14149" t="str">
        <f t="shared" si="446"/>
        <v>No cumple</v>
      </c>
      <c r="D14149">
        <v>7494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18</v>
      </c>
      <c r="B14150" t="s">
        <v>33</v>
      </c>
      <c r="C14150" t="str">
        <f t="shared" si="446"/>
        <v>No cumple</v>
      </c>
      <c r="D14150">
        <v>7559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18</v>
      </c>
      <c r="B14151" t="s">
        <v>33</v>
      </c>
      <c r="C14151" t="str">
        <f t="shared" si="446"/>
        <v>No cumple</v>
      </c>
      <c r="D14151">
        <v>7567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7</v>
      </c>
      <c r="B14152" t="s">
        <v>33</v>
      </c>
      <c r="C14152" t="str">
        <f t="shared" si="446"/>
        <v>No cumple</v>
      </c>
      <c r="D14152">
        <v>7622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7</v>
      </c>
      <c r="B14153" t="s">
        <v>33</v>
      </c>
      <c r="C14153" t="str">
        <f t="shared" si="446"/>
        <v>No cumple</v>
      </c>
      <c r="D14153">
        <v>7631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7045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7046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7085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7633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8001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9424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9543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18</v>
      </c>
      <c r="B14161" t="s">
        <v>33</v>
      </c>
      <c r="C14161" t="str">
        <f t="shared" si="446"/>
        <v>No cumple</v>
      </c>
      <c r="D14161">
        <v>9779</v>
      </c>
      <c r="E14161" t="s">
        <v>16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2849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9529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18</v>
      </c>
      <c r="B14164" t="s">
        <v>33</v>
      </c>
      <c r="C14164" t="str">
        <f t="shared" si="446"/>
        <v>No cumple</v>
      </c>
      <c r="D14164">
        <v>9445</v>
      </c>
      <c r="E14164" t="s">
        <v>16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7</v>
      </c>
      <c r="B14165" t="s">
        <v>33</v>
      </c>
      <c r="C14165" t="str">
        <f t="shared" si="446"/>
        <v>No cumple</v>
      </c>
      <c r="D14165">
        <v>4058</v>
      </c>
      <c r="E14165" t="s">
        <v>15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7</v>
      </c>
      <c r="B14166" t="s">
        <v>34</v>
      </c>
      <c r="C14166" t="str">
        <f t="shared" si="446"/>
        <v>Cumple</v>
      </c>
      <c r="D14166">
        <v>9214</v>
      </c>
      <c r="E14166" t="s">
        <v>8</v>
      </c>
      <c r="F14166">
        <v>26</v>
      </c>
      <c r="G14166">
        <v>8</v>
      </c>
      <c r="H14166">
        <f>F14166-G14166</f>
        <v>18</v>
      </c>
    </row>
    <row r="14167" spans="1:8" x14ac:dyDescent="0.2">
      <c r="A14167" t="s">
        <v>7</v>
      </c>
      <c r="B14167" t="s">
        <v>34</v>
      </c>
      <c r="C14167" t="str">
        <f t="shared" si="446"/>
        <v>Cumple</v>
      </c>
      <c r="D14167">
        <v>302</v>
      </c>
      <c r="E14167" t="s">
        <v>8</v>
      </c>
      <c r="F14167">
        <v>18</v>
      </c>
      <c r="G14167">
        <v>8</v>
      </c>
      <c r="H14167">
        <f t="shared" ref="H14167:H14230" si="447">F14167-G14167</f>
        <v>10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411</v>
      </c>
      <c r="E14168" t="s">
        <v>8</v>
      </c>
      <c r="F14168">
        <v>18</v>
      </c>
      <c r="G14168">
        <v>8</v>
      </c>
      <c r="H14168">
        <f t="shared" si="447"/>
        <v>10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2020</v>
      </c>
      <c r="E14169" t="s">
        <v>8</v>
      </c>
      <c r="F14169">
        <v>16</v>
      </c>
      <c r="G14169">
        <v>8</v>
      </c>
      <c r="H14169">
        <f t="shared" si="447"/>
        <v>8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2168</v>
      </c>
      <c r="E14170" t="s">
        <v>8</v>
      </c>
      <c r="F14170">
        <v>15</v>
      </c>
      <c r="G14170">
        <v>8</v>
      </c>
      <c r="H14170">
        <f t="shared" si="447"/>
        <v>7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9964</v>
      </c>
      <c r="E14171" t="s">
        <v>8</v>
      </c>
      <c r="F14171">
        <v>15</v>
      </c>
      <c r="G14171">
        <v>8</v>
      </c>
      <c r="H14171">
        <f t="shared" si="447"/>
        <v>7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2394</v>
      </c>
      <c r="E14172" t="s">
        <v>8</v>
      </c>
      <c r="F14172">
        <v>14</v>
      </c>
      <c r="G14172">
        <v>8</v>
      </c>
      <c r="H14172">
        <f t="shared" si="447"/>
        <v>6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2446</v>
      </c>
      <c r="E14173" t="s">
        <v>8</v>
      </c>
      <c r="F14173">
        <v>14</v>
      </c>
      <c r="G14173">
        <v>8</v>
      </c>
      <c r="H14173">
        <f t="shared" si="447"/>
        <v>6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412</v>
      </c>
      <c r="E14174" t="s">
        <v>8</v>
      </c>
      <c r="F14174">
        <v>13</v>
      </c>
      <c r="G14174">
        <v>8</v>
      </c>
      <c r="H14174">
        <f t="shared" si="447"/>
        <v>5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643</v>
      </c>
      <c r="E14175" t="s">
        <v>8</v>
      </c>
      <c r="F14175">
        <v>13</v>
      </c>
      <c r="G14175">
        <v>8</v>
      </c>
      <c r="H14175">
        <f t="shared" si="447"/>
        <v>5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2349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3848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9211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722</v>
      </c>
      <c r="E14179" t="s">
        <v>8</v>
      </c>
      <c r="F14179">
        <v>12</v>
      </c>
      <c r="G14179">
        <v>8</v>
      </c>
      <c r="H14179">
        <f t="shared" si="447"/>
        <v>4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2278</v>
      </c>
      <c r="E14180" t="s">
        <v>8</v>
      </c>
      <c r="F14180">
        <v>12</v>
      </c>
      <c r="G14180">
        <v>8</v>
      </c>
      <c r="H14180">
        <f t="shared" si="447"/>
        <v>4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9883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507</v>
      </c>
      <c r="E14182" t="s">
        <v>8</v>
      </c>
      <c r="F14182">
        <v>11</v>
      </c>
      <c r="G14182">
        <v>8</v>
      </c>
      <c r="H14182">
        <f t="shared" si="447"/>
        <v>3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596</v>
      </c>
      <c r="E14183" t="s">
        <v>8</v>
      </c>
      <c r="F14183">
        <v>11</v>
      </c>
      <c r="G14183">
        <v>8</v>
      </c>
      <c r="H14183">
        <f t="shared" si="447"/>
        <v>3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1799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2246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2520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3532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467</v>
      </c>
      <c r="E14188" t="s">
        <v>8</v>
      </c>
      <c r="F14188">
        <v>10</v>
      </c>
      <c r="G14188">
        <v>8</v>
      </c>
      <c r="H14188">
        <f t="shared" si="447"/>
        <v>2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2220</v>
      </c>
      <c r="E14189" t="s">
        <v>8</v>
      </c>
      <c r="F14189">
        <v>10</v>
      </c>
      <c r="G14189">
        <v>8</v>
      </c>
      <c r="H14189">
        <f t="shared" si="447"/>
        <v>2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2422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3775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3978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423</v>
      </c>
      <c r="E14193" t="s">
        <v>8</v>
      </c>
      <c r="F14193">
        <v>9</v>
      </c>
      <c r="G14193">
        <v>8</v>
      </c>
      <c r="H14193">
        <f t="shared" si="447"/>
        <v>1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460</v>
      </c>
      <c r="E14194" t="s">
        <v>8</v>
      </c>
      <c r="F14194">
        <v>9</v>
      </c>
      <c r="G14194">
        <v>8</v>
      </c>
      <c r="H14194">
        <f t="shared" si="447"/>
        <v>1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674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1915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2189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2410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5032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9896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553</v>
      </c>
      <c r="E14201" t="s">
        <v>8</v>
      </c>
      <c r="F14201">
        <v>8</v>
      </c>
      <c r="G14201">
        <v>8</v>
      </c>
      <c r="H14201">
        <f t="shared" si="447"/>
        <v>0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561</v>
      </c>
      <c r="E14202" t="s">
        <v>8</v>
      </c>
      <c r="F14202">
        <v>8</v>
      </c>
      <c r="G14202">
        <v>8</v>
      </c>
      <c r="H14202">
        <f t="shared" si="447"/>
        <v>0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633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660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1868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2416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3598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3966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9112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9204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9292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ref="C14212:C14275" si="448">IF(H14212&gt;=0,"Cumple","No cumple")</f>
        <v>Cumple</v>
      </c>
      <c r="D14212">
        <v>9922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8"/>
        <v>Cumple</v>
      </c>
      <c r="D14213">
        <v>2776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si="448"/>
        <v>Cumple</v>
      </c>
      <c r="D14214">
        <v>380</v>
      </c>
      <c r="E14214" t="s">
        <v>8</v>
      </c>
      <c r="F14214" s="9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No cumple</v>
      </c>
      <c r="D14215">
        <v>688</v>
      </c>
      <c r="E14215" t="s">
        <v>8</v>
      </c>
      <c r="F14215">
        <v>7</v>
      </c>
      <c r="G14215">
        <v>8</v>
      </c>
      <c r="H14215">
        <f t="shared" si="447"/>
        <v>-1</v>
      </c>
    </row>
    <row r="14216" spans="1:8" x14ac:dyDescent="0.2">
      <c r="A14216" t="s">
        <v>7</v>
      </c>
      <c r="B14216" t="s">
        <v>34</v>
      </c>
      <c r="C14216" t="str">
        <f t="shared" si="448"/>
        <v>No cumple</v>
      </c>
      <c r="D14216">
        <v>1440</v>
      </c>
      <c r="E14216" t="s">
        <v>8</v>
      </c>
      <c r="F14216">
        <v>7</v>
      </c>
      <c r="G14216">
        <v>8</v>
      </c>
      <c r="H14216">
        <f t="shared" si="447"/>
        <v>-1</v>
      </c>
    </row>
    <row r="14217" spans="1:8" x14ac:dyDescent="0.2">
      <c r="A14217" t="s">
        <v>7</v>
      </c>
      <c r="B14217" t="s">
        <v>34</v>
      </c>
      <c r="C14217" t="str">
        <f t="shared" si="448"/>
        <v>Cumple</v>
      </c>
      <c r="D14217">
        <v>2122</v>
      </c>
      <c r="E14217" t="s">
        <v>8</v>
      </c>
      <c r="F14217" s="9">
        <v>8</v>
      </c>
      <c r="G14217">
        <v>8</v>
      </c>
      <c r="H14217">
        <f t="shared" si="447"/>
        <v>0</v>
      </c>
    </row>
    <row r="14218" spans="1:8" x14ac:dyDescent="0.2">
      <c r="A14218" t="s">
        <v>7</v>
      </c>
      <c r="B14218" t="s">
        <v>34</v>
      </c>
      <c r="C14218" t="str">
        <f t="shared" si="448"/>
        <v>Cumple</v>
      </c>
      <c r="D14218">
        <v>2913</v>
      </c>
      <c r="E14218" t="s">
        <v>8</v>
      </c>
      <c r="F14218" s="9">
        <v>8</v>
      </c>
      <c r="G14218">
        <v>8</v>
      </c>
      <c r="H14218">
        <f t="shared" si="447"/>
        <v>0</v>
      </c>
    </row>
    <row r="14219" spans="1:8" x14ac:dyDescent="0.2">
      <c r="A14219" t="s">
        <v>7</v>
      </c>
      <c r="B14219" t="s">
        <v>34</v>
      </c>
      <c r="C14219" t="str">
        <f t="shared" si="448"/>
        <v>No cumple</v>
      </c>
      <c r="D14219">
        <v>3398</v>
      </c>
      <c r="E14219" t="s">
        <v>8</v>
      </c>
      <c r="F14219">
        <v>7</v>
      </c>
      <c r="G14219">
        <v>8</v>
      </c>
      <c r="H14219">
        <f t="shared" si="447"/>
        <v>-1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3399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5142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7065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Cumple</v>
      </c>
      <c r="D14223">
        <v>9228</v>
      </c>
      <c r="E14223" t="s">
        <v>8</v>
      </c>
      <c r="F14223">
        <v>7</v>
      </c>
      <c r="G14223" s="9">
        <v>6</v>
      </c>
      <c r="H14223">
        <f t="shared" si="447"/>
        <v>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9617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Cumple</v>
      </c>
      <c r="D14225">
        <v>9682</v>
      </c>
      <c r="E14225" t="s">
        <v>8</v>
      </c>
      <c r="F14225">
        <v>7</v>
      </c>
      <c r="G14225" s="9">
        <v>6</v>
      </c>
      <c r="H14225">
        <f t="shared" si="447"/>
        <v>1</v>
      </c>
    </row>
    <row r="14226" spans="1:8" x14ac:dyDescent="0.2">
      <c r="A14226" t="s">
        <v>7</v>
      </c>
      <c r="B14226" t="s">
        <v>34</v>
      </c>
      <c r="C14226" t="str">
        <f t="shared" si="448"/>
        <v>Cumple</v>
      </c>
      <c r="D14226">
        <v>9811</v>
      </c>
      <c r="E14226" t="s">
        <v>8</v>
      </c>
      <c r="F14226" s="9">
        <v>8</v>
      </c>
      <c r="G14226">
        <v>8</v>
      </c>
      <c r="H14226">
        <f t="shared" si="447"/>
        <v>0</v>
      </c>
    </row>
    <row r="14227" spans="1:8" x14ac:dyDescent="0.2">
      <c r="A14227" t="s">
        <v>7</v>
      </c>
      <c r="B14227" t="s">
        <v>34</v>
      </c>
      <c r="C14227" t="str">
        <f t="shared" si="448"/>
        <v>No cumple</v>
      </c>
      <c r="D14227">
        <v>4052</v>
      </c>
      <c r="E14227" t="s">
        <v>8</v>
      </c>
      <c r="F14227">
        <v>7</v>
      </c>
      <c r="G14227">
        <v>8</v>
      </c>
      <c r="H14227">
        <f t="shared" si="447"/>
        <v>-1</v>
      </c>
    </row>
    <row r="14228" spans="1:8" x14ac:dyDescent="0.2">
      <c r="A14228" t="s">
        <v>7</v>
      </c>
      <c r="B14228" t="s">
        <v>34</v>
      </c>
      <c r="C14228" t="str">
        <f t="shared" si="448"/>
        <v>No cumple</v>
      </c>
      <c r="D14228">
        <v>571</v>
      </c>
      <c r="E14228" t="s">
        <v>8</v>
      </c>
      <c r="F14228">
        <v>6</v>
      </c>
      <c r="G14228">
        <v>8</v>
      </c>
      <c r="H14228">
        <f t="shared" si="447"/>
        <v>-2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1549</v>
      </c>
      <c r="E14229" t="s">
        <v>8</v>
      </c>
      <c r="F14229">
        <v>6</v>
      </c>
      <c r="G14229">
        <v>8</v>
      </c>
      <c r="H14229">
        <f t="shared" si="447"/>
        <v>-2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2547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3917</v>
      </c>
      <c r="E14231" t="s">
        <v>8</v>
      </c>
      <c r="F14231">
        <v>6</v>
      </c>
      <c r="G14231">
        <v>8</v>
      </c>
      <c r="H14231">
        <f t="shared" ref="H14231:H14294" si="449">F14231-G14231</f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3960</v>
      </c>
      <c r="E14232" t="s">
        <v>8</v>
      </c>
      <c r="F14232">
        <v>6</v>
      </c>
      <c r="G14232">
        <v>8</v>
      </c>
      <c r="H14232">
        <f t="shared" si="449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9234</v>
      </c>
      <c r="E14233" t="s">
        <v>8</v>
      </c>
      <c r="F14233">
        <v>6</v>
      </c>
      <c r="G14233">
        <v>8</v>
      </c>
      <c r="H14233">
        <f t="shared" si="449"/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9472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9237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Cumple</v>
      </c>
      <c r="D14236">
        <v>4036</v>
      </c>
      <c r="E14236" t="s">
        <v>8</v>
      </c>
      <c r="F14236">
        <v>6</v>
      </c>
      <c r="G14236" s="9">
        <v>6</v>
      </c>
      <c r="H14236">
        <f t="shared" si="449"/>
        <v>0</v>
      </c>
    </row>
    <row r="14237" spans="1:8" x14ac:dyDescent="0.2">
      <c r="A14237" t="s">
        <v>7</v>
      </c>
      <c r="B14237" t="s">
        <v>34</v>
      </c>
      <c r="C14237" t="str">
        <f t="shared" si="448"/>
        <v>Cumple</v>
      </c>
      <c r="D14237">
        <v>3198</v>
      </c>
      <c r="E14237" t="s">
        <v>8</v>
      </c>
      <c r="F14237">
        <v>6</v>
      </c>
      <c r="G14237" s="9">
        <v>6</v>
      </c>
      <c r="H14237">
        <f t="shared" si="449"/>
        <v>0</v>
      </c>
    </row>
    <row r="14238" spans="1:8" x14ac:dyDescent="0.2">
      <c r="A14238" t="s">
        <v>7</v>
      </c>
      <c r="B14238" t="s">
        <v>34</v>
      </c>
      <c r="C14238" t="str">
        <f t="shared" si="448"/>
        <v>No cumple</v>
      </c>
      <c r="D14238">
        <v>4061</v>
      </c>
      <c r="E14238" t="s">
        <v>8</v>
      </c>
      <c r="F14238">
        <v>6</v>
      </c>
      <c r="G14238">
        <v>8</v>
      </c>
      <c r="H14238">
        <f t="shared" si="449"/>
        <v>-2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373</v>
      </c>
      <c r="E14239" t="s">
        <v>8</v>
      </c>
      <c r="F14239">
        <v>5</v>
      </c>
      <c r="G14239">
        <v>8</v>
      </c>
      <c r="H14239">
        <f t="shared" si="449"/>
        <v>-3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627</v>
      </c>
      <c r="E14240" t="s">
        <v>8</v>
      </c>
      <c r="F14240">
        <v>5</v>
      </c>
      <c r="G14240">
        <v>8</v>
      </c>
      <c r="H14240">
        <f t="shared" si="449"/>
        <v>-3</v>
      </c>
    </row>
    <row r="14241" spans="1:8" x14ac:dyDescent="0.2">
      <c r="A14241" t="s">
        <v>7</v>
      </c>
      <c r="B14241" t="s">
        <v>34</v>
      </c>
      <c r="C14241" t="str">
        <f t="shared" si="448"/>
        <v>Cumple</v>
      </c>
      <c r="D14241">
        <v>659</v>
      </c>
      <c r="E14241" t="s">
        <v>8</v>
      </c>
      <c r="F14241" s="39">
        <v>6</v>
      </c>
      <c r="G14241" s="9">
        <v>6</v>
      </c>
      <c r="H14241">
        <f t="shared" si="449"/>
        <v>0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680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No cumple</v>
      </c>
      <c r="D14243">
        <v>1424</v>
      </c>
      <c r="E14243" t="s">
        <v>8</v>
      </c>
      <c r="F14243">
        <v>5</v>
      </c>
      <c r="G14243">
        <v>8</v>
      </c>
      <c r="H14243">
        <f t="shared" si="449"/>
        <v>-3</v>
      </c>
    </row>
    <row r="14244" spans="1:8" x14ac:dyDescent="0.2">
      <c r="A14244" t="s">
        <v>7</v>
      </c>
      <c r="B14244" t="s">
        <v>34</v>
      </c>
      <c r="C14244" t="str">
        <f t="shared" si="448"/>
        <v>No cumple</v>
      </c>
      <c r="D14244">
        <v>1790</v>
      </c>
      <c r="E14244" t="s">
        <v>8</v>
      </c>
      <c r="F14244">
        <v>5</v>
      </c>
      <c r="G14244">
        <v>8</v>
      </c>
      <c r="H14244">
        <f t="shared" si="449"/>
        <v>-3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2030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2135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2235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2321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2746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3349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5023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9226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9561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9636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1543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591</v>
      </c>
      <c r="E14256" t="s">
        <v>8</v>
      </c>
      <c r="F14256">
        <v>4</v>
      </c>
      <c r="G14256">
        <v>8</v>
      </c>
      <c r="H14256">
        <f t="shared" si="449"/>
        <v>-4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675</v>
      </c>
      <c r="E14257" t="s">
        <v>8</v>
      </c>
      <c r="F14257">
        <v>4</v>
      </c>
      <c r="G14257">
        <v>8</v>
      </c>
      <c r="H14257">
        <f t="shared" si="449"/>
        <v>-4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2039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2186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2727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3593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9241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9642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3980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529</v>
      </c>
      <c r="E14265" t="s">
        <v>8</v>
      </c>
      <c r="F14265">
        <v>3</v>
      </c>
      <c r="G14265">
        <v>8</v>
      </c>
      <c r="H14265">
        <f t="shared" si="449"/>
        <v>-5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1779</v>
      </c>
      <c r="E14266" t="s">
        <v>8</v>
      </c>
      <c r="F14266">
        <v>3</v>
      </c>
      <c r="G14266">
        <v>8</v>
      </c>
      <c r="H14266">
        <f t="shared" si="449"/>
        <v>-5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2047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2441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2479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2512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2631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2790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2808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2928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3557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ref="C14276:C14339" si="450">IF(H14276&gt;=0,"Cumple","No cumple")</f>
        <v>No cumple</v>
      </c>
      <c r="D14276">
        <v>3719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50"/>
        <v>No cumple</v>
      </c>
      <c r="D14277">
        <v>3858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si="450"/>
        <v>No cumple</v>
      </c>
      <c r="D14278">
        <v>3900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3929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3940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9220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9224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9470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9471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9715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9868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301</v>
      </c>
      <c r="E14287" t="s">
        <v>8</v>
      </c>
      <c r="F14287">
        <v>2</v>
      </c>
      <c r="G14287">
        <v>8</v>
      </c>
      <c r="H14287">
        <f t="shared" si="449"/>
        <v>-6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517</v>
      </c>
      <c r="E14288" t="s">
        <v>8</v>
      </c>
      <c r="F14288">
        <v>2</v>
      </c>
      <c r="G14288">
        <v>8</v>
      </c>
      <c r="H14288">
        <f t="shared" si="449"/>
        <v>-6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541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692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828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1406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2005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2006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2031</v>
      </c>
      <c r="E14295" t="s">
        <v>8</v>
      </c>
      <c r="F14295">
        <v>2</v>
      </c>
      <c r="G14295">
        <v>8</v>
      </c>
      <c r="H14295">
        <f t="shared" ref="H14295:H14358" si="451">F14295-G14295</f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2197</v>
      </c>
      <c r="E14296" t="s">
        <v>8</v>
      </c>
      <c r="F14296">
        <v>2</v>
      </c>
      <c r="G14296">
        <v>8</v>
      </c>
      <c r="H14296">
        <f t="shared" si="451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2218</v>
      </c>
      <c r="E14297" t="s">
        <v>8</v>
      </c>
      <c r="F14297">
        <v>2</v>
      </c>
      <c r="G14297">
        <v>8</v>
      </c>
      <c r="H14297">
        <f t="shared" si="451"/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2221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2308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2367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2390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2501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Cumple</v>
      </c>
      <c r="D14303">
        <v>2672</v>
      </c>
      <c r="E14303" t="s">
        <v>8</v>
      </c>
      <c r="F14303" s="9">
        <v>6</v>
      </c>
      <c r="G14303" s="9">
        <v>6</v>
      </c>
      <c r="H14303">
        <f t="shared" si="451"/>
        <v>0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2720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No cumple</v>
      </c>
      <c r="D14305">
        <v>2916</v>
      </c>
      <c r="E14305" t="s">
        <v>8</v>
      </c>
      <c r="F14305">
        <v>2</v>
      </c>
      <c r="G14305">
        <v>8</v>
      </c>
      <c r="H14305">
        <f t="shared" si="451"/>
        <v>-6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3368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3585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3629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7027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9159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9161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9320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3990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3991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2923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349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315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4063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4080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307</v>
      </c>
      <c r="E14320" t="s">
        <v>8</v>
      </c>
      <c r="F14320">
        <v>1</v>
      </c>
      <c r="G14320">
        <v>8</v>
      </c>
      <c r="H14320">
        <f t="shared" si="451"/>
        <v>-7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365</v>
      </c>
      <c r="E14321" t="s">
        <v>8</v>
      </c>
      <c r="F14321">
        <v>1</v>
      </c>
      <c r="G14321">
        <v>8</v>
      </c>
      <c r="H14321">
        <f t="shared" si="451"/>
        <v>-7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523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684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761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797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953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1713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1718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1785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1786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2082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2102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2104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2190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2331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2581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2586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2763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2836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ref="C14340:C14403" si="452">IF(H14340&gt;=0,"Cumple","No cumple")</f>
        <v>No cumple</v>
      </c>
      <c r="D14340">
        <v>3049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2"/>
        <v>No cumple</v>
      </c>
      <c r="D14341">
        <v>3381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si="452"/>
        <v>No cumple</v>
      </c>
      <c r="D14342">
        <v>3453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3575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3630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3799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3802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3880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Cumple</v>
      </c>
      <c r="D14348">
        <v>3943</v>
      </c>
      <c r="E14348" t="s">
        <v>8</v>
      </c>
      <c r="F14348" s="9">
        <v>8</v>
      </c>
      <c r="G14348">
        <v>8</v>
      </c>
      <c r="H14348">
        <f t="shared" si="451"/>
        <v>0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3962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3967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7602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9031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9071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9074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9131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9174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9231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9329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9484</v>
      </c>
      <c r="E14359" t="s">
        <v>8</v>
      </c>
      <c r="F14359">
        <v>1</v>
      </c>
      <c r="G14359">
        <v>8</v>
      </c>
      <c r="H14359">
        <f t="shared" ref="H14359:H14422" si="453">F14359-G14359</f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9641</v>
      </c>
      <c r="E14360" t="s">
        <v>8</v>
      </c>
      <c r="F14360">
        <v>1</v>
      </c>
      <c r="G14360">
        <v>8</v>
      </c>
      <c r="H14360">
        <f t="shared" si="453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9740</v>
      </c>
      <c r="E14361" t="s">
        <v>8</v>
      </c>
      <c r="F14361">
        <v>1</v>
      </c>
      <c r="G14361">
        <v>8</v>
      </c>
      <c r="H14361">
        <f t="shared" si="453"/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9839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9973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2905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1836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4062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4064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4077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4082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18</v>
      </c>
      <c r="B14370" t="s">
        <v>34</v>
      </c>
      <c r="C14370" t="str">
        <f t="shared" si="452"/>
        <v>No cumple</v>
      </c>
      <c r="D14370">
        <v>208</v>
      </c>
      <c r="E14370" t="s">
        <v>8</v>
      </c>
      <c r="F14370">
        <v>0</v>
      </c>
      <c r="G14370">
        <v>8</v>
      </c>
      <c r="H14370">
        <f t="shared" si="453"/>
        <v>-8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234</v>
      </c>
      <c r="E14371" t="s">
        <v>8</v>
      </c>
      <c r="F14371">
        <v>0</v>
      </c>
      <c r="G14371">
        <v>8</v>
      </c>
      <c r="H14371">
        <f t="shared" si="453"/>
        <v>-8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331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18</v>
      </c>
      <c r="B14373" t="s">
        <v>34</v>
      </c>
      <c r="C14373" t="str">
        <f t="shared" si="452"/>
        <v>No cumple</v>
      </c>
      <c r="D14373">
        <v>361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7</v>
      </c>
      <c r="B14374" t="s">
        <v>34</v>
      </c>
      <c r="C14374" t="str">
        <f t="shared" si="452"/>
        <v>No cumple</v>
      </c>
      <c r="D14374">
        <v>479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504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18</v>
      </c>
      <c r="B14376" t="s">
        <v>34</v>
      </c>
      <c r="C14376" t="str">
        <f t="shared" si="452"/>
        <v>No cumple</v>
      </c>
      <c r="D14376">
        <v>515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539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7</v>
      </c>
      <c r="B14378" t="s">
        <v>34</v>
      </c>
      <c r="C14378" t="str">
        <f t="shared" si="452"/>
        <v>No cumple</v>
      </c>
      <c r="D14378">
        <v>557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7</v>
      </c>
      <c r="B14379" t="s">
        <v>34</v>
      </c>
      <c r="C14379" t="str">
        <f t="shared" si="452"/>
        <v>No cumple</v>
      </c>
      <c r="D14379">
        <v>559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658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666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18</v>
      </c>
      <c r="B14382" t="s">
        <v>34</v>
      </c>
      <c r="C14382" t="str">
        <f t="shared" si="452"/>
        <v>No cumple</v>
      </c>
      <c r="D14382">
        <v>748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18</v>
      </c>
      <c r="B14383" t="s">
        <v>34</v>
      </c>
      <c r="C14383" t="str">
        <f t="shared" si="452"/>
        <v>No cumple</v>
      </c>
      <c r="D14383">
        <v>1573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7</v>
      </c>
      <c r="B14384" t="s">
        <v>34</v>
      </c>
      <c r="C14384" t="str">
        <f t="shared" si="452"/>
        <v>No cumple</v>
      </c>
      <c r="D14384">
        <v>1714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7</v>
      </c>
      <c r="B14385" t="s">
        <v>34</v>
      </c>
      <c r="C14385" t="str">
        <f t="shared" si="452"/>
        <v>No cumple</v>
      </c>
      <c r="D14385">
        <v>1826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19</v>
      </c>
      <c r="B14386" t="s">
        <v>34</v>
      </c>
      <c r="C14386" t="str">
        <f t="shared" si="452"/>
        <v>No cumple</v>
      </c>
      <c r="D14386">
        <v>1827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18</v>
      </c>
      <c r="B14387" t="s">
        <v>34</v>
      </c>
      <c r="C14387" t="str">
        <f t="shared" si="452"/>
        <v>Cumple</v>
      </c>
      <c r="D14387">
        <v>1854</v>
      </c>
      <c r="E14387" t="s">
        <v>8</v>
      </c>
      <c r="F14387" s="9">
        <v>8</v>
      </c>
      <c r="G14387">
        <v>8</v>
      </c>
      <c r="H14387">
        <f t="shared" si="453"/>
        <v>0</v>
      </c>
    </row>
    <row r="14388" spans="1:8" x14ac:dyDescent="0.2">
      <c r="A14388" t="s">
        <v>7</v>
      </c>
      <c r="B14388" t="s">
        <v>34</v>
      </c>
      <c r="C14388" t="str">
        <f t="shared" si="452"/>
        <v>No cumple</v>
      </c>
      <c r="D14388">
        <v>1981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7</v>
      </c>
      <c r="B14389" t="s">
        <v>34</v>
      </c>
      <c r="C14389" t="str">
        <f t="shared" si="452"/>
        <v>No cumple</v>
      </c>
      <c r="D14389">
        <v>2051</v>
      </c>
      <c r="E14389" t="s">
        <v>8</v>
      </c>
      <c r="F14389">
        <v>0</v>
      </c>
      <c r="G14389">
        <v>8</v>
      </c>
      <c r="H14389">
        <f t="shared" si="453"/>
        <v>-8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2098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19</v>
      </c>
      <c r="B14391" t="s">
        <v>34</v>
      </c>
      <c r="C14391" t="str">
        <f t="shared" si="452"/>
        <v>No cumple</v>
      </c>
      <c r="D14391">
        <v>2163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2227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18</v>
      </c>
      <c r="B14393" t="s">
        <v>34</v>
      </c>
      <c r="C14393" t="str">
        <f t="shared" si="452"/>
        <v>No cumple</v>
      </c>
      <c r="D14393">
        <v>2239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2322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7</v>
      </c>
      <c r="B14395" t="s">
        <v>34</v>
      </c>
      <c r="C14395" t="str">
        <f t="shared" si="452"/>
        <v>No cumple</v>
      </c>
      <c r="D14395">
        <v>2341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18</v>
      </c>
      <c r="B14396" t="s">
        <v>34</v>
      </c>
      <c r="C14396" t="str">
        <f t="shared" si="452"/>
        <v>No cumple</v>
      </c>
      <c r="D14396">
        <v>2364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18</v>
      </c>
      <c r="B14397" t="s">
        <v>34</v>
      </c>
      <c r="C14397" t="str">
        <f t="shared" si="452"/>
        <v>No cumple</v>
      </c>
      <c r="D14397">
        <v>2395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2421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7</v>
      </c>
      <c r="B14399" t="s">
        <v>34</v>
      </c>
      <c r="C14399" t="str">
        <f t="shared" si="452"/>
        <v>No cumple</v>
      </c>
      <c r="D14399">
        <v>2463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7</v>
      </c>
      <c r="B14400" t="s">
        <v>34</v>
      </c>
      <c r="C14400" t="str">
        <f t="shared" si="452"/>
        <v>No cumple</v>
      </c>
      <c r="D14400">
        <v>2546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2626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18</v>
      </c>
      <c r="B14402" t="s">
        <v>34</v>
      </c>
      <c r="C14402" t="str">
        <f t="shared" si="452"/>
        <v>No cumple</v>
      </c>
      <c r="D14402">
        <v>2649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2753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7</v>
      </c>
      <c r="B14404" t="s">
        <v>34</v>
      </c>
      <c r="C14404" t="str">
        <f t="shared" ref="C14404:C14467" si="454">IF(H14404&gt;=0,"Cumple","No cumple")</f>
        <v>No cumple</v>
      </c>
      <c r="D14404">
        <v>2755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4"/>
        <v>No cumple</v>
      </c>
      <c r="D14405">
        <v>2766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18</v>
      </c>
      <c r="B14406" t="s">
        <v>34</v>
      </c>
      <c r="C14406" t="str">
        <f t="shared" si="454"/>
        <v>No cumple</v>
      </c>
      <c r="D14406">
        <v>2784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19</v>
      </c>
      <c r="B14407" t="s">
        <v>34</v>
      </c>
      <c r="C14407" t="str">
        <f t="shared" si="454"/>
        <v>No cumple</v>
      </c>
      <c r="D14407">
        <v>2795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2815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18</v>
      </c>
      <c r="B14409" t="s">
        <v>34</v>
      </c>
      <c r="C14409" t="str">
        <f t="shared" si="454"/>
        <v>No cumple</v>
      </c>
      <c r="D14409">
        <v>2871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2910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7</v>
      </c>
      <c r="B14411" t="s">
        <v>34</v>
      </c>
      <c r="C14411" t="str">
        <f t="shared" si="454"/>
        <v>No cumple</v>
      </c>
      <c r="D14411">
        <v>2912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3373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3458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3513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18</v>
      </c>
      <c r="B14415" t="s">
        <v>34</v>
      </c>
      <c r="C14415" t="str">
        <f t="shared" si="454"/>
        <v>No cumple</v>
      </c>
      <c r="D14415">
        <v>3547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19</v>
      </c>
      <c r="B14416" t="s">
        <v>34</v>
      </c>
      <c r="C14416" t="str">
        <f t="shared" si="454"/>
        <v>No cumple</v>
      </c>
      <c r="D14416">
        <v>3555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7</v>
      </c>
      <c r="B14417" t="s">
        <v>34</v>
      </c>
      <c r="C14417" t="str">
        <f t="shared" si="454"/>
        <v>No cumple</v>
      </c>
      <c r="D14417">
        <v>3559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18</v>
      </c>
      <c r="B14418" t="s">
        <v>34</v>
      </c>
      <c r="C14418" t="str">
        <f t="shared" si="454"/>
        <v>No cumple</v>
      </c>
      <c r="D14418">
        <v>3572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18</v>
      </c>
      <c r="B14419" t="s">
        <v>34</v>
      </c>
      <c r="C14419" t="str">
        <f t="shared" si="454"/>
        <v>No cumple</v>
      </c>
      <c r="D14419">
        <v>3628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7</v>
      </c>
      <c r="B14420" t="s">
        <v>34</v>
      </c>
      <c r="C14420" t="str">
        <f t="shared" si="454"/>
        <v>No cumple</v>
      </c>
      <c r="D14420">
        <v>3655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7</v>
      </c>
      <c r="B14421" t="s">
        <v>34</v>
      </c>
      <c r="C14421" t="str">
        <f t="shared" si="454"/>
        <v>No cumple</v>
      </c>
      <c r="D14421">
        <v>3659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18</v>
      </c>
      <c r="B14422" t="s">
        <v>34</v>
      </c>
      <c r="C14422" t="str">
        <f t="shared" si="454"/>
        <v>No cumple</v>
      </c>
      <c r="D14422">
        <v>3700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19</v>
      </c>
      <c r="B14423" t="s">
        <v>34</v>
      </c>
      <c r="C14423" t="str">
        <f t="shared" si="454"/>
        <v>No cumple</v>
      </c>
      <c r="D14423">
        <v>3778</v>
      </c>
      <c r="E14423" t="s">
        <v>8</v>
      </c>
      <c r="F14423">
        <v>0</v>
      </c>
      <c r="G14423">
        <v>8</v>
      </c>
      <c r="H14423">
        <f t="shared" ref="H14423:H14486" si="455">F14423-G14423</f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3780</v>
      </c>
      <c r="E14424" t="s">
        <v>8</v>
      </c>
      <c r="F14424">
        <v>0</v>
      </c>
      <c r="G14424">
        <v>8</v>
      </c>
      <c r="H14424">
        <f t="shared" si="455"/>
        <v>-8</v>
      </c>
    </row>
    <row r="14425" spans="1:8" x14ac:dyDescent="0.2">
      <c r="A14425" t="s">
        <v>18</v>
      </c>
      <c r="B14425" t="s">
        <v>34</v>
      </c>
      <c r="C14425" t="str">
        <f t="shared" si="454"/>
        <v>No cumple</v>
      </c>
      <c r="D14425">
        <v>3820</v>
      </c>
      <c r="E14425" t="s">
        <v>8</v>
      </c>
      <c r="F14425">
        <v>0</v>
      </c>
      <c r="G14425">
        <v>8</v>
      </c>
      <c r="H14425">
        <f t="shared" si="455"/>
        <v>-8</v>
      </c>
    </row>
    <row r="14426" spans="1:8" x14ac:dyDescent="0.2">
      <c r="A14426" t="s">
        <v>19</v>
      </c>
      <c r="B14426" t="s">
        <v>34</v>
      </c>
      <c r="C14426" t="str">
        <f t="shared" si="454"/>
        <v>No cumple</v>
      </c>
      <c r="D14426">
        <v>3856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3857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7</v>
      </c>
      <c r="B14428" t="s">
        <v>34</v>
      </c>
      <c r="C14428" t="str">
        <f t="shared" si="454"/>
        <v>No cumple</v>
      </c>
      <c r="D14428">
        <v>3875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3898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18</v>
      </c>
      <c r="B14430" t="s">
        <v>34</v>
      </c>
      <c r="C14430" t="str">
        <f t="shared" si="454"/>
        <v>No cumple</v>
      </c>
      <c r="D14430">
        <v>3901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7</v>
      </c>
      <c r="B14431" t="s">
        <v>34</v>
      </c>
      <c r="C14431" t="str">
        <f t="shared" si="454"/>
        <v>No cumple</v>
      </c>
      <c r="D14431">
        <v>3902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7</v>
      </c>
      <c r="B14432" t="s">
        <v>34</v>
      </c>
      <c r="C14432" t="str">
        <f t="shared" si="454"/>
        <v>No cumple</v>
      </c>
      <c r="D14432">
        <v>3904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3909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3916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18</v>
      </c>
      <c r="B14435" t="s">
        <v>34</v>
      </c>
      <c r="C14435" t="str">
        <f t="shared" si="454"/>
        <v>No cumple</v>
      </c>
      <c r="D14435">
        <v>3919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3942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3944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18</v>
      </c>
      <c r="B14438" t="s">
        <v>34</v>
      </c>
      <c r="C14438" t="str">
        <f t="shared" si="454"/>
        <v>No cumple</v>
      </c>
      <c r="D14438">
        <v>3965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19</v>
      </c>
      <c r="B14439" t="s">
        <v>34</v>
      </c>
      <c r="C14439" t="str">
        <f t="shared" si="454"/>
        <v>No cumple</v>
      </c>
      <c r="D14439">
        <v>3968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7</v>
      </c>
      <c r="B14440" t="s">
        <v>34</v>
      </c>
      <c r="C14440" t="str">
        <f t="shared" si="454"/>
        <v>No cumple</v>
      </c>
      <c r="D14440">
        <v>5002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7</v>
      </c>
      <c r="B14441" t="s">
        <v>34</v>
      </c>
      <c r="C14441" t="str">
        <f t="shared" si="454"/>
        <v>No cumple</v>
      </c>
      <c r="D14441">
        <v>5130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9022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18</v>
      </c>
      <c r="B14443" t="s">
        <v>34</v>
      </c>
      <c r="C14443" t="str">
        <f t="shared" si="454"/>
        <v>No cumple</v>
      </c>
      <c r="D14443">
        <v>9072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18</v>
      </c>
      <c r="B14444" t="s">
        <v>34</v>
      </c>
      <c r="C14444" t="str">
        <f t="shared" si="454"/>
        <v>No cumple</v>
      </c>
      <c r="D14444">
        <v>9082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9114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9119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7</v>
      </c>
      <c r="B14447" t="s">
        <v>34</v>
      </c>
      <c r="C14447" t="str">
        <f t="shared" si="454"/>
        <v>No cumple</v>
      </c>
      <c r="D14447">
        <v>9121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7</v>
      </c>
      <c r="B14448" t="s">
        <v>34</v>
      </c>
      <c r="C14448" t="str">
        <f t="shared" si="454"/>
        <v>No cumple</v>
      </c>
      <c r="D14448">
        <v>9139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9177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18</v>
      </c>
      <c r="B14450" t="s">
        <v>34</v>
      </c>
      <c r="C14450" t="str">
        <f t="shared" si="454"/>
        <v>No cumple</v>
      </c>
      <c r="D14450">
        <v>9190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18</v>
      </c>
      <c r="B14451" t="s">
        <v>34</v>
      </c>
      <c r="C14451" t="str">
        <f t="shared" si="454"/>
        <v>No cumple</v>
      </c>
      <c r="D14451">
        <v>9200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7</v>
      </c>
      <c r="B14452" t="s">
        <v>34</v>
      </c>
      <c r="C14452" t="str">
        <f t="shared" si="454"/>
        <v>No cumple</v>
      </c>
      <c r="D14452">
        <v>9218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9317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19</v>
      </c>
      <c r="B14454" t="s">
        <v>34</v>
      </c>
      <c r="C14454" t="str">
        <f t="shared" si="454"/>
        <v>No cumple</v>
      </c>
      <c r="D14454">
        <v>9340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7</v>
      </c>
      <c r="B14455" t="s">
        <v>34</v>
      </c>
      <c r="C14455" t="str">
        <f t="shared" si="454"/>
        <v>No cumple</v>
      </c>
      <c r="D14455">
        <v>9364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7</v>
      </c>
      <c r="B14456" t="s">
        <v>34</v>
      </c>
      <c r="C14456" t="str">
        <f t="shared" si="454"/>
        <v>No cumple</v>
      </c>
      <c r="D14456">
        <v>9365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19</v>
      </c>
      <c r="B14457" t="s">
        <v>34</v>
      </c>
      <c r="C14457" t="str">
        <f t="shared" si="454"/>
        <v>No cumple</v>
      </c>
      <c r="D14457">
        <v>9426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9468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7</v>
      </c>
      <c r="B14459" t="s">
        <v>34</v>
      </c>
      <c r="C14459" t="str">
        <f t="shared" si="454"/>
        <v>No cumple</v>
      </c>
      <c r="D14459">
        <v>9548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18</v>
      </c>
      <c r="B14460" t="s">
        <v>34</v>
      </c>
      <c r="C14460" t="str">
        <f t="shared" si="454"/>
        <v>No cumple</v>
      </c>
      <c r="D14460">
        <v>9609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18</v>
      </c>
      <c r="B14461" t="s">
        <v>34</v>
      </c>
      <c r="C14461" t="str">
        <f t="shared" si="454"/>
        <v>No cumple</v>
      </c>
      <c r="D14461">
        <v>9669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9670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7</v>
      </c>
      <c r="B14463" t="s">
        <v>34</v>
      </c>
      <c r="C14463" t="str">
        <f t="shared" si="454"/>
        <v>No cumple</v>
      </c>
      <c r="D14463">
        <v>9701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7</v>
      </c>
      <c r="B14464" t="s">
        <v>34</v>
      </c>
      <c r="C14464" t="str">
        <f t="shared" si="454"/>
        <v>No cumple</v>
      </c>
      <c r="D14464">
        <v>9726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18</v>
      </c>
      <c r="B14465" t="s">
        <v>34</v>
      </c>
      <c r="C14465" t="str">
        <f t="shared" si="454"/>
        <v>No cumple</v>
      </c>
      <c r="D14465">
        <v>9794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19</v>
      </c>
      <c r="B14466" t="s">
        <v>34</v>
      </c>
      <c r="C14466" t="str">
        <f t="shared" si="454"/>
        <v>No cumple</v>
      </c>
      <c r="D14466">
        <v>9828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9843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7</v>
      </c>
      <c r="B14468" t="s">
        <v>34</v>
      </c>
      <c r="C14468" t="str">
        <f t="shared" ref="C14468:C14531" si="456">IF(H14468&gt;=0,"Cumple","No cumple")</f>
        <v>No cumple</v>
      </c>
      <c r="D14468">
        <v>9844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6"/>
        <v>No cumple</v>
      </c>
      <c r="D14469">
        <v>9850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18</v>
      </c>
      <c r="B14470" t="s">
        <v>34</v>
      </c>
      <c r="C14470" t="str">
        <f t="shared" si="456"/>
        <v>No cumple</v>
      </c>
      <c r="D14470">
        <v>9916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7</v>
      </c>
      <c r="B14471" t="s">
        <v>34</v>
      </c>
      <c r="C14471" t="str">
        <f t="shared" si="456"/>
        <v>No cumple</v>
      </c>
      <c r="D14471">
        <v>9943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7</v>
      </c>
      <c r="B14472" t="s">
        <v>34</v>
      </c>
      <c r="C14472" t="str">
        <f t="shared" si="456"/>
        <v>No cumple</v>
      </c>
      <c r="D14472">
        <v>3592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19</v>
      </c>
      <c r="B14473" t="s">
        <v>34</v>
      </c>
      <c r="C14473" t="str">
        <f t="shared" si="456"/>
        <v>No cumple</v>
      </c>
      <c r="D14473">
        <v>9824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19</v>
      </c>
      <c r="B14474" t="s">
        <v>34</v>
      </c>
      <c r="C14474" t="str">
        <f t="shared" si="456"/>
        <v>No cumple</v>
      </c>
      <c r="D14474">
        <v>9060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7</v>
      </c>
      <c r="B14475" t="s">
        <v>34</v>
      </c>
      <c r="C14475" t="str">
        <f t="shared" si="456"/>
        <v>No cumple</v>
      </c>
      <c r="D14475">
        <v>3976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7</v>
      </c>
      <c r="B14476" t="s">
        <v>34</v>
      </c>
      <c r="C14476" t="str">
        <f t="shared" si="456"/>
        <v>No cumple</v>
      </c>
      <c r="D14476">
        <v>3977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19</v>
      </c>
      <c r="B14477" t="s">
        <v>34</v>
      </c>
      <c r="C14477" t="str">
        <f t="shared" si="456"/>
        <v>No cumple</v>
      </c>
      <c r="D14477">
        <v>3992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19</v>
      </c>
      <c r="B14478" t="s">
        <v>34</v>
      </c>
      <c r="C14478" t="str">
        <f t="shared" si="456"/>
        <v>No cumple</v>
      </c>
      <c r="D14478">
        <v>3993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7</v>
      </c>
      <c r="B14479" t="s">
        <v>34</v>
      </c>
      <c r="C14479" t="str">
        <f t="shared" si="456"/>
        <v>No cumple</v>
      </c>
      <c r="D14479">
        <v>3995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18</v>
      </c>
      <c r="B14480" t="s">
        <v>34</v>
      </c>
      <c r="C14480" t="str">
        <f t="shared" si="456"/>
        <v>No cumple</v>
      </c>
      <c r="D14480">
        <v>4031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18</v>
      </c>
      <c r="B14481" t="s">
        <v>34</v>
      </c>
      <c r="C14481" t="str">
        <f t="shared" si="456"/>
        <v>No cumple</v>
      </c>
      <c r="D14481">
        <v>2194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19</v>
      </c>
      <c r="B14482" t="s">
        <v>34</v>
      </c>
      <c r="C14482" t="str">
        <f t="shared" si="456"/>
        <v>No cumple</v>
      </c>
      <c r="D14482">
        <v>1604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3989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18</v>
      </c>
      <c r="B14484" t="s">
        <v>34</v>
      </c>
      <c r="C14484" t="str">
        <f t="shared" si="456"/>
        <v>No cumple</v>
      </c>
      <c r="D14484">
        <v>4037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4038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19</v>
      </c>
      <c r="B14486" t="s">
        <v>34</v>
      </c>
      <c r="C14486" t="str">
        <f t="shared" si="456"/>
        <v>No cumple</v>
      </c>
      <c r="D14486">
        <v>4040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7</v>
      </c>
      <c r="B14487" t="s">
        <v>34</v>
      </c>
      <c r="C14487" t="str">
        <f t="shared" si="456"/>
        <v>No cumple</v>
      </c>
      <c r="D14487">
        <v>2724</v>
      </c>
      <c r="E14487" t="s">
        <v>8</v>
      </c>
      <c r="F14487">
        <v>0</v>
      </c>
      <c r="G14487">
        <v>8</v>
      </c>
      <c r="H14487">
        <f t="shared" ref="H14487:H14505" si="457">F14487-G14487</f>
        <v>-8</v>
      </c>
    </row>
    <row r="14488" spans="1:8" x14ac:dyDescent="0.2">
      <c r="A14488" t="s">
        <v>18</v>
      </c>
      <c r="B14488" t="s">
        <v>34</v>
      </c>
      <c r="C14488" t="str">
        <f t="shared" si="456"/>
        <v>No cumple</v>
      </c>
      <c r="D14488">
        <v>9880</v>
      </c>
      <c r="E14488" t="s">
        <v>8</v>
      </c>
      <c r="F14488">
        <v>0</v>
      </c>
      <c r="G14488">
        <v>8</v>
      </c>
      <c r="H14488">
        <f t="shared" si="457"/>
        <v>-8</v>
      </c>
    </row>
    <row r="14489" spans="1:8" x14ac:dyDescent="0.2">
      <c r="A14489" t="s">
        <v>19</v>
      </c>
      <c r="B14489" t="s">
        <v>34</v>
      </c>
      <c r="C14489" t="str">
        <f t="shared" si="456"/>
        <v>No cumple</v>
      </c>
      <c r="D14489">
        <v>1781</v>
      </c>
      <c r="E14489" t="s">
        <v>8</v>
      </c>
      <c r="F14489">
        <v>0</v>
      </c>
      <c r="G14489">
        <v>8</v>
      </c>
      <c r="H14489">
        <f t="shared" si="457"/>
        <v>-8</v>
      </c>
    </row>
    <row r="14490" spans="1:8" x14ac:dyDescent="0.2">
      <c r="A14490" t="s">
        <v>7</v>
      </c>
      <c r="B14490" t="s">
        <v>34</v>
      </c>
      <c r="C14490" t="str">
        <f t="shared" si="456"/>
        <v>No cumple</v>
      </c>
      <c r="D14490">
        <v>987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7</v>
      </c>
      <c r="B14491" t="s">
        <v>34</v>
      </c>
      <c r="C14491" t="str">
        <f t="shared" si="456"/>
        <v>No cumple</v>
      </c>
      <c r="D14491">
        <v>2099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9708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4046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18</v>
      </c>
      <c r="B14494" t="s">
        <v>34</v>
      </c>
      <c r="C14494" t="str">
        <f t="shared" si="456"/>
        <v>No cumple</v>
      </c>
      <c r="D14494">
        <v>4047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18</v>
      </c>
      <c r="B14495" t="s">
        <v>34</v>
      </c>
      <c r="C14495" t="str">
        <f t="shared" si="456"/>
        <v>No cumple</v>
      </c>
      <c r="D14495">
        <v>4048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4051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7</v>
      </c>
      <c r="B14497" t="s">
        <v>34</v>
      </c>
      <c r="C14497" t="str">
        <f t="shared" si="456"/>
        <v>No cumple</v>
      </c>
      <c r="D14497">
        <v>4053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2647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3859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9848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18</v>
      </c>
      <c r="B14501" t="s">
        <v>34</v>
      </c>
      <c r="C14501" t="str">
        <f t="shared" si="456"/>
        <v>No cumple</v>
      </c>
      <c r="D14501">
        <v>9791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7</v>
      </c>
      <c r="B14502" t="s">
        <v>34</v>
      </c>
      <c r="C14502" t="str">
        <f t="shared" si="456"/>
        <v>No cumple</v>
      </c>
      <c r="D14502">
        <v>4076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7</v>
      </c>
      <c r="B14503" t="s">
        <v>34</v>
      </c>
      <c r="C14503" t="str">
        <f t="shared" si="456"/>
        <v>No cumple</v>
      </c>
      <c r="D14503">
        <v>4078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18</v>
      </c>
      <c r="B14504" t="s">
        <v>34</v>
      </c>
      <c r="C14504" t="str">
        <f t="shared" si="456"/>
        <v>No cumple</v>
      </c>
      <c r="D14504">
        <v>4079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18</v>
      </c>
      <c r="B14505" t="s">
        <v>34</v>
      </c>
      <c r="C14505" t="str">
        <f t="shared" si="456"/>
        <v>No cumple</v>
      </c>
      <c r="D14505">
        <v>4081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7</v>
      </c>
      <c r="B14506" t="s">
        <v>34</v>
      </c>
      <c r="C14506" t="str">
        <f t="shared" si="456"/>
        <v>Cumple</v>
      </c>
      <c r="D14506">
        <v>9360</v>
      </c>
      <c r="E14506" t="s">
        <v>11</v>
      </c>
      <c r="F14506">
        <v>54</v>
      </c>
      <c r="G14506">
        <v>20</v>
      </c>
      <c r="H14506">
        <f>F14506-G14506</f>
        <v>34</v>
      </c>
    </row>
    <row r="14507" spans="1:8" x14ac:dyDescent="0.2">
      <c r="A14507" t="s">
        <v>7</v>
      </c>
      <c r="B14507" t="s">
        <v>34</v>
      </c>
      <c r="C14507" t="str">
        <f t="shared" si="456"/>
        <v>Cumple</v>
      </c>
      <c r="D14507">
        <v>3460</v>
      </c>
      <c r="E14507" t="s">
        <v>11</v>
      </c>
      <c r="F14507">
        <v>47</v>
      </c>
      <c r="G14507">
        <v>20</v>
      </c>
      <c r="H14507">
        <f t="shared" ref="H14507:H14570" si="458">F14507-G14507</f>
        <v>27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952</v>
      </c>
      <c r="E14508" t="s">
        <v>12</v>
      </c>
      <c r="F14508">
        <v>45</v>
      </c>
      <c r="G14508">
        <v>20</v>
      </c>
      <c r="H14508">
        <f t="shared" si="458"/>
        <v>25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1537</v>
      </c>
      <c r="E14509" t="s">
        <v>11</v>
      </c>
      <c r="F14509">
        <v>43</v>
      </c>
      <c r="G14509">
        <v>20</v>
      </c>
      <c r="H14509">
        <f t="shared" si="458"/>
        <v>23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3047</v>
      </c>
      <c r="E14510" t="s">
        <v>10</v>
      </c>
      <c r="F14510">
        <v>43</v>
      </c>
      <c r="G14510">
        <v>20</v>
      </c>
      <c r="H14510">
        <f t="shared" si="458"/>
        <v>23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3683</v>
      </c>
      <c r="E14511" t="s">
        <v>11</v>
      </c>
      <c r="F14511">
        <v>40</v>
      </c>
      <c r="G14511">
        <v>20</v>
      </c>
      <c r="H14511">
        <f t="shared" si="458"/>
        <v>20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3726</v>
      </c>
      <c r="E14512" t="s">
        <v>11</v>
      </c>
      <c r="F14512">
        <v>40</v>
      </c>
      <c r="G14512">
        <v>20</v>
      </c>
      <c r="H14512">
        <f t="shared" si="458"/>
        <v>20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9245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9892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3950</v>
      </c>
      <c r="E14515" t="s">
        <v>11</v>
      </c>
      <c r="F14515">
        <v>39</v>
      </c>
      <c r="G14515">
        <v>20</v>
      </c>
      <c r="H14515">
        <f t="shared" si="458"/>
        <v>19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9633</v>
      </c>
      <c r="E14516" t="s">
        <v>11</v>
      </c>
      <c r="F14516">
        <v>39</v>
      </c>
      <c r="G14516">
        <v>20</v>
      </c>
      <c r="H14516">
        <f t="shared" si="458"/>
        <v>19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9875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9982</v>
      </c>
      <c r="E14518" t="s">
        <v>10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1844</v>
      </c>
      <c r="E14519" t="s">
        <v>12</v>
      </c>
      <c r="F14519">
        <v>38</v>
      </c>
      <c r="G14519">
        <v>20</v>
      </c>
      <c r="H14519">
        <f t="shared" si="458"/>
        <v>18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3938</v>
      </c>
      <c r="E14520" t="s">
        <v>11</v>
      </c>
      <c r="F14520">
        <v>38</v>
      </c>
      <c r="G14520">
        <v>20</v>
      </c>
      <c r="H14520">
        <f t="shared" si="458"/>
        <v>18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9431</v>
      </c>
      <c r="E14521" t="s">
        <v>12</v>
      </c>
      <c r="F14521">
        <v>37</v>
      </c>
      <c r="G14521">
        <v>20</v>
      </c>
      <c r="H14521">
        <f t="shared" si="458"/>
        <v>17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3036</v>
      </c>
      <c r="E14522" t="s">
        <v>11</v>
      </c>
      <c r="F14522">
        <v>36</v>
      </c>
      <c r="G14522" s="9">
        <v>15</v>
      </c>
      <c r="H14522">
        <f t="shared" si="458"/>
        <v>21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3169</v>
      </c>
      <c r="E14523" t="s">
        <v>10</v>
      </c>
      <c r="F14523">
        <v>36</v>
      </c>
      <c r="G14523">
        <v>20</v>
      </c>
      <c r="H14523">
        <f t="shared" si="458"/>
        <v>16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3461</v>
      </c>
      <c r="E14524" t="s">
        <v>12</v>
      </c>
      <c r="F14524">
        <v>36</v>
      </c>
      <c r="G14524">
        <v>20</v>
      </c>
      <c r="H14524">
        <f t="shared" si="458"/>
        <v>16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3638</v>
      </c>
      <c r="E14525" t="s">
        <v>12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9705</v>
      </c>
      <c r="E14526" t="s">
        <v>10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3102</v>
      </c>
      <c r="E14527" t="s">
        <v>10</v>
      </c>
      <c r="F14527">
        <v>35</v>
      </c>
      <c r="G14527">
        <v>20</v>
      </c>
      <c r="H14527">
        <f t="shared" si="458"/>
        <v>15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3364</v>
      </c>
      <c r="E14528" t="s">
        <v>11</v>
      </c>
      <c r="F14528">
        <v>35</v>
      </c>
      <c r="G14528">
        <v>20</v>
      </c>
      <c r="H14528">
        <f t="shared" si="458"/>
        <v>15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2854</v>
      </c>
      <c r="E14529" t="s">
        <v>11</v>
      </c>
      <c r="F14529">
        <v>34</v>
      </c>
      <c r="G14529">
        <v>20</v>
      </c>
      <c r="H14529">
        <f t="shared" si="458"/>
        <v>14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3006</v>
      </c>
      <c r="E14530" t="s">
        <v>11</v>
      </c>
      <c r="F14530">
        <v>34</v>
      </c>
      <c r="G14530">
        <v>20</v>
      </c>
      <c r="H14530">
        <f t="shared" si="458"/>
        <v>14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3299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ref="C14532:C14595" si="459">IF(H14532&gt;=0,"Cumple","No cumple")</f>
        <v>Cumple</v>
      </c>
      <c r="D14532">
        <v>3411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9"/>
        <v>Cumple</v>
      </c>
      <c r="D14533">
        <v>3850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si="459"/>
        <v>Cumple</v>
      </c>
      <c r="D14534">
        <v>4027</v>
      </c>
      <c r="E14534" t="s">
        <v>11</v>
      </c>
      <c r="F14534">
        <v>34</v>
      </c>
      <c r="G14534" s="9">
        <v>15</v>
      </c>
      <c r="H14534">
        <f t="shared" si="458"/>
        <v>19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9099</v>
      </c>
      <c r="E14535" t="s">
        <v>10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2961</v>
      </c>
      <c r="E14536" t="s">
        <v>12</v>
      </c>
      <c r="F14536">
        <v>33</v>
      </c>
      <c r="G14536">
        <v>20</v>
      </c>
      <c r="H14536">
        <f t="shared" si="458"/>
        <v>13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1771</v>
      </c>
      <c r="E14537" t="s">
        <v>11</v>
      </c>
      <c r="F14537">
        <v>33</v>
      </c>
      <c r="G14537">
        <v>20</v>
      </c>
      <c r="H14537">
        <f t="shared" si="458"/>
        <v>13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1576</v>
      </c>
      <c r="E14538" t="s">
        <v>11</v>
      </c>
      <c r="F14538">
        <v>32</v>
      </c>
      <c r="G14538">
        <v>20</v>
      </c>
      <c r="H14538">
        <f t="shared" si="458"/>
        <v>12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1894</v>
      </c>
      <c r="E14539" t="s">
        <v>11</v>
      </c>
      <c r="F14539">
        <v>32</v>
      </c>
      <c r="G14539">
        <v>20</v>
      </c>
      <c r="H14539">
        <f t="shared" si="458"/>
        <v>12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2777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3061</v>
      </c>
      <c r="E14541" t="s">
        <v>10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3070</v>
      </c>
      <c r="E14542" t="s">
        <v>10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1534</v>
      </c>
      <c r="E14543" t="s">
        <v>10</v>
      </c>
      <c r="F14543">
        <v>31</v>
      </c>
      <c r="G14543">
        <v>20</v>
      </c>
      <c r="H14543">
        <f t="shared" si="458"/>
        <v>11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1875</v>
      </c>
      <c r="E14544" t="s">
        <v>10</v>
      </c>
      <c r="F14544">
        <v>31</v>
      </c>
      <c r="G14544">
        <v>20</v>
      </c>
      <c r="H14544">
        <f t="shared" si="458"/>
        <v>11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1893</v>
      </c>
      <c r="E14545" t="s">
        <v>12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3289</v>
      </c>
      <c r="E14546" t="s">
        <v>11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3378</v>
      </c>
      <c r="E14547" t="s">
        <v>10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3432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3685</v>
      </c>
      <c r="E14549" t="s">
        <v>11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3730</v>
      </c>
      <c r="E14550" t="s">
        <v>12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9476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9769</v>
      </c>
      <c r="E14552" t="s">
        <v>10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709</v>
      </c>
      <c r="E14553" t="s">
        <v>12</v>
      </c>
      <c r="F14553">
        <v>30</v>
      </c>
      <c r="G14553">
        <v>20</v>
      </c>
      <c r="H14553">
        <f t="shared" si="458"/>
        <v>10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3123</v>
      </c>
      <c r="E14554" t="s">
        <v>11</v>
      </c>
      <c r="F14554">
        <v>30</v>
      </c>
      <c r="G14554">
        <v>20</v>
      </c>
      <c r="H14554">
        <f t="shared" si="458"/>
        <v>10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3159</v>
      </c>
      <c r="E14555" t="s">
        <v>11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3708</v>
      </c>
      <c r="E14556" t="s">
        <v>10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3924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2609</v>
      </c>
      <c r="E14558" t="s">
        <v>10</v>
      </c>
      <c r="F14558">
        <v>29</v>
      </c>
      <c r="G14558">
        <v>20</v>
      </c>
      <c r="H14558">
        <f t="shared" si="458"/>
        <v>9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3125</v>
      </c>
      <c r="E14559" t="s">
        <v>10</v>
      </c>
      <c r="F14559">
        <v>29</v>
      </c>
      <c r="G14559">
        <v>20</v>
      </c>
      <c r="H14559">
        <f t="shared" si="458"/>
        <v>9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3471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3504</v>
      </c>
      <c r="E14561" t="s">
        <v>11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3591</v>
      </c>
      <c r="E14562" t="s">
        <v>12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3621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3829</v>
      </c>
      <c r="E14564" t="s">
        <v>11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9376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629</v>
      </c>
      <c r="E14566" t="s">
        <v>10</v>
      </c>
      <c r="F14566">
        <v>28</v>
      </c>
      <c r="G14566">
        <v>20</v>
      </c>
      <c r="H14566">
        <f t="shared" si="458"/>
        <v>8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1843</v>
      </c>
      <c r="E14567" t="s">
        <v>11</v>
      </c>
      <c r="F14567">
        <v>28</v>
      </c>
      <c r="G14567">
        <v>20</v>
      </c>
      <c r="H14567">
        <f t="shared" si="458"/>
        <v>8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2440</v>
      </c>
      <c r="E14568" t="s">
        <v>11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3014</v>
      </c>
      <c r="E14569" t="s">
        <v>10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3243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3487</v>
      </c>
      <c r="E14571" t="s">
        <v>10</v>
      </c>
      <c r="F14571">
        <v>28</v>
      </c>
      <c r="G14571">
        <v>20</v>
      </c>
      <c r="H14571">
        <f t="shared" ref="H14571:H14634" si="460">F14571-G14571</f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3800</v>
      </c>
      <c r="E14572" t="s">
        <v>10</v>
      </c>
      <c r="F14572">
        <v>28</v>
      </c>
      <c r="G14572">
        <v>20</v>
      </c>
      <c r="H14572">
        <f t="shared" si="460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3830</v>
      </c>
      <c r="E14573" t="s">
        <v>11</v>
      </c>
      <c r="F14573">
        <v>28</v>
      </c>
      <c r="G14573">
        <v>20</v>
      </c>
      <c r="H14573">
        <f t="shared" si="460"/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9948</v>
      </c>
      <c r="E14574" t="s">
        <v>12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1532</v>
      </c>
      <c r="E14575" t="s">
        <v>11</v>
      </c>
      <c r="F14575">
        <v>27</v>
      </c>
      <c r="G14575">
        <v>20</v>
      </c>
      <c r="H14575">
        <f t="shared" si="460"/>
        <v>7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3039</v>
      </c>
      <c r="E14576" t="s">
        <v>10</v>
      </c>
      <c r="F14576">
        <v>27</v>
      </c>
      <c r="G14576">
        <v>20</v>
      </c>
      <c r="H14576">
        <f t="shared" si="460"/>
        <v>7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3153</v>
      </c>
      <c r="E14577" t="s">
        <v>10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3786</v>
      </c>
      <c r="E14578" t="s">
        <v>11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3905</v>
      </c>
      <c r="E14579" t="s">
        <v>11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3934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3937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9172</v>
      </c>
      <c r="E14582" t="s">
        <v>12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9630</v>
      </c>
      <c r="E14583" t="s">
        <v>10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1738</v>
      </c>
      <c r="E14584" t="s">
        <v>11</v>
      </c>
      <c r="F14584">
        <v>26</v>
      </c>
      <c r="G14584">
        <v>20</v>
      </c>
      <c r="H14584">
        <f t="shared" si="460"/>
        <v>6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3016</v>
      </c>
      <c r="E14585" t="s">
        <v>11</v>
      </c>
      <c r="F14585">
        <v>26</v>
      </c>
      <c r="G14585">
        <v>20</v>
      </c>
      <c r="H14585">
        <f t="shared" si="460"/>
        <v>6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3118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3238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3404</v>
      </c>
      <c r="E14588" t="s">
        <v>10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3568</v>
      </c>
      <c r="E14589" t="s">
        <v>12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3948</v>
      </c>
      <c r="E14590" t="s">
        <v>11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3725</v>
      </c>
      <c r="E14591" t="s">
        <v>11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4049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127</v>
      </c>
      <c r="E14593" t="s">
        <v>11</v>
      </c>
      <c r="F14593">
        <v>25</v>
      </c>
      <c r="G14593">
        <v>20</v>
      </c>
      <c r="H14593">
        <f t="shared" si="460"/>
        <v>5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3041</v>
      </c>
      <c r="E14594" t="s">
        <v>11</v>
      </c>
      <c r="F14594">
        <v>25</v>
      </c>
      <c r="G14594">
        <v>20</v>
      </c>
      <c r="H14594">
        <f t="shared" si="460"/>
        <v>5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3521</v>
      </c>
      <c r="E14595" t="s">
        <v>10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ref="C14596:C14659" si="461">IF(H14596&gt;=0,"Cumple","No cumple")</f>
        <v>Cumple</v>
      </c>
      <c r="D14596">
        <v>2118</v>
      </c>
      <c r="E14596" t="s">
        <v>10</v>
      </c>
      <c r="F14596">
        <v>24</v>
      </c>
      <c r="G14596">
        <v>20</v>
      </c>
      <c r="H14596">
        <f t="shared" si="460"/>
        <v>4</v>
      </c>
    </row>
    <row r="14597" spans="1:8" x14ac:dyDescent="0.2">
      <c r="A14597" t="s">
        <v>7</v>
      </c>
      <c r="B14597" t="s">
        <v>34</v>
      </c>
      <c r="C14597" t="str">
        <f t="shared" si="461"/>
        <v>Cumple</v>
      </c>
      <c r="D14597">
        <v>2674</v>
      </c>
      <c r="E14597" t="s">
        <v>10</v>
      </c>
      <c r="F14597">
        <v>24</v>
      </c>
      <c r="G14597">
        <v>20</v>
      </c>
      <c r="H14597">
        <f t="shared" si="460"/>
        <v>4</v>
      </c>
    </row>
    <row r="14598" spans="1:8" x14ac:dyDescent="0.2">
      <c r="A14598" t="s">
        <v>7</v>
      </c>
      <c r="B14598" t="s">
        <v>34</v>
      </c>
      <c r="C14598" t="str">
        <f t="shared" si="461"/>
        <v>Cumple</v>
      </c>
      <c r="D14598">
        <v>3038</v>
      </c>
      <c r="E14598" t="s">
        <v>11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3114</v>
      </c>
      <c r="E14599" t="s">
        <v>12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3379</v>
      </c>
      <c r="E14600" t="s">
        <v>10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3518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3724</v>
      </c>
      <c r="E14602" t="s">
        <v>11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3936</v>
      </c>
      <c r="E14603" t="s">
        <v>11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9084</v>
      </c>
      <c r="E14604" t="s">
        <v>12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2890</v>
      </c>
      <c r="E14605" t="s">
        <v>11</v>
      </c>
      <c r="F14605">
        <v>23</v>
      </c>
      <c r="G14605">
        <v>20</v>
      </c>
      <c r="H14605">
        <f t="shared" si="460"/>
        <v>3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3194</v>
      </c>
      <c r="E14606" t="s">
        <v>11</v>
      </c>
      <c r="F14606">
        <v>23</v>
      </c>
      <c r="G14606">
        <v>20</v>
      </c>
      <c r="H14606">
        <f t="shared" si="460"/>
        <v>3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3567</v>
      </c>
      <c r="E14607" t="s">
        <v>12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3674</v>
      </c>
      <c r="E14608" t="s">
        <v>12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9377</v>
      </c>
      <c r="E14609" t="s">
        <v>11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3132</v>
      </c>
      <c r="E14610" t="s">
        <v>11</v>
      </c>
      <c r="F14610">
        <v>22</v>
      </c>
      <c r="G14610">
        <v>20</v>
      </c>
      <c r="H14610">
        <f t="shared" si="460"/>
        <v>2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3309</v>
      </c>
      <c r="E14611" t="s">
        <v>11</v>
      </c>
      <c r="F14611">
        <v>22</v>
      </c>
      <c r="G14611">
        <v>20</v>
      </c>
      <c r="H14611">
        <f t="shared" si="460"/>
        <v>2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3414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5162</v>
      </c>
      <c r="E14613" t="s">
        <v>12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4050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9216</v>
      </c>
      <c r="E14615" t="s">
        <v>11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1131</v>
      </c>
      <c r="E14616" t="s">
        <v>12</v>
      </c>
      <c r="F14616">
        <v>21</v>
      </c>
      <c r="G14616">
        <v>20</v>
      </c>
      <c r="H14616">
        <f t="shared" si="460"/>
        <v>1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1874</v>
      </c>
      <c r="E14617" t="s">
        <v>12</v>
      </c>
      <c r="F14617">
        <v>21</v>
      </c>
      <c r="G14617">
        <v>20</v>
      </c>
      <c r="H14617">
        <f t="shared" si="460"/>
        <v>1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3160</v>
      </c>
      <c r="E14618" t="s">
        <v>11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3206</v>
      </c>
      <c r="E14619" t="s">
        <v>11</v>
      </c>
      <c r="F14619">
        <v>20</v>
      </c>
      <c r="G14619">
        <v>20</v>
      </c>
      <c r="H14619">
        <f t="shared" si="460"/>
        <v>0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3549</v>
      </c>
      <c r="E14620" t="s">
        <v>10</v>
      </c>
      <c r="F14620">
        <v>20</v>
      </c>
      <c r="G14620">
        <v>20</v>
      </c>
      <c r="H14620">
        <f t="shared" si="460"/>
        <v>0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3682</v>
      </c>
      <c r="E14621" t="s">
        <v>10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3908</v>
      </c>
      <c r="E14622" t="s">
        <v>11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9195</v>
      </c>
      <c r="E14623" t="s">
        <v>12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9480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No cumple</v>
      </c>
      <c r="D14625">
        <v>3138</v>
      </c>
      <c r="E14625" t="s">
        <v>11</v>
      </c>
      <c r="F14625">
        <v>19</v>
      </c>
      <c r="G14625">
        <v>20</v>
      </c>
      <c r="H14625">
        <f t="shared" si="460"/>
        <v>-1</v>
      </c>
    </row>
    <row r="14626" spans="1:8" x14ac:dyDescent="0.2">
      <c r="A14626" t="s">
        <v>7</v>
      </c>
      <c r="B14626" t="s">
        <v>34</v>
      </c>
      <c r="C14626" t="str">
        <f t="shared" si="461"/>
        <v>No cumple</v>
      </c>
      <c r="D14626">
        <v>3951</v>
      </c>
      <c r="E14626" t="s">
        <v>11</v>
      </c>
      <c r="F14626">
        <v>19</v>
      </c>
      <c r="G14626">
        <v>20</v>
      </c>
      <c r="H14626">
        <f t="shared" si="460"/>
        <v>-1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2597</v>
      </c>
      <c r="E14627" t="s">
        <v>10</v>
      </c>
      <c r="F14627">
        <v>18</v>
      </c>
      <c r="G14627">
        <v>20</v>
      </c>
      <c r="H14627">
        <f t="shared" si="460"/>
        <v>-2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3091</v>
      </c>
      <c r="E14628" t="s">
        <v>10</v>
      </c>
      <c r="F14628">
        <v>18</v>
      </c>
      <c r="G14628">
        <v>20</v>
      </c>
      <c r="H14628">
        <f t="shared" si="460"/>
        <v>-2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3686</v>
      </c>
      <c r="E14629" t="s">
        <v>11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3707</v>
      </c>
      <c r="E14630" t="s">
        <v>11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3729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9045</v>
      </c>
      <c r="E14632" t="s">
        <v>12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3457</v>
      </c>
      <c r="E14633" t="s">
        <v>11</v>
      </c>
      <c r="F14633">
        <v>17</v>
      </c>
      <c r="G14633">
        <v>20</v>
      </c>
      <c r="H14633">
        <f t="shared" si="460"/>
        <v>-3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1598</v>
      </c>
      <c r="E14634" t="s">
        <v>10</v>
      </c>
      <c r="F14634">
        <v>16</v>
      </c>
      <c r="G14634">
        <v>20</v>
      </c>
      <c r="H14634">
        <f t="shared" si="460"/>
        <v>-4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2545</v>
      </c>
      <c r="E14635" t="s">
        <v>11</v>
      </c>
      <c r="F14635">
        <v>16</v>
      </c>
      <c r="G14635">
        <v>20</v>
      </c>
      <c r="H14635">
        <f t="shared" ref="H14635:H14698" si="462">F14635-G14635</f>
        <v>-4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3620</v>
      </c>
      <c r="E14636" t="s">
        <v>11</v>
      </c>
      <c r="F14636">
        <v>16</v>
      </c>
      <c r="G14636">
        <v>20</v>
      </c>
      <c r="H14636">
        <f t="shared" si="462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3806</v>
      </c>
      <c r="E14637" t="s">
        <v>11</v>
      </c>
      <c r="F14637">
        <v>16</v>
      </c>
      <c r="G14637">
        <v>20</v>
      </c>
      <c r="H14637">
        <f t="shared" si="462"/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9369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9612</v>
      </c>
      <c r="E14639" t="s">
        <v>12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4041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1717</v>
      </c>
      <c r="E14641" t="s">
        <v>11</v>
      </c>
      <c r="F14641">
        <v>15</v>
      </c>
      <c r="G14641">
        <v>20</v>
      </c>
      <c r="H14641">
        <f t="shared" si="462"/>
        <v>-5</v>
      </c>
    </row>
    <row r="14642" spans="1:8" x14ac:dyDescent="0.2">
      <c r="A14642" t="s">
        <v>7</v>
      </c>
      <c r="B14642" t="s">
        <v>34</v>
      </c>
      <c r="C14642" t="str">
        <f t="shared" si="461"/>
        <v>Cumple</v>
      </c>
      <c r="D14642">
        <v>2889</v>
      </c>
      <c r="E14642" t="s">
        <v>10</v>
      </c>
      <c r="F14642" s="9">
        <v>20</v>
      </c>
      <c r="G14642">
        <v>20</v>
      </c>
      <c r="H14642">
        <f t="shared" si="462"/>
        <v>0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3113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No cumple</v>
      </c>
      <c r="D14644">
        <v>3517</v>
      </c>
      <c r="E14644" t="s">
        <v>11</v>
      </c>
      <c r="F14644">
        <v>15</v>
      </c>
      <c r="G14644">
        <v>20</v>
      </c>
      <c r="H14644">
        <f t="shared" si="462"/>
        <v>-5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3922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9129</v>
      </c>
      <c r="E14646" t="s">
        <v>10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9905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9980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3952</v>
      </c>
      <c r="E14649" t="s">
        <v>11</v>
      </c>
      <c r="F14649">
        <v>11</v>
      </c>
      <c r="G14649">
        <v>20</v>
      </c>
      <c r="H14649">
        <f t="shared" si="462"/>
        <v>-9</v>
      </c>
    </row>
    <row r="14650" spans="1:8" x14ac:dyDescent="0.2">
      <c r="A14650" t="s">
        <v>7</v>
      </c>
      <c r="B14650" t="s">
        <v>34</v>
      </c>
      <c r="C14650" t="str">
        <f t="shared" si="461"/>
        <v>Cumple</v>
      </c>
      <c r="D14650">
        <v>3488</v>
      </c>
      <c r="E14650" t="s">
        <v>10</v>
      </c>
      <c r="F14650" s="9">
        <v>20</v>
      </c>
      <c r="G14650">
        <v>20</v>
      </c>
      <c r="H14650">
        <f t="shared" si="462"/>
        <v>0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3883</v>
      </c>
      <c r="E14651" t="s">
        <v>11</v>
      </c>
      <c r="F14651">
        <v>10</v>
      </c>
      <c r="G14651">
        <v>20</v>
      </c>
      <c r="H14651">
        <f t="shared" si="462"/>
        <v>-10</v>
      </c>
    </row>
    <row r="14652" spans="1:8" x14ac:dyDescent="0.2">
      <c r="A14652" t="s">
        <v>7</v>
      </c>
      <c r="B14652" t="s">
        <v>34</v>
      </c>
      <c r="C14652" t="str">
        <f t="shared" si="461"/>
        <v>No cumple</v>
      </c>
      <c r="D14652">
        <v>9981</v>
      </c>
      <c r="E14652" t="s">
        <v>10</v>
      </c>
      <c r="F14652">
        <v>10</v>
      </c>
      <c r="G14652">
        <v>20</v>
      </c>
      <c r="H14652">
        <f t="shared" si="462"/>
        <v>-10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1997</v>
      </c>
      <c r="E14653" t="s">
        <v>10</v>
      </c>
      <c r="F14653">
        <v>9</v>
      </c>
      <c r="G14653">
        <v>20</v>
      </c>
      <c r="H14653">
        <f t="shared" si="462"/>
        <v>-11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9196</v>
      </c>
      <c r="E14654" t="s">
        <v>11</v>
      </c>
      <c r="F14654">
        <v>9</v>
      </c>
      <c r="G14654">
        <v>20</v>
      </c>
      <c r="H14654">
        <f t="shared" si="462"/>
        <v>-11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9619</v>
      </c>
      <c r="E14655" t="s">
        <v>11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1872</v>
      </c>
      <c r="E14656" t="s">
        <v>11</v>
      </c>
      <c r="F14656">
        <v>8</v>
      </c>
      <c r="G14656">
        <v>20</v>
      </c>
      <c r="H14656">
        <f t="shared" si="462"/>
        <v>-12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3447</v>
      </c>
      <c r="E14657" t="s">
        <v>12</v>
      </c>
      <c r="F14657">
        <v>8</v>
      </c>
      <c r="G14657">
        <v>20</v>
      </c>
      <c r="H14657">
        <f t="shared" si="462"/>
        <v>-12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3788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474</v>
      </c>
      <c r="E14659" t="s">
        <v>11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ref="C14660:C14723" si="463">IF(H14660&gt;=0,"Cumple","No cumple")</f>
        <v>No cumple</v>
      </c>
      <c r="D14660">
        <v>3607</v>
      </c>
      <c r="E14660" t="s">
        <v>10</v>
      </c>
      <c r="F14660">
        <v>7</v>
      </c>
      <c r="G14660">
        <v>20</v>
      </c>
      <c r="H14660">
        <f t="shared" si="462"/>
        <v>-13</v>
      </c>
    </row>
    <row r="14661" spans="1:8" x14ac:dyDescent="0.2">
      <c r="A14661" t="s">
        <v>7</v>
      </c>
      <c r="B14661" t="s">
        <v>34</v>
      </c>
      <c r="C14661" t="str">
        <f t="shared" si="463"/>
        <v>No cumple</v>
      </c>
      <c r="D14661">
        <v>9869</v>
      </c>
      <c r="E14661" t="s">
        <v>11</v>
      </c>
      <c r="F14661">
        <v>7</v>
      </c>
      <c r="G14661">
        <v>20</v>
      </c>
      <c r="H14661">
        <f t="shared" si="462"/>
        <v>-13</v>
      </c>
    </row>
    <row r="14662" spans="1:8" x14ac:dyDescent="0.2">
      <c r="A14662" t="s">
        <v>7</v>
      </c>
      <c r="B14662" t="s">
        <v>34</v>
      </c>
      <c r="C14662" t="str">
        <f t="shared" si="463"/>
        <v>No cumple</v>
      </c>
      <c r="D14662">
        <v>1583</v>
      </c>
      <c r="E14662" t="s">
        <v>11</v>
      </c>
      <c r="F14662">
        <v>6</v>
      </c>
      <c r="G14662">
        <v>20</v>
      </c>
      <c r="H14662">
        <f t="shared" si="462"/>
        <v>-14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3157</v>
      </c>
      <c r="E14663" t="s">
        <v>11</v>
      </c>
      <c r="F14663">
        <v>6</v>
      </c>
      <c r="G14663">
        <v>20</v>
      </c>
      <c r="H14663">
        <f t="shared" si="462"/>
        <v>-14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3849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9026</v>
      </c>
      <c r="E14665" t="s">
        <v>10</v>
      </c>
      <c r="F14665">
        <v>5</v>
      </c>
      <c r="G14665">
        <v>20</v>
      </c>
      <c r="H14665">
        <f t="shared" si="462"/>
        <v>-15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9368</v>
      </c>
      <c r="E14666" t="s">
        <v>11</v>
      </c>
      <c r="F14666">
        <v>5</v>
      </c>
      <c r="G14666">
        <v>20</v>
      </c>
      <c r="H14666">
        <f t="shared" si="462"/>
        <v>-15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9461</v>
      </c>
      <c r="E14667" t="s">
        <v>11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3233</v>
      </c>
      <c r="E14668" t="s">
        <v>11</v>
      </c>
      <c r="F14668">
        <v>4</v>
      </c>
      <c r="G14668">
        <v>20</v>
      </c>
      <c r="H14668">
        <f t="shared" si="462"/>
        <v>-16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3282</v>
      </c>
      <c r="E14669" t="s">
        <v>11</v>
      </c>
      <c r="F14669">
        <v>4</v>
      </c>
      <c r="G14669">
        <v>20</v>
      </c>
      <c r="H14669">
        <f t="shared" si="462"/>
        <v>-16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3357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3480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3599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3613</v>
      </c>
      <c r="E14673" t="s">
        <v>10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3634</v>
      </c>
      <c r="E14674" t="s">
        <v>12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3671</v>
      </c>
      <c r="E14675" t="s">
        <v>12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3881</v>
      </c>
      <c r="E14676" t="s">
        <v>11</v>
      </c>
      <c r="F14676">
        <v>3</v>
      </c>
      <c r="G14676">
        <v>20</v>
      </c>
      <c r="H14676">
        <f t="shared" si="462"/>
        <v>-17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3982</v>
      </c>
      <c r="E14677" t="s">
        <v>11</v>
      </c>
      <c r="F14677">
        <v>3</v>
      </c>
      <c r="G14677">
        <v>20</v>
      </c>
      <c r="H14677">
        <f t="shared" si="462"/>
        <v>-17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957</v>
      </c>
      <c r="E14678" t="s">
        <v>12</v>
      </c>
      <c r="F14678">
        <v>2</v>
      </c>
      <c r="G14678">
        <v>20</v>
      </c>
      <c r="H14678">
        <f t="shared" si="462"/>
        <v>-18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2488</v>
      </c>
      <c r="E14679" t="s">
        <v>10</v>
      </c>
      <c r="F14679">
        <v>2</v>
      </c>
      <c r="G14679">
        <v>20</v>
      </c>
      <c r="H14679">
        <f t="shared" si="462"/>
        <v>-18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2930</v>
      </c>
      <c r="E14680" t="s">
        <v>11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3130</v>
      </c>
      <c r="E14681" t="s">
        <v>11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1896</v>
      </c>
      <c r="E14682" t="s">
        <v>11</v>
      </c>
      <c r="F14682">
        <v>1</v>
      </c>
      <c r="G14682">
        <v>20</v>
      </c>
      <c r="H14682">
        <f t="shared" si="462"/>
        <v>-19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9354</v>
      </c>
      <c r="E14683" t="s">
        <v>11</v>
      </c>
      <c r="F14683">
        <v>1</v>
      </c>
      <c r="G14683">
        <v>20</v>
      </c>
      <c r="H14683">
        <f t="shared" si="462"/>
        <v>-19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9584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1809</v>
      </c>
      <c r="E14685" t="s">
        <v>11</v>
      </c>
      <c r="F14685">
        <v>0</v>
      </c>
      <c r="G14685">
        <v>20</v>
      </c>
      <c r="H14685">
        <f t="shared" si="462"/>
        <v>-20</v>
      </c>
    </row>
    <row r="14686" spans="1:8" x14ac:dyDescent="0.2">
      <c r="A14686" t="s">
        <v>18</v>
      </c>
      <c r="B14686" t="s">
        <v>34</v>
      </c>
      <c r="C14686" t="str">
        <f t="shared" si="463"/>
        <v>No cumple</v>
      </c>
      <c r="D14686">
        <v>2867</v>
      </c>
      <c r="E14686" t="s">
        <v>12</v>
      </c>
      <c r="F14686">
        <v>0</v>
      </c>
      <c r="G14686">
        <v>20</v>
      </c>
      <c r="H14686">
        <f t="shared" si="462"/>
        <v>-20</v>
      </c>
    </row>
    <row r="14687" spans="1:8" x14ac:dyDescent="0.2">
      <c r="A14687" t="s">
        <v>18</v>
      </c>
      <c r="B14687" t="s">
        <v>34</v>
      </c>
      <c r="C14687" t="str">
        <f t="shared" si="463"/>
        <v>No cumple</v>
      </c>
      <c r="D14687">
        <v>3192</v>
      </c>
      <c r="E14687" t="s">
        <v>10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3341</v>
      </c>
      <c r="E14688" t="s">
        <v>10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3370</v>
      </c>
      <c r="E14689" t="s">
        <v>11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19</v>
      </c>
      <c r="B14690" t="s">
        <v>34</v>
      </c>
      <c r="C14690" t="str">
        <f t="shared" si="463"/>
        <v>No cumple</v>
      </c>
      <c r="D14690">
        <v>3426</v>
      </c>
      <c r="E14690" t="s">
        <v>11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3540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18</v>
      </c>
      <c r="B14692" t="s">
        <v>34</v>
      </c>
      <c r="C14692" t="str">
        <f t="shared" si="463"/>
        <v>No cumple</v>
      </c>
      <c r="D14692">
        <v>3548</v>
      </c>
      <c r="E14692" t="s">
        <v>10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19</v>
      </c>
      <c r="B14693" t="s">
        <v>34</v>
      </c>
      <c r="C14693" t="str">
        <f t="shared" si="463"/>
        <v>No cumple</v>
      </c>
      <c r="D14693">
        <v>3606</v>
      </c>
      <c r="E14693" t="s">
        <v>12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3636</v>
      </c>
      <c r="E14694" t="s">
        <v>12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18</v>
      </c>
      <c r="B14695" t="s">
        <v>34</v>
      </c>
      <c r="C14695" t="str">
        <f t="shared" si="463"/>
        <v>No cumple</v>
      </c>
      <c r="D14695">
        <v>3637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19</v>
      </c>
      <c r="B14696" t="s">
        <v>34</v>
      </c>
      <c r="C14696" t="str">
        <f t="shared" si="463"/>
        <v>No cumple</v>
      </c>
      <c r="D14696">
        <v>3649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19</v>
      </c>
      <c r="B14697" t="s">
        <v>34</v>
      </c>
      <c r="C14697" t="str">
        <f t="shared" si="463"/>
        <v>No cumple</v>
      </c>
      <c r="D14697">
        <v>3673</v>
      </c>
      <c r="E14697" t="s">
        <v>11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18</v>
      </c>
      <c r="B14698" t="s">
        <v>34</v>
      </c>
      <c r="C14698" t="str">
        <f t="shared" si="463"/>
        <v>No cumple</v>
      </c>
      <c r="D14698">
        <v>3787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18</v>
      </c>
      <c r="B14699" t="s">
        <v>34</v>
      </c>
      <c r="C14699" t="str">
        <f t="shared" si="463"/>
        <v>No cumple</v>
      </c>
      <c r="D14699">
        <v>3828</v>
      </c>
      <c r="E14699" t="s">
        <v>11</v>
      </c>
      <c r="F14699">
        <v>0</v>
      </c>
      <c r="G14699">
        <v>20</v>
      </c>
      <c r="H14699">
        <f t="shared" ref="H14699:H14714" si="464">F14699-G14699</f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3907</v>
      </c>
      <c r="E14700" t="s">
        <v>11</v>
      </c>
      <c r="F14700">
        <v>0</v>
      </c>
      <c r="G14700">
        <v>20</v>
      </c>
      <c r="H14700">
        <f t="shared" si="464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3945</v>
      </c>
      <c r="E14701" t="s">
        <v>11</v>
      </c>
      <c r="F14701">
        <v>0</v>
      </c>
      <c r="G14701">
        <v>20</v>
      </c>
      <c r="H14701">
        <f t="shared" si="464"/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3972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3997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3998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4025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4026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19</v>
      </c>
      <c r="B14707" t="s">
        <v>34</v>
      </c>
      <c r="C14707" t="str">
        <f t="shared" si="463"/>
        <v>No cumple</v>
      </c>
      <c r="D14707">
        <v>9053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9103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18</v>
      </c>
      <c r="B14709" t="s">
        <v>34</v>
      </c>
      <c r="C14709" t="str">
        <f t="shared" si="463"/>
        <v>No cumple</v>
      </c>
      <c r="D14709">
        <v>9325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9650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9894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3242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9925</v>
      </c>
      <c r="E14713" t="s">
        <v>10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4072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7</v>
      </c>
      <c r="B14715" t="s">
        <v>34</v>
      </c>
      <c r="C14715" t="str">
        <f t="shared" si="463"/>
        <v>Cumple</v>
      </c>
      <c r="D14715">
        <v>3691</v>
      </c>
      <c r="E14715" t="s">
        <v>13</v>
      </c>
      <c r="F14715">
        <v>14</v>
      </c>
      <c r="G14715">
        <v>6</v>
      </c>
      <c r="H14715">
        <f>F14715-G14715</f>
        <v>8</v>
      </c>
    </row>
    <row r="14716" spans="1:8" x14ac:dyDescent="0.2">
      <c r="A14716" t="s">
        <v>7</v>
      </c>
      <c r="B14716" t="s">
        <v>34</v>
      </c>
      <c r="C14716" t="str">
        <f t="shared" si="463"/>
        <v>Cumple</v>
      </c>
      <c r="D14716">
        <v>9967</v>
      </c>
      <c r="E14716" t="s">
        <v>13</v>
      </c>
      <c r="F14716">
        <v>13</v>
      </c>
      <c r="G14716">
        <v>6</v>
      </c>
      <c r="H14716">
        <f t="shared" ref="H14716:H14779" si="465">F14716-G14716</f>
        <v>7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1891</v>
      </c>
      <c r="E14717" t="s">
        <v>13</v>
      </c>
      <c r="F14717">
        <v>12</v>
      </c>
      <c r="G14717">
        <v>6</v>
      </c>
      <c r="H14717">
        <f t="shared" si="465"/>
        <v>6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3939</v>
      </c>
      <c r="E14718" t="s">
        <v>13</v>
      </c>
      <c r="F14718">
        <v>12</v>
      </c>
      <c r="G14718">
        <v>6</v>
      </c>
      <c r="H14718">
        <f t="shared" si="465"/>
        <v>6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707</v>
      </c>
      <c r="E14719" t="s">
        <v>13</v>
      </c>
      <c r="F14719">
        <v>11</v>
      </c>
      <c r="G14719">
        <v>6</v>
      </c>
      <c r="H14719">
        <f t="shared" si="465"/>
        <v>5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735</v>
      </c>
      <c r="E14720" t="s">
        <v>13</v>
      </c>
      <c r="F14720">
        <v>11</v>
      </c>
      <c r="G14720">
        <v>6</v>
      </c>
      <c r="H14720">
        <f t="shared" si="465"/>
        <v>5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838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7597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3984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ref="C14724:C14787" si="466">IF(H14724&gt;=0,"Cumple","No cumple")</f>
        <v>Cumple</v>
      </c>
      <c r="D14724">
        <v>291</v>
      </c>
      <c r="E14724" t="s">
        <v>13</v>
      </c>
      <c r="F14724">
        <v>10</v>
      </c>
      <c r="G14724">
        <v>6</v>
      </c>
      <c r="H14724">
        <f t="shared" si="465"/>
        <v>4</v>
      </c>
    </row>
    <row r="14725" spans="1:8" x14ac:dyDescent="0.2">
      <c r="A14725" t="s">
        <v>7</v>
      </c>
      <c r="B14725" t="s">
        <v>34</v>
      </c>
      <c r="C14725" t="str">
        <f t="shared" si="466"/>
        <v>Cumple</v>
      </c>
      <c r="D14725">
        <v>292</v>
      </c>
      <c r="E14725" t="s">
        <v>13</v>
      </c>
      <c r="F14725">
        <v>10</v>
      </c>
      <c r="G14725">
        <v>6</v>
      </c>
      <c r="H14725">
        <f t="shared" si="465"/>
        <v>4</v>
      </c>
    </row>
    <row r="14726" spans="1:8" x14ac:dyDescent="0.2">
      <c r="A14726" t="s">
        <v>7</v>
      </c>
      <c r="B14726" t="s">
        <v>34</v>
      </c>
      <c r="C14726" t="str">
        <f t="shared" si="466"/>
        <v>Cumple</v>
      </c>
      <c r="D14726">
        <v>754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927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1410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1793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3662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3663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3810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3818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9575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9645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219</v>
      </c>
      <c r="E14736" t="s">
        <v>13</v>
      </c>
      <c r="F14736">
        <v>9</v>
      </c>
      <c r="G14736">
        <v>6</v>
      </c>
      <c r="H14736">
        <f t="shared" si="465"/>
        <v>3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793</v>
      </c>
      <c r="E14737" t="s">
        <v>13</v>
      </c>
      <c r="F14737">
        <v>9</v>
      </c>
      <c r="G14737">
        <v>6</v>
      </c>
      <c r="H14737">
        <f t="shared" si="465"/>
        <v>3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794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831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985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1487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1524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1550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1847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1887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2810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3768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3769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3771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3811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3815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3853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9134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9154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9527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9742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4033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4067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213</v>
      </c>
      <c r="E14759" t="s">
        <v>13</v>
      </c>
      <c r="F14759">
        <v>8</v>
      </c>
      <c r="G14759">
        <v>6</v>
      </c>
      <c r="H14759">
        <f t="shared" si="465"/>
        <v>2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763</v>
      </c>
      <c r="E14760" t="s">
        <v>13</v>
      </c>
      <c r="F14760">
        <v>8</v>
      </c>
      <c r="G14760">
        <v>6</v>
      </c>
      <c r="H14760">
        <f t="shared" si="465"/>
        <v>2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785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826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2502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2874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3416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3661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3664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3695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3791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3912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9017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9935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4029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4070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221</v>
      </c>
      <c r="E14775" t="s">
        <v>13</v>
      </c>
      <c r="F14775">
        <v>7</v>
      </c>
      <c r="G14775">
        <v>6</v>
      </c>
      <c r="H14775">
        <f t="shared" si="465"/>
        <v>1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283</v>
      </c>
      <c r="E14776" t="s">
        <v>13</v>
      </c>
      <c r="F14776">
        <v>7</v>
      </c>
      <c r="G14776">
        <v>6</v>
      </c>
      <c r="H14776">
        <f t="shared" si="465"/>
        <v>1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717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818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830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899</v>
      </c>
      <c r="E14780" t="s">
        <v>13</v>
      </c>
      <c r="F14780">
        <v>7</v>
      </c>
      <c r="G14780">
        <v>6</v>
      </c>
      <c r="H14780">
        <f t="shared" ref="H14780:H14843" si="467">F14780-G14780</f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1445</v>
      </c>
      <c r="E14781" t="s">
        <v>13</v>
      </c>
      <c r="F14781">
        <v>7</v>
      </c>
      <c r="G14781">
        <v>6</v>
      </c>
      <c r="H14781">
        <f t="shared" si="467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1468</v>
      </c>
      <c r="E14782" t="s">
        <v>13</v>
      </c>
      <c r="F14782">
        <v>7</v>
      </c>
      <c r="G14782">
        <v>6</v>
      </c>
      <c r="H14782">
        <f t="shared" si="467"/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1485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1601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1798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1857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2086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ref="C14788:C14851" si="468">IF(H14788&gt;=0,"Cumple","No cumple")</f>
        <v>Cumple</v>
      </c>
      <c r="D14788">
        <v>2583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8"/>
        <v>Cumple</v>
      </c>
      <c r="D14789">
        <v>2851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si="468"/>
        <v>Cumple</v>
      </c>
      <c r="D14790">
        <v>2973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2976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3595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3693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3740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3744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3767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3863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9626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9795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4057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4068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220</v>
      </c>
      <c r="E14802" t="s">
        <v>13</v>
      </c>
      <c r="F14802">
        <v>6</v>
      </c>
      <c r="G14802">
        <v>6</v>
      </c>
      <c r="H14802">
        <f t="shared" si="467"/>
        <v>0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223</v>
      </c>
      <c r="E14803" t="s">
        <v>13</v>
      </c>
      <c r="F14803">
        <v>6</v>
      </c>
      <c r="G14803">
        <v>6</v>
      </c>
      <c r="H14803">
        <f t="shared" si="467"/>
        <v>0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807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846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917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923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950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988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1146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1401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1416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1420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1429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1434</v>
      </c>
      <c r="E14815" t="s">
        <v>13</v>
      </c>
      <c r="F14815">
        <v>6</v>
      </c>
      <c r="G14815" s="9">
        <v>3</v>
      </c>
      <c r="H14815">
        <f t="shared" si="467"/>
        <v>3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1482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1541</v>
      </c>
      <c r="E14817" t="s">
        <v>13</v>
      </c>
      <c r="F14817">
        <v>6</v>
      </c>
      <c r="G14817">
        <v>6</v>
      </c>
      <c r="H14817">
        <f t="shared" si="467"/>
        <v>0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1595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1675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1813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1879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2356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3278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3449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3646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3812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3842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3891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3956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9102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9246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9382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9490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9637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9686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9938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4044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No cumple</v>
      </c>
      <c r="D14838">
        <v>205</v>
      </c>
      <c r="E14838" t="s">
        <v>13</v>
      </c>
      <c r="F14838">
        <v>5</v>
      </c>
      <c r="G14838">
        <v>6</v>
      </c>
      <c r="H14838">
        <f t="shared" si="467"/>
        <v>-1</v>
      </c>
    </row>
    <row r="14839" spans="1:8" x14ac:dyDescent="0.2">
      <c r="A14839" t="s">
        <v>7</v>
      </c>
      <c r="B14839" t="s">
        <v>34</v>
      </c>
      <c r="C14839" t="str">
        <f t="shared" si="468"/>
        <v>No cumple</v>
      </c>
      <c r="D14839">
        <v>222</v>
      </c>
      <c r="E14839" t="s">
        <v>13</v>
      </c>
      <c r="F14839">
        <v>5</v>
      </c>
      <c r="G14839">
        <v>6</v>
      </c>
      <c r="H14839">
        <f t="shared" si="467"/>
        <v>-1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766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803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879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1423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1466</v>
      </c>
      <c r="E14844" t="s">
        <v>13</v>
      </c>
      <c r="F14844">
        <v>5</v>
      </c>
      <c r="G14844">
        <v>6</v>
      </c>
      <c r="H14844">
        <f t="shared" ref="H14844:H14907" si="469">F14844-G14844</f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1774</v>
      </c>
      <c r="E14845" t="s">
        <v>13</v>
      </c>
      <c r="F14845">
        <v>5</v>
      </c>
      <c r="G14845">
        <v>6</v>
      </c>
      <c r="H14845">
        <f t="shared" si="469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2014</v>
      </c>
      <c r="E14846" t="s">
        <v>13</v>
      </c>
      <c r="F14846">
        <v>5</v>
      </c>
      <c r="G14846">
        <v>6</v>
      </c>
      <c r="H14846">
        <f t="shared" si="469"/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Cumple</v>
      </c>
      <c r="D14847">
        <v>2850</v>
      </c>
      <c r="E14847" t="s">
        <v>13</v>
      </c>
      <c r="F14847">
        <v>5</v>
      </c>
      <c r="G14847" s="9">
        <v>3</v>
      </c>
      <c r="H14847">
        <f t="shared" si="469"/>
        <v>2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2862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No cumple</v>
      </c>
      <c r="D14849">
        <v>2864</v>
      </c>
      <c r="E14849" t="s">
        <v>13</v>
      </c>
      <c r="F14849">
        <v>5</v>
      </c>
      <c r="G14849">
        <v>6</v>
      </c>
      <c r="H14849">
        <f t="shared" si="469"/>
        <v>-1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2963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2986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ref="C14852:C14915" si="470">IF(H14852&gt;=0,"Cumple","No cumple")</f>
        <v>No cumple</v>
      </c>
      <c r="D14852">
        <v>3079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70"/>
        <v>No cumple</v>
      </c>
      <c r="D14853">
        <v>3643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si="470"/>
        <v>No cumple</v>
      </c>
      <c r="D14854">
        <v>3694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Cumple</v>
      </c>
      <c r="D14855">
        <v>3797</v>
      </c>
      <c r="E14855" t="s">
        <v>13</v>
      </c>
      <c r="F14855" s="37">
        <v>7</v>
      </c>
      <c r="G14855">
        <v>6</v>
      </c>
      <c r="H14855">
        <f t="shared" si="469"/>
        <v>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3868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No cumple</v>
      </c>
      <c r="D14857">
        <v>3926</v>
      </c>
      <c r="E14857" t="s">
        <v>13</v>
      </c>
      <c r="F14857">
        <v>5</v>
      </c>
      <c r="G14857">
        <v>6</v>
      </c>
      <c r="H14857">
        <f t="shared" si="469"/>
        <v>-1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3927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No cumple</v>
      </c>
      <c r="D14859">
        <v>9020</v>
      </c>
      <c r="E14859" t="s">
        <v>13</v>
      </c>
      <c r="F14859">
        <v>5</v>
      </c>
      <c r="G14859">
        <v>6</v>
      </c>
      <c r="H14859">
        <f t="shared" si="469"/>
        <v>-1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9158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9434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Cumple</v>
      </c>
      <c r="D14862">
        <v>9685</v>
      </c>
      <c r="E14862" t="s">
        <v>13</v>
      </c>
      <c r="F14862" s="9">
        <v>6</v>
      </c>
      <c r="G14862">
        <v>6</v>
      </c>
      <c r="H14862">
        <f t="shared" si="469"/>
        <v>0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9743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No cumple</v>
      </c>
      <c r="D14864">
        <v>774</v>
      </c>
      <c r="E14864" t="s">
        <v>13</v>
      </c>
      <c r="F14864">
        <v>5</v>
      </c>
      <c r="G14864">
        <v>6</v>
      </c>
      <c r="H14864">
        <f t="shared" si="469"/>
        <v>-1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4045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4055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207</v>
      </c>
      <c r="E14867" t="s">
        <v>13</v>
      </c>
      <c r="F14867">
        <v>4</v>
      </c>
      <c r="G14867">
        <v>6</v>
      </c>
      <c r="H14867">
        <f t="shared" si="469"/>
        <v>-2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248</v>
      </c>
      <c r="E14868" t="s">
        <v>13</v>
      </c>
      <c r="F14868">
        <v>4</v>
      </c>
      <c r="G14868">
        <v>6</v>
      </c>
      <c r="H14868">
        <f t="shared" si="469"/>
        <v>-2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498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679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795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837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870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1224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1458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1502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1584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1773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1812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1828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2829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2946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3509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3816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3833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Cumple</v>
      </c>
      <c r="D14886">
        <v>3838</v>
      </c>
      <c r="E14886" t="s">
        <v>13</v>
      </c>
      <c r="F14886">
        <v>4</v>
      </c>
      <c r="G14886" s="9">
        <v>3</v>
      </c>
      <c r="H14886">
        <f t="shared" si="469"/>
        <v>1</v>
      </c>
    </row>
    <row r="14887" spans="1:8" x14ac:dyDescent="0.2">
      <c r="A14887" t="s">
        <v>7</v>
      </c>
      <c r="B14887" t="s">
        <v>34</v>
      </c>
      <c r="C14887" t="str">
        <f t="shared" si="470"/>
        <v>Cumple</v>
      </c>
      <c r="D14887">
        <v>3843</v>
      </c>
      <c r="E14887" t="s">
        <v>13</v>
      </c>
      <c r="F14887">
        <v>4</v>
      </c>
      <c r="G14887" s="9">
        <v>3</v>
      </c>
      <c r="H14887">
        <f t="shared" si="469"/>
        <v>1</v>
      </c>
    </row>
    <row r="14888" spans="1:8" x14ac:dyDescent="0.2">
      <c r="A14888" t="s">
        <v>7</v>
      </c>
      <c r="B14888" t="s">
        <v>34</v>
      </c>
      <c r="C14888" t="str">
        <f t="shared" si="470"/>
        <v>No cumple</v>
      </c>
      <c r="D14888">
        <v>3855</v>
      </c>
      <c r="E14888" t="s">
        <v>13</v>
      </c>
      <c r="F14888">
        <v>4</v>
      </c>
      <c r="G14888">
        <v>6</v>
      </c>
      <c r="H14888">
        <f t="shared" si="469"/>
        <v>-2</v>
      </c>
    </row>
    <row r="14889" spans="1:8" x14ac:dyDescent="0.2">
      <c r="A14889" t="s">
        <v>7</v>
      </c>
      <c r="B14889" t="s">
        <v>34</v>
      </c>
      <c r="C14889" t="str">
        <f t="shared" si="470"/>
        <v>No cumple</v>
      </c>
      <c r="D14889">
        <v>9333</v>
      </c>
      <c r="E14889" t="s">
        <v>13</v>
      </c>
      <c r="F14889">
        <v>4</v>
      </c>
      <c r="G14889">
        <v>6</v>
      </c>
      <c r="H14889">
        <f t="shared" si="469"/>
        <v>-2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9510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9624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9720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9952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9953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9991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Cumple</v>
      </c>
      <c r="D14896">
        <v>1451</v>
      </c>
      <c r="E14896" t="s">
        <v>13</v>
      </c>
      <c r="F14896">
        <v>4</v>
      </c>
      <c r="G14896" s="9">
        <v>3</v>
      </c>
      <c r="H14896">
        <f t="shared" si="469"/>
        <v>1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1209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No cumple</v>
      </c>
      <c r="D14898">
        <v>4028</v>
      </c>
      <c r="E14898" t="s">
        <v>13</v>
      </c>
      <c r="F14898">
        <v>4</v>
      </c>
      <c r="G14898">
        <v>6</v>
      </c>
      <c r="H14898">
        <f t="shared" si="469"/>
        <v>-2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2060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4032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3569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210</v>
      </c>
      <c r="E14902" t="s">
        <v>13</v>
      </c>
      <c r="F14902">
        <v>3</v>
      </c>
      <c r="G14902">
        <v>6</v>
      </c>
      <c r="H14902">
        <f t="shared" si="469"/>
        <v>-3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227</v>
      </c>
      <c r="E14903" t="s">
        <v>13</v>
      </c>
      <c r="F14903">
        <v>3</v>
      </c>
      <c r="G14903">
        <v>6</v>
      </c>
      <c r="H14903">
        <f t="shared" si="469"/>
        <v>-3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240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243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760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784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790</v>
      </c>
      <c r="E14908" t="s">
        <v>13</v>
      </c>
      <c r="F14908">
        <v>3</v>
      </c>
      <c r="G14908">
        <v>6</v>
      </c>
      <c r="H14908">
        <f t="shared" ref="H14908:H14971" si="471">F14908-G14908</f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1443</v>
      </c>
      <c r="E14909" t="s">
        <v>13</v>
      </c>
      <c r="F14909">
        <v>3</v>
      </c>
      <c r="G14909">
        <v>6</v>
      </c>
      <c r="H14909">
        <f t="shared" si="471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1448</v>
      </c>
      <c r="E14910" t="s">
        <v>13</v>
      </c>
      <c r="F14910">
        <v>3</v>
      </c>
      <c r="G14910">
        <v>6</v>
      </c>
      <c r="H14910">
        <f t="shared" si="471"/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1553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1594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No cumple</v>
      </c>
      <c r="D14913">
        <v>1624</v>
      </c>
      <c r="E14913" t="s">
        <v>13</v>
      </c>
      <c r="F14913">
        <v>3</v>
      </c>
      <c r="G14913">
        <v>6</v>
      </c>
      <c r="H14913">
        <f t="shared" si="471"/>
        <v>-3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1699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No cumple</v>
      </c>
      <c r="D14915">
        <v>1878</v>
      </c>
      <c r="E14915" t="s">
        <v>13</v>
      </c>
      <c r="F14915">
        <v>3</v>
      </c>
      <c r="G14915">
        <v>6</v>
      </c>
      <c r="H14915">
        <f t="shared" si="471"/>
        <v>-3</v>
      </c>
    </row>
    <row r="14916" spans="1:8" x14ac:dyDescent="0.2">
      <c r="A14916" t="s">
        <v>7</v>
      </c>
      <c r="B14916" t="s">
        <v>34</v>
      </c>
      <c r="C14916" t="str">
        <f t="shared" ref="C14916:C14979" si="472">IF(H14916&gt;=0,"Cumple","No cumple")</f>
        <v>No cumple</v>
      </c>
      <c r="D14916">
        <v>2275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2"/>
        <v>No cumple</v>
      </c>
      <c r="D14917">
        <v>2549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si="472"/>
        <v>No cumple</v>
      </c>
      <c r="D14918">
        <v>2848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2852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2857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3236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3294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3576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3703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3809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3840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3887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9132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9656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9672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9950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Cumple</v>
      </c>
      <c r="D14932">
        <v>4042</v>
      </c>
      <c r="E14932" t="s">
        <v>13</v>
      </c>
      <c r="F14932">
        <v>3</v>
      </c>
      <c r="G14932" s="9">
        <v>3</v>
      </c>
      <c r="H14932">
        <f t="shared" si="471"/>
        <v>0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4073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No cumple</v>
      </c>
      <c r="D14934">
        <v>224</v>
      </c>
      <c r="E14934" t="s">
        <v>13</v>
      </c>
      <c r="F14934">
        <v>2</v>
      </c>
      <c r="G14934">
        <v>6</v>
      </c>
      <c r="H14934">
        <f t="shared" si="471"/>
        <v>-4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239</v>
      </c>
      <c r="E14935" t="s">
        <v>13</v>
      </c>
      <c r="F14935">
        <v>2</v>
      </c>
      <c r="G14935">
        <v>6</v>
      </c>
      <c r="H14935">
        <f t="shared" si="471"/>
        <v>-4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251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715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865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902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1226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1411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1425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1437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2563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2703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2722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2972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3424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3541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3565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3590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3677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3735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3741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3790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3796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3913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7028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9301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9658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9665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9834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9298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319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4056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2875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217</v>
      </c>
      <c r="E14967" t="s">
        <v>13</v>
      </c>
      <c r="F14967">
        <v>1</v>
      </c>
      <c r="G14967">
        <v>6</v>
      </c>
      <c r="H14967">
        <f t="shared" si="471"/>
        <v>-5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226</v>
      </c>
      <c r="E14968" t="s">
        <v>13</v>
      </c>
      <c r="F14968">
        <v>1</v>
      </c>
      <c r="G14968">
        <v>6</v>
      </c>
      <c r="H14968">
        <f t="shared" si="471"/>
        <v>-5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230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677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772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821</v>
      </c>
      <c r="E14972" t="s">
        <v>13</v>
      </c>
      <c r="F14972">
        <v>1</v>
      </c>
      <c r="G14972">
        <v>6</v>
      </c>
      <c r="H14972">
        <f t="shared" ref="H14972:H15035" si="473">F14972-G14972</f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847</v>
      </c>
      <c r="E14973" t="s">
        <v>13</v>
      </c>
      <c r="F14973">
        <v>1</v>
      </c>
      <c r="G14973">
        <v>6</v>
      </c>
      <c r="H14973">
        <f t="shared" si="473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859</v>
      </c>
      <c r="E14974" t="s">
        <v>13</v>
      </c>
      <c r="F14974">
        <v>1</v>
      </c>
      <c r="G14974">
        <v>6</v>
      </c>
      <c r="H14974">
        <f t="shared" si="473"/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926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Cumple</v>
      </c>
      <c r="D14976">
        <v>1402</v>
      </c>
      <c r="E14976" t="s">
        <v>13</v>
      </c>
      <c r="F14976" s="9">
        <v>6</v>
      </c>
      <c r="G14976">
        <v>6</v>
      </c>
      <c r="H14976">
        <f t="shared" si="473"/>
        <v>0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1472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No cumple</v>
      </c>
      <c r="D14978">
        <v>1603</v>
      </c>
      <c r="E14978" t="s">
        <v>13</v>
      </c>
      <c r="F14978">
        <v>1</v>
      </c>
      <c r="G14978">
        <v>6</v>
      </c>
      <c r="H14978">
        <f t="shared" si="473"/>
        <v>-5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1615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ref="C14980:C15043" si="474">IF(H14980&gt;=0,"Cumple","No cumple")</f>
        <v>No cumple</v>
      </c>
      <c r="D14980">
        <v>2653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4"/>
        <v>No cumple</v>
      </c>
      <c r="D14981">
        <v>2983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si="474"/>
        <v>No cumple</v>
      </c>
      <c r="D14982">
        <v>3180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3746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3819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3866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3893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3974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9004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9744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9821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9381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747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8520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18</v>
      </c>
      <c r="B14994" t="s">
        <v>34</v>
      </c>
      <c r="C14994" t="str">
        <f t="shared" si="474"/>
        <v>No cumple</v>
      </c>
      <c r="D14994">
        <v>233</v>
      </c>
      <c r="E14994" t="s">
        <v>13</v>
      </c>
      <c r="F14994">
        <v>0</v>
      </c>
      <c r="G14994">
        <v>6</v>
      </c>
      <c r="H14994">
        <f t="shared" si="473"/>
        <v>-6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245</v>
      </c>
      <c r="E14995" t="s">
        <v>13</v>
      </c>
      <c r="F14995">
        <v>0</v>
      </c>
      <c r="G14995">
        <v>6</v>
      </c>
      <c r="H14995">
        <f t="shared" si="473"/>
        <v>-6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247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756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781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836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7</v>
      </c>
      <c r="B15000" t="s">
        <v>34</v>
      </c>
      <c r="C15000" t="str">
        <f t="shared" si="474"/>
        <v>No cumple</v>
      </c>
      <c r="D15000">
        <v>858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903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18</v>
      </c>
      <c r="B15002" t="s">
        <v>34</v>
      </c>
      <c r="C15002" t="str">
        <f t="shared" si="474"/>
        <v>No cumple</v>
      </c>
      <c r="D15002">
        <v>951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18</v>
      </c>
      <c r="B15003" t="s">
        <v>34</v>
      </c>
      <c r="C15003" t="str">
        <f t="shared" si="474"/>
        <v>No cumple</v>
      </c>
      <c r="D15003">
        <v>991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7</v>
      </c>
      <c r="B15004" t="s">
        <v>34</v>
      </c>
      <c r="C15004" t="str">
        <f t="shared" si="474"/>
        <v>No cumple</v>
      </c>
      <c r="D15004">
        <v>1297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7</v>
      </c>
      <c r="B15005" t="s">
        <v>34</v>
      </c>
      <c r="C15005" t="str">
        <f t="shared" si="474"/>
        <v>No cumple</v>
      </c>
      <c r="D15005">
        <v>1441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1447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1453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1470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1673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1698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1792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18</v>
      </c>
      <c r="B15012" t="s">
        <v>34</v>
      </c>
      <c r="C15012" t="str">
        <f t="shared" si="474"/>
        <v>No cumple</v>
      </c>
      <c r="D15012">
        <v>2212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18</v>
      </c>
      <c r="B15013" t="s">
        <v>34</v>
      </c>
      <c r="C15013" t="str">
        <f t="shared" si="474"/>
        <v>No cumple</v>
      </c>
      <c r="D15013">
        <v>2941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2942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2943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2944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7</v>
      </c>
      <c r="B15017" t="s">
        <v>34</v>
      </c>
      <c r="C15017" t="str">
        <f t="shared" si="474"/>
        <v>No cumple</v>
      </c>
      <c r="D15017">
        <v>2945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2947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18</v>
      </c>
      <c r="B15019" t="s">
        <v>34</v>
      </c>
      <c r="C15019" t="str">
        <f t="shared" si="474"/>
        <v>No cumple</v>
      </c>
      <c r="D15019">
        <v>2948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2949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2950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2951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2952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2954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2955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2956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2958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7</v>
      </c>
      <c r="B15028" t="s">
        <v>34</v>
      </c>
      <c r="C15028" t="str">
        <f t="shared" si="474"/>
        <v>No cumple</v>
      </c>
      <c r="D15028">
        <v>2960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2965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18</v>
      </c>
      <c r="B15030" t="s">
        <v>34</v>
      </c>
      <c r="C15030" t="str">
        <f t="shared" si="474"/>
        <v>No cumple</v>
      </c>
      <c r="D15030">
        <v>2969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2970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7</v>
      </c>
      <c r="B15032" t="s">
        <v>34</v>
      </c>
      <c r="C15032" t="str">
        <f t="shared" si="474"/>
        <v>No cumple</v>
      </c>
      <c r="D15032">
        <v>2971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7</v>
      </c>
      <c r="B15033" t="s">
        <v>34</v>
      </c>
      <c r="C15033" t="str">
        <f t="shared" si="474"/>
        <v>No cumple</v>
      </c>
      <c r="D15033">
        <v>2974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18</v>
      </c>
      <c r="B15034" t="s">
        <v>34</v>
      </c>
      <c r="C15034" t="str">
        <f t="shared" si="474"/>
        <v>No cumple</v>
      </c>
      <c r="D15034">
        <v>2975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18</v>
      </c>
      <c r="B15035" t="s">
        <v>34</v>
      </c>
      <c r="C15035" t="str">
        <f t="shared" si="474"/>
        <v>No cumple</v>
      </c>
      <c r="D15035">
        <v>2977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7</v>
      </c>
      <c r="B15036" t="s">
        <v>34</v>
      </c>
      <c r="C15036" t="str">
        <f t="shared" si="474"/>
        <v>No cumple</v>
      </c>
      <c r="D15036">
        <v>2978</v>
      </c>
      <c r="E15036" t="s">
        <v>13</v>
      </c>
      <c r="F15036">
        <v>0</v>
      </c>
      <c r="G15036">
        <v>6</v>
      </c>
      <c r="H15036">
        <f t="shared" ref="H15036:H15073" si="475">F15036-G15036</f>
        <v>-6</v>
      </c>
    </row>
    <row r="15037" spans="1:8" x14ac:dyDescent="0.2">
      <c r="A15037" t="s">
        <v>7</v>
      </c>
      <c r="B15037" t="s">
        <v>34</v>
      </c>
      <c r="C15037" t="str">
        <f t="shared" si="474"/>
        <v>No cumple</v>
      </c>
      <c r="D15037">
        <v>2979</v>
      </c>
      <c r="E15037" t="s">
        <v>13</v>
      </c>
      <c r="F15037">
        <v>0</v>
      </c>
      <c r="G15037">
        <v>6</v>
      </c>
      <c r="H15037">
        <f t="shared" si="475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2980</v>
      </c>
      <c r="E15038" t="s">
        <v>13</v>
      </c>
      <c r="F15038">
        <v>0</v>
      </c>
      <c r="G15038">
        <v>6</v>
      </c>
      <c r="H15038">
        <f t="shared" si="475"/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2981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18</v>
      </c>
      <c r="B15040" t="s">
        <v>34</v>
      </c>
      <c r="C15040" t="str">
        <f t="shared" si="474"/>
        <v>No cumple</v>
      </c>
      <c r="D15040">
        <v>2982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2984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7</v>
      </c>
      <c r="B15042" t="s">
        <v>34</v>
      </c>
      <c r="C15042" t="str">
        <f t="shared" si="474"/>
        <v>No cumple</v>
      </c>
      <c r="D15042">
        <v>2985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19</v>
      </c>
      <c r="B15043" t="s">
        <v>34</v>
      </c>
      <c r="C15043" t="str">
        <f t="shared" si="474"/>
        <v>No cumple</v>
      </c>
      <c r="D15043">
        <v>3428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ref="C15044:C15107" si="476">IF(H15044&gt;=0,"Cumple","No cumple")</f>
        <v>No cumple</v>
      </c>
      <c r="D15044">
        <v>3543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7</v>
      </c>
      <c r="B15045" t="s">
        <v>34</v>
      </c>
      <c r="C15045" t="str">
        <f t="shared" si="476"/>
        <v>No cumple</v>
      </c>
      <c r="D15045">
        <v>3545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si="476"/>
        <v>No cumple</v>
      </c>
      <c r="D15046">
        <v>3562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3566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3594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19</v>
      </c>
      <c r="B15049" t="s">
        <v>34</v>
      </c>
      <c r="C15049" t="str">
        <f t="shared" si="476"/>
        <v>No cumple</v>
      </c>
      <c r="D15049">
        <v>3666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18</v>
      </c>
      <c r="B15050" t="s">
        <v>34</v>
      </c>
      <c r="C15050" t="str">
        <f t="shared" si="476"/>
        <v>No cumple</v>
      </c>
      <c r="D15050">
        <v>3731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18</v>
      </c>
      <c r="B15051" t="s">
        <v>34</v>
      </c>
      <c r="C15051" t="str">
        <f t="shared" si="476"/>
        <v>No cumple</v>
      </c>
      <c r="D15051">
        <v>3733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7</v>
      </c>
      <c r="B15052" t="s">
        <v>34</v>
      </c>
      <c r="C15052" t="str">
        <f t="shared" si="476"/>
        <v>No cumple</v>
      </c>
      <c r="D15052">
        <v>3742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3795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3865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3870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18</v>
      </c>
      <c r="B15056" t="s">
        <v>34</v>
      </c>
      <c r="C15056" t="str">
        <f t="shared" si="476"/>
        <v>No cumple</v>
      </c>
      <c r="D15056">
        <v>3884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3896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3958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7</v>
      </c>
      <c r="B15059" t="s">
        <v>34</v>
      </c>
      <c r="C15059" t="str">
        <f t="shared" si="476"/>
        <v>No cumple</v>
      </c>
      <c r="D15059">
        <v>9035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7</v>
      </c>
      <c r="B15060" t="s">
        <v>34</v>
      </c>
      <c r="C15060" t="str">
        <f t="shared" si="476"/>
        <v>No cumple</v>
      </c>
      <c r="D15060">
        <v>9684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18</v>
      </c>
      <c r="B15061" t="s">
        <v>34</v>
      </c>
      <c r="C15061" t="str">
        <f t="shared" si="476"/>
        <v>No cumple</v>
      </c>
      <c r="D15061">
        <v>9767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18</v>
      </c>
      <c r="B15062" t="s">
        <v>34</v>
      </c>
      <c r="C15062" t="str">
        <f t="shared" si="476"/>
        <v>No cumple</v>
      </c>
      <c r="D15062">
        <v>9820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7</v>
      </c>
      <c r="B15063" t="s">
        <v>34</v>
      </c>
      <c r="C15063" t="str">
        <f t="shared" si="476"/>
        <v>No cumple</v>
      </c>
      <c r="D15063">
        <v>9837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7</v>
      </c>
      <c r="B15064" t="s">
        <v>34</v>
      </c>
      <c r="C15064" t="str">
        <f t="shared" si="476"/>
        <v>No cumple</v>
      </c>
      <c r="D15064">
        <v>9921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19</v>
      </c>
      <c r="B15065" t="s">
        <v>34</v>
      </c>
      <c r="C15065" t="str">
        <f t="shared" si="476"/>
        <v>No cumple</v>
      </c>
      <c r="D15065">
        <v>3985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19</v>
      </c>
      <c r="B15066" t="s">
        <v>34</v>
      </c>
      <c r="C15066" t="str">
        <f t="shared" si="476"/>
        <v>No cumple</v>
      </c>
      <c r="D15066">
        <v>4030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3793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7</v>
      </c>
      <c r="B15068" t="s">
        <v>34</v>
      </c>
      <c r="C15068" t="str">
        <f t="shared" si="476"/>
        <v>No cumple</v>
      </c>
      <c r="D15068">
        <v>3770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3860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4043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18</v>
      </c>
      <c r="B15071" t="s">
        <v>34</v>
      </c>
      <c r="C15071" t="str">
        <f t="shared" si="476"/>
        <v>No cumple</v>
      </c>
      <c r="D15071">
        <v>4034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4054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1480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Cumple</v>
      </c>
      <c r="D15074">
        <v>2726</v>
      </c>
      <c r="E15074" t="s">
        <v>15</v>
      </c>
      <c r="F15074">
        <v>31</v>
      </c>
      <c r="G15074">
        <v>6</v>
      </c>
      <c r="H15074">
        <f>F15074-G15074</f>
        <v>25</v>
      </c>
    </row>
    <row r="15075" spans="1:8" x14ac:dyDescent="0.2">
      <c r="A15075" t="s">
        <v>7</v>
      </c>
      <c r="B15075" t="s">
        <v>34</v>
      </c>
      <c r="C15075" t="str">
        <f t="shared" si="476"/>
        <v>Cumple</v>
      </c>
      <c r="D15075">
        <v>376</v>
      </c>
      <c r="E15075" t="s">
        <v>15</v>
      </c>
      <c r="F15075">
        <v>26</v>
      </c>
      <c r="G15075">
        <v>6</v>
      </c>
      <c r="H15075">
        <f t="shared" ref="H15075:H15138" si="477">F15075-G15075</f>
        <v>20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7566</v>
      </c>
      <c r="E15076" t="s">
        <v>15</v>
      </c>
      <c r="F15076">
        <v>26</v>
      </c>
      <c r="G15076">
        <v>6</v>
      </c>
      <c r="H15076">
        <f t="shared" si="477"/>
        <v>20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3959</v>
      </c>
      <c r="E15077" t="s">
        <v>15</v>
      </c>
      <c r="F15077">
        <v>24</v>
      </c>
      <c r="G15077">
        <v>6</v>
      </c>
      <c r="H15077">
        <f t="shared" si="477"/>
        <v>18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7635</v>
      </c>
      <c r="E15078" t="s">
        <v>15</v>
      </c>
      <c r="F15078">
        <v>17</v>
      </c>
      <c r="G15078">
        <v>6</v>
      </c>
      <c r="H15078">
        <f t="shared" si="477"/>
        <v>11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3789</v>
      </c>
      <c r="E15079" t="s">
        <v>15</v>
      </c>
      <c r="F15079">
        <v>13</v>
      </c>
      <c r="G15079">
        <v>6</v>
      </c>
      <c r="H15079">
        <f t="shared" si="477"/>
        <v>7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9281</v>
      </c>
      <c r="E15080" t="s">
        <v>15</v>
      </c>
      <c r="F15080">
        <v>12</v>
      </c>
      <c r="G15080">
        <v>6</v>
      </c>
      <c r="H15080">
        <f t="shared" si="477"/>
        <v>6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7581</v>
      </c>
      <c r="E15081" t="s">
        <v>15</v>
      </c>
      <c r="F15081">
        <v>11</v>
      </c>
      <c r="G15081">
        <v>6</v>
      </c>
      <c r="H15081">
        <f t="shared" si="477"/>
        <v>5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7090</v>
      </c>
      <c r="E15082" t="s">
        <v>15</v>
      </c>
      <c r="F15082">
        <v>10</v>
      </c>
      <c r="G15082">
        <v>6</v>
      </c>
      <c r="H15082">
        <f t="shared" si="477"/>
        <v>4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9789</v>
      </c>
      <c r="E15083" t="s">
        <v>16</v>
      </c>
      <c r="F15083">
        <v>9</v>
      </c>
      <c r="G15083">
        <v>6</v>
      </c>
      <c r="H15083">
        <f t="shared" si="477"/>
        <v>3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7438</v>
      </c>
      <c r="E15084" t="s">
        <v>15</v>
      </c>
      <c r="F15084">
        <v>9</v>
      </c>
      <c r="G15084">
        <v>6</v>
      </c>
      <c r="H15084">
        <f t="shared" si="477"/>
        <v>3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7628</v>
      </c>
      <c r="E15085" t="s">
        <v>15</v>
      </c>
      <c r="F15085">
        <v>8</v>
      </c>
      <c r="G15085">
        <v>6</v>
      </c>
      <c r="H15085">
        <f t="shared" si="477"/>
        <v>2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9110</v>
      </c>
      <c r="E15086" t="s">
        <v>15</v>
      </c>
      <c r="F15086">
        <v>8</v>
      </c>
      <c r="G15086">
        <v>6</v>
      </c>
      <c r="H15086">
        <f t="shared" si="477"/>
        <v>2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9063</v>
      </c>
      <c r="E15087" t="s">
        <v>16</v>
      </c>
      <c r="F15087">
        <v>7</v>
      </c>
      <c r="G15087">
        <v>6</v>
      </c>
      <c r="H15087">
        <f t="shared" si="477"/>
        <v>1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7051</v>
      </c>
      <c r="E15088" t="s">
        <v>15</v>
      </c>
      <c r="F15088">
        <v>7</v>
      </c>
      <c r="G15088">
        <v>6</v>
      </c>
      <c r="H15088">
        <f t="shared" si="477"/>
        <v>1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3867</v>
      </c>
      <c r="E15089" t="s">
        <v>15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7059</v>
      </c>
      <c r="E15090" t="s">
        <v>15</v>
      </c>
      <c r="F15090">
        <v>6</v>
      </c>
      <c r="G15090">
        <v>6</v>
      </c>
      <c r="H15090">
        <f t="shared" si="477"/>
        <v>0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7109</v>
      </c>
      <c r="E15091" t="s">
        <v>15</v>
      </c>
      <c r="F15091">
        <v>6</v>
      </c>
      <c r="G15091">
        <v>6</v>
      </c>
      <c r="H15091">
        <f t="shared" si="477"/>
        <v>0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2210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3975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No cumple</v>
      </c>
      <c r="D15094">
        <v>7123</v>
      </c>
      <c r="E15094" t="s">
        <v>15</v>
      </c>
      <c r="F15094">
        <v>5</v>
      </c>
      <c r="G15094">
        <v>6</v>
      </c>
      <c r="H15094">
        <f t="shared" si="477"/>
        <v>-1</v>
      </c>
    </row>
    <row r="15095" spans="1:8" x14ac:dyDescent="0.2">
      <c r="A15095" t="s">
        <v>7</v>
      </c>
      <c r="B15095" t="s">
        <v>34</v>
      </c>
      <c r="C15095" t="str">
        <f t="shared" si="476"/>
        <v>No cumple</v>
      </c>
      <c r="D15095">
        <v>7044</v>
      </c>
      <c r="E15095" t="s">
        <v>15</v>
      </c>
      <c r="F15095">
        <v>5</v>
      </c>
      <c r="G15095">
        <v>6</v>
      </c>
      <c r="H15095">
        <f t="shared" si="477"/>
        <v>-1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7097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7066</v>
      </c>
      <c r="E15097" t="s">
        <v>15</v>
      </c>
      <c r="F15097">
        <v>4</v>
      </c>
      <c r="G15097">
        <v>6</v>
      </c>
      <c r="H15097">
        <f t="shared" si="477"/>
        <v>-2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7071</v>
      </c>
      <c r="E15098" t="s">
        <v>15</v>
      </c>
      <c r="F15098">
        <v>4</v>
      </c>
      <c r="G15098">
        <v>6</v>
      </c>
      <c r="H15098">
        <f t="shared" si="477"/>
        <v>-2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7116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7629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9334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7106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9887</v>
      </c>
      <c r="E15103" t="s">
        <v>16</v>
      </c>
      <c r="F15103">
        <v>3</v>
      </c>
      <c r="G15103">
        <v>6</v>
      </c>
      <c r="H15103">
        <f t="shared" si="477"/>
        <v>-3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7014</v>
      </c>
      <c r="E15104" t="s">
        <v>15</v>
      </c>
      <c r="F15104">
        <v>3</v>
      </c>
      <c r="G15104">
        <v>6</v>
      </c>
      <c r="H15104">
        <f t="shared" si="477"/>
        <v>-3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7032</v>
      </c>
      <c r="E15105" t="s">
        <v>15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7092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2736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ref="C15108:C15171" si="478">IF(H15108&gt;=0,"Cumple","No cumple")</f>
        <v>No cumple</v>
      </c>
      <c r="D15108">
        <v>7046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8"/>
        <v>No cumple</v>
      </c>
      <c r="D15109">
        <v>7055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si="478"/>
        <v>No cumple</v>
      </c>
      <c r="D15110">
        <v>7632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3996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9296</v>
      </c>
      <c r="E15112" t="s">
        <v>16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9849</v>
      </c>
      <c r="E15113" t="s">
        <v>16</v>
      </c>
      <c r="F15113">
        <v>2</v>
      </c>
      <c r="G15113">
        <v>6</v>
      </c>
      <c r="H15113">
        <f t="shared" si="477"/>
        <v>-4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3757</v>
      </c>
      <c r="E15114" t="s">
        <v>15</v>
      </c>
      <c r="F15114">
        <v>2</v>
      </c>
      <c r="G15114">
        <v>6</v>
      </c>
      <c r="H15114">
        <f t="shared" si="477"/>
        <v>-4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446</v>
      </c>
      <c r="E15115" t="s">
        <v>15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7060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7084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9259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9411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9424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9443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7042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7008</v>
      </c>
      <c r="E15123" t="s">
        <v>15</v>
      </c>
      <c r="F15123">
        <v>1</v>
      </c>
      <c r="G15123">
        <v>6</v>
      </c>
      <c r="H15123">
        <f t="shared" si="477"/>
        <v>-5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7068</v>
      </c>
      <c r="E15124" t="s">
        <v>15</v>
      </c>
      <c r="F15124">
        <v>1</v>
      </c>
      <c r="G15124">
        <v>6</v>
      </c>
      <c r="H15124">
        <f t="shared" si="477"/>
        <v>-5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7580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9120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7040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7630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9152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9604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9761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9802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2613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2849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3554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18</v>
      </c>
      <c r="B15136" t="s">
        <v>34</v>
      </c>
      <c r="C15136" t="str">
        <f t="shared" si="478"/>
        <v>No cumple</v>
      </c>
      <c r="D15136">
        <v>1089</v>
      </c>
      <c r="E15136" t="s">
        <v>16</v>
      </c>
      <c r="F15136">
        <v>0</v>
      </c>
      <c r="G15136">
        <v>6</v>
      </c>
      <c r="H15136">
        <f t="shared" si="477"/>
        <v>-6</v>
      </c>
    </row>
    <row r="15137" spans="1:8" x14ac:dyDescent="0.2">
      <c r="A15137" t="s">
        <v>18</v>
      </c>
      <c r="B15137" t="s">
        <v>34</v>
      </c>
      <c r="C15137" t="str">
        <f t="shared" si="478"/>
        <v>No cumple</v>
      </c>
      <c r="D15137">
        <v>3583</v>
      </c>
      <c r="E15137" t="s">
        <v>16</v>
      </c>
      <c r="F15137">
        <v>0</v>
      </c>
      <c r="G15137">
        <v>6</v>
      </c>
      <c r="H15137">
        <f t="shared" si="477"/>
        <v>-6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9383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9384</v>
      </c>
      <c r="E15139" t="s">
        <v>16</v>
      </c>
      <c r="F15139">
        <v>0</v>
      </c>
      <c r="G15139">
        <v>6</v>
      </c>
      <c r="H15139">
        <f t="shared" ref="H15139:H15195" si="479">F15139-G15139</f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9386</v>
      </c>
      <c r="E15140" t="s">
        <v>16</v>
      </c>
      <c r="F15140">
        <v>0</v>
      </c>
      <c r="G15140">
        <v>6</v>
      </c>
      <c r="H15140">
        <f t="shared" si="479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9388</v>
      </c>
      <c r="E15141" t="s">
        <v>16</v>
      </c>
      <c r="F15141">
        <v>0</v>
      </c>
      <c r="G15141">
        <v>6</v>
      </c>
      <c r="H15141">
        <f t="shared" si="479"/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9390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9391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7</v>
      </c>
      <c r="B15144" t="s">
        <v>34</v>
      </c>
      <c r="C15144" t="str">
        <f t="shared" si="478"/>
        <v>No cumple</v>
      </c>
      <c r="D15144">
        <v>9393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9394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9395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9407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18</v>
      </c>
      <c r="B15148" t="s">
        <v>34</v>
      </c>
      <c r="C15148" t="str">
        <f t="shared" si="478"/>
        <v>No cumple</v>
      </c>
      <c r="D15148">
        <v>9417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9418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9492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9493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9678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9947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136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1539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9387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9404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9405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9406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9409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9410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9444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9447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9494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9572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9797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7</v>
      </c>
      <c r="B15167" t="s">
        <v>34</v>
      </c>
      <c r="C15167" t="str">
        <f t="shared" si="478"/>
        <v>No cumple</v>
      </c>
      <c r="D15167">
        <v>3224</v>
      </c>
      <c r="E15167" t="s">
        <v>15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7</v>
      </c>
      <c r="B15168" t="s">
        <v>34</v>
      </c>
      <c r="C15168" t="str">
        <f t="shared" si="478"/>
        <v>No cumple</v>
      </c>
      <c r="D15168">
        <v>7026</v>
      </c>
      <c r="E15168" t="s">
        <v>15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18</v>
      </c>
      <c r="B15169" t="s">
        <v>34</v>
      </c>
      <c r="C15169" t="str">
        <f t="shared" si="478"/>
        <v>No cumple</v>
      </c>
      <c r="D15169">
        <v>7183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7345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7</v>
      </c>
      <c r="B15171" t="s">
        <v>34</v>
      </c>
      <c r="C15171" t="str">
        <f t="shared" si="478"/>
        <v>No cumple</v>
      </c>
      <c r="D15171">
        <v>7380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ref="C15172:C15195" si="480">IF(H15172&gt;=0,"Cumple","No cumple")</f>
        <v>No cumple</v>
      </c>
      <c r="D15172">
        <v>7395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80"/>
        <v>No cumple</v>
      </c>
      <c r="D15173">
        <v>7398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si="480"/>
        <v>No cumple</v>
      </c>
      <c r="D15174">
        <v>7402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18</v>
      </c>
      <c r="B15175" t="s">
        <v>34</v>
      </c>
      <c r="C15175" t="str">
        <f t="shared" si="480"/>
        <v>No cumple</v>
      </c>
      <c r="D15175">
        <v>7417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18</v>
      </c>
      <c r="B15176" t="s">
        <v>34</v>
      </c>
      <c r="C15176" t="str">
        <f t="shared" si="480"/>
        <v>No cumple</v>
      </c>
      <c r="D15176">
        <v>7474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7494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7517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7</v>
      </c>
      <c r="B15179" t="s">
        <v>34</v>
      </c>
      <c r="C15179" t="str">
        <f t="shared" si="480"/>
        <v>No cumple</v>
      </c>
      <c r="D15179">
        <v>7559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7</v>
      </c>
      <c r="B15180" t="s">
        <v>34</v>
      </c>
      <c r="C15180" t="str">
        <f t="shared" si="480"/>
        <v>No cumple</v>
      </c>
      <c r="D15180">
        <v>7567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7622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7631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1864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7038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7045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7085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7606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7633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8001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9543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18</v>
      </c>
      <c r="B15191" t="s">
        <v>34</v>
      </c>
      <c r="C15191" t="str">
        <f t="shared" si="480"/>
        <v>No cumple</v>
      </c>
      <c r="D15191">
        <v>9779</v>
      </c>
      <c r="E15191" t="s">
        <v>16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18</v>
      </c>
      <c r="B15192" t="s">
        <v>34</v>
      </c>
      <c r="C15192" t="str">
        <f t="shared" si="480"/>
        <v>No cumple</v>
      </c>
      <c r="D15192">
        <v>9529</v>
      </c>
      <c r="E15192" t="s">
        <v>16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9445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19</v>
      </c>
      <c r="B15194" t="s">
        <v>34</v>
      </c>
      <c r="C15194" t="str">
        <f t="shared" si="480"/>
        <v>No cumple</v>
      </c>
      <c r="D15194">
        <v>4058</v>
      </c>
      <c r="E15194" t="s">
        <v>15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7</v>
      </c>
      <c r="B15195" t="s">
        <v>34</v>
      </c>
      <c r="C15195" t="str">
        <f t="shared" si="480"/>
        <v>No cumple</v>
      </c>
      <c r="D15195">
        <v>4075</v>
      </c>
      <c r="E15195" t="s">
        <v>15</v>
      </c>
      <c r="F15195">
        <v>0</v>
      </c>
      <c r="G15195">
        <v>6</v>
      </c>
      <c r="H15195">
        <f t="shared" si="479"/>
        <v>-6</v>
      </c>
    </row>
  </sheetData>
  <autoFilter ref="A1:H14165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2025-12-20T00:56:15Z</dcterms:modified>
</cp:coreProperties>
</file>