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FE5267C0-262A-8D4D-A143-4672EB9ADAAB}" xr6:coauthVersionLast="47" xr6:coauthVersionMax="47" xr10:uidLastSave="{00000000-0000-0000-0000-000000000000}"/>
  <bookViews>
    <workbookView xWindow="11140" yWindow="500" windowWidth="17660" windowHeight="16260" xr2:uid="{92037B7A-FC79-482E-9F0E-7B97B523F632}"/>
  </bookViews>
  <sheets>
    <sheet name="data" sheetId="1" r:id="rId1"/>
  </sheets>
  <definedNames>
    <definedName name="_xlnm._FilterDatabase" localSheetId="0" hidden="1">data!$A$1:$H$14165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 s="1"/>
  <c r="H15195" i="1" l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 s="1"/>
  <c r="H15186" i="1"/>
  <c r="C15186" i="1"/>
  <c r="H15185" i="1"/>
  <c r="C15185" i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 s="1"/>
  <c r="H15157" i="1"/>
  <c r="C15157" i="1"/>
  <c r="H15156" i="1"/>
  <c r="C15156" i="1" s="1"/>
  <c r="H15155" i="1"/>
  <c r="C15155" i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 s="1"/>
  <c r="H15143" i="1"/>
  <c r="C15143" i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/>
  <c r="H15128" i="1"/>
  <c r="C15128" i="1" s="1"/>
  <c r="H15127" i="1"/>
  <c r="C15127" i="1"/>
  <c r="H15126" i="1"/>
  <c r="C15126" i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/>
  <c r="H15116" i="1"/>
  <c r="C15116" i="1" s="1"/>
  <c r="H15115" i="1"/>
  <c r="C15115" i="1" s="1"/>
  <c r="H15114" i="1"/>
  <c r="C15114" i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/>
  <c r="H15093" i="1"/>
  <c r="C15093" i="1" s="1"/>
  <c r="H15092" i="1"/>
  <c r="C15092" i="1" s="1"/>
  <c r="H15091" i="1"/>
  <c r="C15091" i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/>
  <c r="H15084" i="1"/>
  <c r="C15084" i="1" s="1"/>
  <c r="H15083" i="1"/>
  <c r="C15083" i="1" s="1"/>
  <c r="H15082" i="1"/>
  <c r="C15082" i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/>
  <c r="C15074" i="1" s="1"/>
  <c r="H15073" i="1" l="1"/>
  <c r="C15073" i="1" s="1"/>
  <c r="H15072" i="1"/>
  <c r="C15072" i="1"/>
  <c r="H15071" i="1"/>
  <c r="C15071" i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/>
  <c r="H15050" i="1"/>
  <c r="C15050" i="1" s="1"/>
  <c r="H15049" i="1"/>
  <c r="C15049" i="1" s="1"/>
  <c r="H15048" i="1"/>
  <c r="C15048" i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 s="1"/>
  <c r="H15040" i="1"/>
  <c r="C15040" i="1"/>
  <c r="H15039" i="1"/>
  <c r="C15039" i="1"/>
  <c r="H15038" i="1"/>
  <c r="C15038" i="1" s="1"/>
  <c r="H15037" i="1"/>
  <c r="C15037" i="1" s="1"/>
  <c r="H15036" i="1"/>
  <c r="C15036" i="1" s="1"/>
  <c r="H15035" i="1"/>
  <c r="C15035" i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/>
  <c r="H15023" i="1"/>
  <c r="C15023" i="1" s="1"/>
  <c r="H15022" i="1"/>
  <c r="C15022" i="1" s="1"/>
  <c r="H15021" i="1"/>
  <c r="C15021" i="1" s="1"/>
  <c r="H15020" i="1"/>
  <c r="C15020" i="1" s="1"/>
  <c r="H15019" i="1"/>
  <c r="C15019" i="1"/>
  <c r="H15018" i="1"/>
  <c r="C15018" i="1" s="1"/>
  <c r="H15017" i="1"/>
  <c r="C15017" i="1" s="1"/>
  <c r="H15016" i="1"/>
  <c r="C15016" i="1" s="1"/>
  <c r="H15015" i="1"/>
  <c r="C15015" i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/>
  <c r="H15007" i="1"/>
  <c r="C15007" i="1" s="1"/>
  <c r="H15006" i="1"/>
  <c r="C15006" i="1" s="1"/>
  <c r="H15005" i="1"/>
  <c r="C15005" i="1" s="1"/>
  <c r="H15004" i="1"/>
  <c r="C15004" i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/>
  <c r="H14945" i="1"/>
  <c r="C14945" i="1" s="1"/>
  <c r="H14944" i="1"/>
  <c r="C14944" i="1"/>
  <c r="H14943" i="1"/>
  <c r="C14943" i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/>
  <c r="H14927" i="1"/>
  <c r="C14927" i="1" s="1"/>
  <c r="H14926" i="1"/>
  <c r="C14926" i="1" s="1"/>
  <c r="H14925" i="1"/>
  <c r="C14925" i="1" s="1"/>
  <c r="H14924" i="1"/>
  <c r="C14924" i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/>
  <c r="H14907" i="1"/>
  <c r="C14907" i="1" s="1"/>
  <c r="H14906" i="1"/>
  <c r="C14906" i="1" s="1"/>
  <c r="H14905" i="1"/>
  <c r="C14905" i="1" s="1"/>
  <c r="H14904" i="1"/>
  <c r="C14904" i="1" s="1"/>
  <c r="H14903" i="1"/>
  <c r="C14903" i="1" s="1"/>
  <c r="H14902" i="1"/>
  <c r="C14902" i="1"/>
  <c r="H14901" i="1"/>
  <c r="C14901" i="1" s="1"/>
  <c r="H14900" i="1"/>
  <c r="C14900" i="1" s="1"/>
  <c r="H14899" i="1"/>
  <c r="C14899" i="1" s="1"/>
  <c r="H14898" i="1"/>
  <c r="C14898" i="1" s="1"/>
  <c r="H14897" i="1"/>
  <c r="C14897" i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 s="1"/>
  <c r="H14852" i="1"/>
  <c r="C14852" i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/>
  <c r="H14832" i="1"/>
  <c r="C14832" i="1" s="1"/>
  <c r="H14831" i="1"/>
  <c r="C14831" i="1" s="1"/>
  <c r="H14830" i="1"/>
  <c r="C14830" i="1" s="1"/>
  <c r="H14829" i="1"/>
  <c r="C14829" i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 s="1"/>
  <c r="H14819" i="1"/>
  <c r="C14819" i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/>
  <c r="H14801" i="1"/>
  <c r="C14801" i="1" s="1"/>
  <c r="H14800" i="1"/>
  <c r="C14800" i="1"/>
  <c r="H14799" i="1"/>
  <c r="C14799" i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/>
  <c r="H14790" i="1"/>
  <c r="C14790" i="1" s="1"/>
  <c r="H14789" i="1"/>
  <c r="C14789" i="1" s="1"/>
  <c r="H14788" i="1"/>
  <c r="C14788" i="1"/>
  <c r="H14787" i="1"/>
  <c r="C14787" i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/>
  <c r="H14775" i="1"/>
  <c r="C14775" i="1" s="1"/>
  <c r="H14774" i="1"/>
  <c r="C14774" i="1" s="1"/>
  <c r="H14773" i="1"/>
  <c r="C14773" i="1" s="1"/>
  <c r="H14772" i="1"/>
  <c r="C14772" i="1"/>
  <c r="H14771" i="1"/>
  <c r="C14771" i="1" s="1"/>
  <c r="H14770" i="1"/>
  <c r="C14770" i="1"/>
  <c r="H14769" i="1"/>
  <c r="C14769" i="1" s="1"/>
  <c r="H14768" i="1"/>
  <c r="C14768" i="1" s="1"/>
  <c r="H14767" i="1"/>
  <c r="C14767" i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/>
  <c r="H14758" i="1"/>
  <c r="C14758" i="1" s="1"/>
  <c r="H14757" i="1"/>
  <c r="C14757" i="1" s="1"/>
  <c r="H14756" i="1"/>
  <c r="C14756" i="1" s="1"/>
  <c r="H14755" i="1"/>
  <c r="C14755" i="1"/>
  <c r="H14754" i="1"/>
  <c r="C14754" i="1"/>
  <c r="H14753" i="1"/>
  <c r="C14753" i="1" s="1"/>
  <c r="H14752" i="1"/>
  <c r="C14752" i="1" s="1"/>
  <c r="H14751" i="1"/>
  <c r="C14751" i="1" s="1"/>
  <c r="H14750" i="1"/>
  <c r="C14750" i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/>
  <c r="H14742" i="1"/>
  <c r="C14742" i="1" s="1"/>
  <c r="H14741" i="1"/>
  <c r="C14741" i="1" s="1"/>
  <c r="H14740" i="1"/>
  <c r="C14740" i="1" s="1"/>
  <c r="H14739" i="1"/>
  <c r="C14739" i="1" s="1"/>
  <c r="H14738" i="1"/>
  <c r="C14738" i="1"/>
  <c r="H14737" i="1"/>
  <c r="C14737" i="1" s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/>
  <c r="H14726" i="1"/>
  <c r="C14726" i="1" s="1"/>
  <c r="H14725" i="1"/>
  <c r="C14725" i="1" s="1"/>
  <c r="H14724" i="1"/>
  <c r="C14724" i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/>
  <c r="C14715" i="1" s="1"/>
  <c r="H14714" i="1" l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 s="1"/>
  <c r="H14680" i="1"/>
  <c r="C14680" i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 s="1"/>
  <c r="H14499" i="1"/>
  <c r="C14499" i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 s="1"/>
  <c r="H14388" i="1"/>
  <c r="C14388" i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/>
  <c r="H14336" i="1"/>
  <c r="C14336" i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14166" i="1"/>
  <c r="C14166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C3560" i="1" s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<sst xmlns="http://schemas.openxmlformats.org/spreadsheetml/2006/main" count="45590" uniqueCount="35">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</sst>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5"/>
  <sheetViews>
    <sheetView tabSelected="1" topLeftCell="A12270" zoomScaleNormal="100" workbookViewId="0">
      <selection activeCell="F12289" sqref="F12289"/>
    </sheetView>
  </sheetViews>
  <sheetFormatPr baseColWidth="10" defaultRowHeight="15" x14ac:dyDescent="0.2"/>
  <cols>
    <col min="4" max="4" width="10.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Cumple</v>
      </c>
      <c r="D2482" s="17">
        <v>707</v>
      </c>
      <c r="E2482" s="19" t="s">
        <v>13</v>
      </c>
      <c r="F2482" s="9">
        <v>6</v>
      </c>
      <c r="G2482">
        <v>6</v>
      </c>
      <c r="H2482">
        <f t="shared" si="79"/>
        <v>0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Cumple</v>
      </c>
      <c r="D3560" s="16">
        <v>9575</v>
      </c>
      <c r="E3560" s="19" t="s">
        <v>13</v>
      </c>
      <c r="F3560" s="9">
        <v>6</v>
      </c>
      <c r="G3560">
        <v>6</v>
      </c>
      <c r="H3560">
        <f t="shared" si="113"/>
        <v>0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Cumple</v>
      </c>
      <c r="D5761" s="16">
        <v>9575</v>
      </c>
      <c r="E5761" s="19" t="s">
        <v>13</v>
      </c>
      <c r="F5761" s="9">
        <v>6</v>
      </c>
      <c r="G5761">
        <v>6</v>
      </c>
      <c r="H5761">
        <f t="shared" si="181"/>
        <v>0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Cumple</v>
      </c>
      <c r="D6634">
        <v>707</v>
      </c>
      <c r="E6634" t="s">
        <v>13</v>
      </c>
      <c r="F6634" s="9">
        <v>6</v>
      </c>
      <c r="G6634">
        <v>6</v>
      </c>
      <c r="H6634">
        <f t="shared" si="209"/>
        <v>0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Cumple</v>
      </c>
      <c r="D7662">
        <v>1429</v>
      </c>
      <c r="E7662" t="s">
        <v>13</v>
      </c>
      <c r="F7662">
        <v>6</v>
      </c>
      <c r="G7662">
        <v>6</v>
      </c>
      <c r="H7662">
        <f t="shared" si="241"/>
        <v>0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Cumple</v>
      </c>
      <c r="D8679">
        <v>9575</v>
      </c>
      <c r="E8679" t="s">
        <v>13</v>
      </c>
      <c r="F8679" s="9">
        <v>6</v>
      </c>
      <c r="G8679">
        <v>6</v>
      </c>
      <c r="H8679">
        <f t="shared" si="273"/>
        <v>0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Cumple</v>
      </c>
      <c r="D8761">
        <v>807</v>
      </c>
      <c r="E8761" t="s">
        <v>13</v>
      </c>
      <c r="F8761" s="39">
        <v>3</v>
      </c>
      <c r="G8761">
        <v>3</v>
      </c>
      <c r="H8761">
        <f t="shared" si="275"/>
        <v>0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Cumple</v>
      </c>
      <c r="D8806">
        <v>9020</v>
      </c>
      <c r="E8806" t="s">
        <v>13</v>
      </c>
      <c r="F8806" s="9">
        <v>6</v>
      </c>
      <c r="G8806">
        <v>6</v>
      </c>
      <c r="H8806">
        <f t="shared" si="277"/>
        <v>0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Cumple</v>
      </c>
      <c r="D8845">
        <v>2356</v>
      </c>
      <c r="E8845" t="s">
        <v>13</v>
      </c>
      <c r="F8845" s="39">
        <v>3</v>
      </c>
      <c r="G8845" s="39">
        <v>3</v>
      </c>
      <c r="H8845">
        <f t="shared" si="279"/>
        <v>0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Cumple</v>
      </c>
      <c r="D8859">
        <v>9102</v>
      </c>
      <c r="E8859" t="s">
        <v>13</v>
      </c>
      <c r="F8859" s="9">
        <v>6</v>
      </c>
      <c r="G8859">
        <v>6</v>
      </c>
      <c r="H8859">
        <f t="shared" si="279"/>
        <v>0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Cumple</v>
      </c>
      <c r="D8868">
        <v>9938</v>
      </c>
      <c r="E8868" t="s">
        <v>13</v>
      </c>
      <c r="F8868" s="9">
        <v>6</v>
      </c>
      <c r="G8868">
        <v>6</v>
      </c>
      <c r="H8868">
        <f t="shared" si="279"/>
        <v>0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 s="39">
        <v>3</v>
      </c>
      <c r="H9609">
        <f t="shared" si="303"/>
        <v>8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Cumple</v>
      </c>
      <c r="D9750">
        <v>3842</v>
      </c>
      <c r="E9750" t="s">
        <v>13</v>
      </c>
      <c r="F9750" s="9">
        <v>6</v>
      </c>
      <c r="G9750">
        <v>6</v>
      </c>
      <c r="H9750">
        <f t="shared" si="307"/>
        <v>0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Cumple</v>
      </c>
      <c r="D9828">
        <v>917</v>
      </c>
      <c r="E9828" t="s">
        <v>13</v>
      </c>
      <c r="F9828" s="39">
        <v>3</v>
      </c>
      <c r="G9828">
        <v>3</v>
      </c>
      <c r="H9828">
        <f t="shared" si="309"/>
        <v>0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Cumple</v>
      </c>
      <c r="D9869">
        <v>9102</v>
      </c>
      <c r="E9869" t="s">
        <v>13</v>
      </c>
      <c r="F9869" s="9">
        <v>6</v>
      </c>
      <c r="G9869">
        <v>6</v>
      </c>
      <c r="H9869">
        <f t="shared" si="311"/>
        <v>0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Cumple</v>
      </c>
      <c r="D10204">
        <v>9794</v>
      </c>
      <c r="E10204" t="s">
        <v>8</v>
      </c>
      <c r="F10204" s="9">
        <v>6</v>
      </c>
      <c r="G10204">
        <v>6</v>
      </c>
      <c r="H10204">
        <f t="shared" si="321"/>
        <v>0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Cumple</v>
      </c>
      <c r="D10775">
        <v>707</v>
      </c>
      <c r="E10775" t="s">
        <v>13</v>
      </c>
      <c r="F10775" s="9">
        <v>6</v>
      </c>
      <c r="G10775">
        <v>6</v>
      </c>
      <c r="H10775">
        <f t="shared" si="339"/>
        <v>0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Cumple</v>
      </c>
      <c r="D10779">
        <v>794</v>
      </c>
      <c r="E10779" t="s">
        <v>13</v>
      </c>
      <c r="F10779" s="39">
        <v>6</v>
      </c>
      <c r="G10779">
        <v>6</v>
      </c>
      <c r="H10779">
        <f t="shared" si="339"/>
        <v>0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Cumple</v>
      </c>
      <c r="D10784">
        <v>2356</v>
      </c>
      <c r="E10784" t="s">
        <v>13</v>
      </c>
      <c r="F10784">
        <v>4</v>
      </c>
      <c r="G10784" s="39">
        <v>3</v>
      </c>
      <c r="H10784">
        <f t="shared" si="339"/>
        <v>1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Cumple</v>
      </c>
      <c r="D10843">
        <v>9020</v>
      </c>
      <c r="E10843" t="s">
        <v>13</v>
      </c>
      <c r="F10843" s="39">
        <v>6</v>
      </c>
      <c r="G10843">
        <v>6</v>
      </c>
      <c r="H10843">
        <f t="shared" si="341"/>
        <v>0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Cumple</v>
      </c>
      <c r="D10869">
        <v>2502</v>
      </c>
      <c r="E10869" t="s">
        <v>13</v>
      </c>
      <c r="F10869" s="39">
        <v>6</v>
      </c>
      <c r="G10869">
        <v>6</v>
      </c>
      <c r="H10869">
        <f t="shared" si="341"/>
        <v>0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Cumple</v>
      </c>
      <c r="D10885">
        <v>9938</v>
      </c>
      <c r="E10885" t="s">
        <v>13</v>
      </c>
      <c r="F10885" s="9">
        <v>3</v>
      </c>
      <c r="G10885">
        <v>3</v>
      </c>
      <c r="H10885">
        <f t="shared" si="343"/>
        <v>0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3"/>
        <v>-4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 s="39">
        <v>3</v>
      </c>
      <c r="H11815">
        <f t="shared" si="371"/>
        <v>3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9017</v>
      </c>
      <c r="E11875" t="s">
        <v>13</v>
      </c>
      <c r="F11875" s="39">
        <v>6</v>
      </c>
      <c r="G11875">
        <v>6</v>
      </c>
      <c r="H11875">
        <f t="shared" si="373"/>
        <v>0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No cumple</v>
      </c>
      <c r="D12231">
        <v>2005</v>
      </c>
      <c r="E12231" t="s">
        <v>8</v>
      </c>
      <c r="F12231">
        <v>7</v>
      </c>
      <c r="G12231">
        <v>8</v>
      </c>
      <c r="H12231">
        <f t="shared" si="385"/>
        <v>-1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9226</v>
      </c>
      <c r="E12289" t="s">
        <v>8</v>
      </c>
      <c r="F12289" s="39">
        <v>8</v>
      </c>
      <c r="G12289">
        <v>8</v>
      </c>
      <c r="H12289">
        <f t="shared" si="385"/>
        <v>0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Cumple</v>
      </c>
      <c r="D12337">
        <v>9794</v>
      </c>
      <c r="E12337" t="s">
        <v>8</v>
      </c>
      <c r="F12337" s="39">
        <v>6</v>
      </c>
      <c r="G12337">
        <v>6</v>
      </c>
      <c r="H12337">
        <f t="shared" si="387"/>
        <v>0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2278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Cumple</v>
      </c>
      <c r="D12967">
        <v>807</v>
      </c>
      <c r="E12967" t="s">
        <v>13</v>
      </c>
      <c r="F12967" s="39">
        <v>3</v>
      </c>
      <c r="G12967">
        <v>3</v>
      </c>
      <c r="H12967">
        <f t="shared" si="407"/>
        <v>0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2973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>
        <v>6</v>
      </c>
      <c r="H13291">
        <f t="shared" si="417"/>
        <v>7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507</v>
      </c>
      <c r="E13437" t="s">
        <v>8</v>
      </c>
      <c r="F13437">
        <v>1</v>
      </c>
      <c r="G13437">
        <v>6</v>
      </c>
      <c r="H13437">
        <f t="shared" si="421"/>
        <v>-5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9850</v>
      </c>
      <c r="E13515" t="s">
        <v>8</v>
      </c>
      <c r="F13515" s="9">
        <v>0</v>
      </c>
      <c r="G13515" s="9">
        <v>8</v>
      </c>
      <c r="H13515">
        <f t="shared" si="425"/>
        <v>-8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3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5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207</v>
      </c>
      <c r="E13926" t="s">
        <v>13</v>
      </c>
      <c r="F13926">
        <v>3</v>
      </c>
      <c r="G13926">
        <v>3</v>
      </c>
      <c r="H13926">
        <f t="shared" si="437"/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221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677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715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772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794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803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37"/>
        <v>-3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923</v>
      </c>
      <c r="E13934" t="s">
        <v>13</v>
      </c>
      <c r="F13934" s="9">
        <v>6</v>
      </c>
      <c r="G13934">
        <v>6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1224</v>
      </c>
      <c r="E13935" t="s">
        <v>13</v>
      </c>
      <c r="F13935">
        <v>3</v>
      </c>
      <c r="G13935">
        <v>3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1402</v>
      </c>
      <c r="E13936" t="s">
        <v>13</v>
      </c>
      <c r="F13936" s="9">
        <v>6</v>
      </c>
      <c r="G13936">
        <v>6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1411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1425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1434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1553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1584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1594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1773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2722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2848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3294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3694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3703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9017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9035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9246</v>
      </c>
      <c r="E13951" t="s">
        <v>13</v>
      </c>
      <c r="F13951" s="9">
        <v>6</v>
      </c>
      <c r="G13951">
        <v>6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9301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37"/>
        <v>-3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ref="H13954:H14017" si="439">F13954-G13954</f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Cumple</v>
      </c>
      <c r="D13955">
        <v>9720</v>
      </c>
      <c r="E13955" t="s">
        <v>13</v>
      </c>
      <c r="F13955">
        <v>3</v>
      </c>
      <c r="G13955">
        <v>3</v>
      </c>
      <c r="H13955">
        <f t="shared" si="439"/>
        <v>0</v>
      </c>
    </row>
    <row r="13956" spans="1:8" x14ac:dyDescent="0.2">
      <c r="A13956" t="s">
        <v>7</v>
      </c>
      <c r="B13956" t="s">
        <v>33</v>
      </c>
      <c r="C13956" t="str">
        <f t="shared" ref="C13956:C14019" si="440">IF(H13956&gt;=0,"Cumple","No cumple")</f>
        <v>Cumple</v>
      </c>
      <c r="D13956">
        <v>9744</v>
      </c>
      <c r="E13956" t="s">
        <v>13</v>
      </c>
      <c r="F13956">
        <v>3</v>
      </c>
      <c r="G13956">
        <v>3</v>
      </c>
      <c r="H13956">
        <f t="shared" si="439"/>
        <v>0</v>
      </c>
    </row>
    <row r="13957" spans="1:8" x14ac:dyDescent="0.2">
      <c r="A13957" t="s">
        <v>7</v>
      </c>
      <c r="B13957" t="s">
        <v>33</v>
      </c>
      <c r="C13957" t="str">
        <f t="shared" si="440"/>
        <v>Cumple</v>
      </c>
      <c r="D13957">
        <v>9991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si="440"/>
        <v>Cumple</v>
      </c>
      <c r="D13958">
        <v>3984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4056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4057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No cumple</v>
      </c>
      <c r="D13961">
        <v>205</v>
      </c>
      <c r="E13961" t="s">
        <v>13</v>
      </c>
      <c r="F13961">
        <v>2</v>
      </c>
      <c r="G13961">
        <v>3</v>
      </c>
      <c r="H13961">
        <f t="shared" si="439"/>
        <v>-1</v>
      </c>
    </row>
    <row r="13962" spans="1:8" x14ac:dyDescent="0.2">
      <c r="A13962" t="s">
        <v>7</v>
      </c>
      <c r="B13962" t="s">
        <v>33</v>
      </c>
      <c r="C13962" t="str">
        <f t="shared" si="440"/>
        <v>No cumple</v>
      </c>
      <c r="D13962">
        <v>217</v>
      </c>
      <c r="E13962" t="s">
        <v>13</v>
      </c>
      <c r="F13962">
        <v>2</v>
      </c>
      <c r="G13962">
        <v>3</v>
      </c>
      <c r="H13962">
        <f t="shared" si="439"/>
        <v>-1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224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227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679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717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39"/>
        <v>-4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1472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2857</v>
      </c>
      <c r="E13969" t="s">
        <v>13</v>
      </c>
      <c r="F13969">
        <v>2</v>
      </c>
      <c r="G13969">
        <v>3</v>
      </c>
      <c r="H13969">
        <f t="shared" si="439"/>
        <v>-1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3424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3565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3677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3733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3866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3887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3913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9333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9658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9665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9298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4033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4043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4044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39"/>
        <v>-4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2875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226</v>
      </c>
      <c r="E13986" t="s">
        <v>13</v>
      </c>
      <c r="F13986">
        <v>1</v>
      </c>
      <c r="G13986">
        <v>3</v>
      </c>
      <c r="H13986">
        <f t="shared" si="439"/>
        <v>-2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243</v>
      </c>
      <c r="E13987" t="s">
        <v>13</v>
      </c>
      <c r="F13987">
        <v>1</v>
      </c>
      <c r="G13987">
        <v>3</v>
      </c>
      <c r="H13987">
        <f t="shared" si="439"/>
        <v>-2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251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821</v>
      </c>
      <c r="E13989" t="s">
        <v>13</v>
      </c>
      <c r="F13989">
        <v>1</v>
      </c>
      <c r="G13989" s="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847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859</v>
      </c>
      <c r="E13991" t="s">
        <v>13</v>
      </c>
      <c r="F13991">
        <v>1</v>
      </c>
      <c r="G13991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903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926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39"/>
        <v>-5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1420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1698</v>
      </c>
      <c r="E13996" t="s">
        <v>13</v>
      </c>
      <c r="F13996">
        <v>1</v>
      </c>
      <c r="G13996">
        <v>3</v>
      </c>
      <c r="H13996">
        <f t="shared" si="439"/>
        <v>-2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1699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3735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3742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3790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3833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9382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9656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9921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9381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747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230</v>
      </c>
      <c r="E14007" t="s">
        <v>13</v>
      </c>
      <c r="F14007">
        <v>0</v>
      </c>
      <c r="G14007">
        <v>3</v>
      </c>
      <c r="H14007">
        <f t="shared" si="439"/>
        <v>-3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239</v>
      </c>
      <c r="E14008" t="s">
        <v>13</v>
      </c>
      <c r="F14008">
        <v>0</v>
      </c>
      <c r="G14008">
        <v>3</v>
      </c>
      <c r="H14008">
        <f t="shared" si="439"/>
        <v>-3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245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248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836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858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865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902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1297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1423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1437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1441</v>
      </c>
      <c r="E14018" t="s">
        <v>13</v>
      </c>
      <c r="F14018">
        <v>0</v>
      </c>
      <c r="G14018">
        <v>3</v>
      </c>
      <c r="H14018">
        <f t="shared" ref="H14018:H14081" si="441">F14018-G14018</f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1453</v>
      </c>
      <c r="E14019" t="s">
        <v>13</v>
      </c>
      <c r="F14019">
        <v>0</v>
      </c>
      <c r="G14019">
        <v>3</v>
      </c>
      <c r="H14019">
        <f t="shared" si="441"/>
        <v>-3</v>
      </c>
    </row>
    <row r="14020" spans="1:8" x14ac:dyDescent="0.2">
      <c r="A14020" t="s">
        <v>7</v>
      </c>
      <c r="B14020" t="s">
        <v>33</v>
      </c>
      <c r="C14020" t="str">
        <f t="shared" ref="C14020:C14083" si="442">IF(H14020&gt;=0,"Cumple","No cumple")</f>
        <v>No cumple</v>
      </c>
      <c r="D14020">
        <v>1470</v>
      </c>
      <c r="E14020" t="s">
        <v>13</v>
      </c>
      <c r="F14020">
        <v>0</v>
      </c>
      <c r="G14020">
        <v>3</v>
      </c>
      <c r="H14020">
        <f t="shared" si="441"/>
        <v>-3</v>
      </c>
    </row>
    <row r="14021" spans="1:8" x14ac:dyDescent="0.2">
      <c r="A14021" t="s">
        <v>7</v>
      </c>
      <c r="B14021" t="s">
        <v>33</v>
      </c>
      <c r="C14021" t="str">
        <f t="shared" si="442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41"/>
        <v>-6</v>
      </c>
    </row>
    <row r="14022" spans="1:8" x14ac:dyDescent="0.2">
      <c r="A14022" t="s">
        <v>7</v>
      </c>
      <c r="B14022" t="s">
        <v>33</v>
      </c>
      <c r="C14022" t="str">
        <f t="shared" si="442"/>
        <v>No cumple</v>
      </c>
      <c r="D14022">
        <v>1615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1792</v>
      </c>
      <c r="E14023" t="s">
        <v>13</v>
      </c>
      <c r="F14023">
        <v>0</v>
      </c>
      <c r="G14023">
        <v>3</v>
      </c>
      <c r="H14023">
        <f t="shared" si="441"/>
        <v>-3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1828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2549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2563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2703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3543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3545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3562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3594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3666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3731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3819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3840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3893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7028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9004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9684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9767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9837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41"/>
        <v>-6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9821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319</v>
      </c>
      <c r="E14044" t="s">
        <v>13</v>
      </c>
      <c r="F14044">
        <v>0</v>
      </c>
      <c r="G14044">
        <v>3</v>
      </c>
      <c r="H14044">
        <f t="shared" si="441"/>
        <v>-3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4034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Cumple</v>
      </c>
      <c r="D14046">
        <v>2726</v>
      </c>
      <c r="E14046" t="s">
        <v>15</v>
      </c>
      <c r="F14046">
        <v>37</v>
      </c>
      <c r="G14046">
        <v>6</v>
      </c>
      <c r="H14046">
        <f t="shared" si="441"/>
        <v>31</v>
      </c>
    </row>
    <row r="14047" spans="1:8" x14ac:dyDescent="0.2">
      <c r="A14047" t="s">
        <v>7</v>
      </c>
      <c r="B14047" t="s">
        <v>33</v>
      </c>
      <c r="C14047" t="str">
        <f t="shared" si="442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si="441"/>
        <v>30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41"/>
        <v>29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41"/>
        <v>23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41"/>
        <v>15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41"/>
        <v>11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41"/>
        <v>9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41"/>
        <v>7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41"/>
        <v>7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41"/>
        <v>6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41"/>
        <v>5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41"/>
        <v>5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41"/>
        <v>4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41"/>
        <v>4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41"/>
        <v>2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41"/>
        <v>2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41"/>
        <v>1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41"/>
        <v>0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41"/>
        <v>0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41"/>
        <v>-1</v>
      </c>
    </row>
    <row r="14071" spans="1:8" x14ac:dyDescent="0.2">
      <c r="A14071" t="s">
        <v>7</v>
      </c>
      <c r="B14071" t="s">
        <v>33</v>
      </c>
      <c r="C14071" t="str">
        <f t="shared" si="442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41"/>
        <v>-1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41"/>
        <v>-2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41"/>
        <v>-2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41"/>
        <v>-3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41"/>
        <v>-3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ref="H14082:H14145" si="443">F14082-G14082</f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43"/>
        <v>-3</v>
      </c>
    </row>
    <row r="14084" spans="1:8" x14ac:dyDescent="0.2">
      <c r="A14084" t="s">
        <v>7</v>
      </c>
      <c r="B14084" t="s">
        <v>33</v>
      </c>
      <c r="C14084" t="str">
        <f t="shared" ref="C14084:C14147" si="444">IF(H14084&gt;=0,"Cumple","No cumple")</f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43"/>
        <v>-3</v>
      </c>
    </row>
    <row r="14085" spans="1:8" x14ac:dyDescent="0.2">
      <c r="A14085" t="s">
        <v>7</v>
      </c>
      <c r="B14085" t="s">
        <v>33</v>
      </c>
      <c r="C14085" t="str">
        <f t="shared" si="444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43"/>
        <v>-4</v>
      </c>
    </row>
    <row r="14086" spans="1:8" x14ac:dyDescent="0.2">
      <c r="A14086" t="s">
        <v>7</v>
      </c>
      <c r="B14086" t="s">
        <v>33</v>
      </c>
      <c r="C14086" t="str">
        <f t="shared" si="444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43"/>
        <v>-4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43"/>
        <v>-5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43"/>
        <v>-5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18</v>
      </c>
      <c r="B14106" t="s">
        <v>33</v>
      </c>
      <c r="C14106" t="str">
        <f t="shared" si="444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43"/>
        <v>-6</v>
      </c>
    </row>
    <row r="14107" spans="1:8" x14ac:dyDescent="0.2">
      <c r="A14107" t="s">
        <v>18</v>
      </c>
      <c r="B14107" t="s">
        <v>33</v>
      </c>
      <c r="C14107" t="str">
        <f t="shared" si="444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43"/>
        <v>-6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7</v>
      </c>
      <c r="B14120" t="s">
        <v>33</v>
      </c>
      <c r="C14120" t="str">
        <f t="shared" si="444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18</v>
      </c>
      <c r="B14122" t="s">
        <v>33</v>
      </c>
      <c r="C14122" t="str">
        <f t="shared" si="444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7</v>
      </c>
      <c r="B14137" t="s">
        <v>33</v>
      </c>
      <c r="C14137" t="str">
        <f t="shared" si="444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7</v>
      </c>
      <c r="B14138" t="s">
        <v>33</v>
      </c>
      <c r="C14138" t="str">
        <f t="shared" si="444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18</v>
      </c>
      <c r="B14140" t="s">
        <v>33</v>
      </c>
      <c r="C14140" t="str">
        <f t="shared" si="444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7</v>
      </c>
      <c r="B14142" t="s">
        <v>33</v>
      </c>
      <c r="C14142" t="str">
        <f t="shared" si="444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18</v>
      </c>
      <c r="B14143" t="s">
        <v>33</v>
      </c>
      <c r="C14143" t="str">
        <f t="shared" si="444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ref="H14146:H14165" si="445">F14146-G14146</f>
        <v>-6</v>
      </c>
    </row>
    <row r="14147" spans="1:8" x14ac:dyDescent="0.2">
      <c r="A14147" t="s">
        <v>7</v>
      </c>
      <c r="B14147" t="s">
        <v>33</v>
      </c>
      <c r="C14147" t="str">
        <f t="shared" si="444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45"/>
        <v>-6</v>
      </c>
    </row>
    <row r="14148" spans="1:8" x14ac:dyDescent="0.2">
      <c r="A14148" t="s">
        <v>7</v>
      </c>
      <c r="B14148" t="s">
        <v>33</v>
      </c>
      <c r="C14148" t="str">
        <f t="shared" ref="C14148:C14211" si="446">IF(H14148&gt;=0,"Cumple","No cumple")</f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45"/>
        <v>-6</v>
      </c>
    </row>
    <row r="14149" spans="1:8" x14ac:dyDescent="0.2">
      <c r="A14149" t="s">
        <v>7</v>
      </c>
      <c r="B14149" t="s">
        <v>33</v>
      </c>
      <c r="C14149" t="str">
        <f t="shared" si="446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18</v>
      </c>
      <c r="B14150" t="s">
        <v>33</v>
      </c>
      <c r="C14150" t="str">
        <f t="shared" si="446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18</v>
      </c>
      <c r="B14151" t="s">
        <v>33</v>
      </c>
      <c r="C14151" t="str">
        <f t="shared" si="446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7</v>
      </c>
      <c r="B14152" t="s">
        <v>33</v>
      </c>
      <c r="C14152" t="str">
        <f t="shared" si="446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7</v>
      </c>
      <c r="B14153" t="s">
        <v>33</v>
      </c>
      <c r="C14153" t="str">
        <f t="shared" si="446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18</v>
      </c>
      <c r="B14161" t="s">
        <v>33</v>
      </c>
      <c r="C14161" t="str">
        <f t="shared" si="446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18</v>
      </c>
      <c r="B14164" t="s">
        <v>33</v>
      </c>
      <c r="C14164" t="str">
        <f t="shared" si="446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7</v>
      </c>
      <c r="B14165" t="s">
        <v>33</v>
      </c>
      <c r="C14165" t="str">
        <f t="shared" si="446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7</v>
      </c>
      <c r="B14166" t="s">
        <v>34</v>
      </c>
      <c r="C14166" t="str">
        <f t="shared" si="446"/>
        <v>Cumple</v>
      </c>
      <c r="D14166">
        <v>9214</v>
      </c>
      <c r="E14166" t="s">
        <v>8</v>
      </c>
      <c r="F14166">
        <v>26</v>
      </c>
      <c r="G14166">
        <v>8</v>
      </c>
      <c r="H14166">
        <f>F14166-G14166</f>
        <v>18</v>
      </c>
    </row>
    <row r="14167" spans="1:8" x14ac:dyDescent="0.2">
      <c r="A14167" t="s">
        <v>7</v>
      </c>
      <c r="B14167" t="s">
        <v>34</v>
      </c>
      <c r="C14167" t="str">
        <f t="shared" si="446"/>
        <v>Cumple</v>
      </c>
      <c r="D14167">
        <v>302</v>
      </c>
      <c r="E14167" t="s">
        <v>8</v>
      </c>
      <c r="F14167">
        <v>18</v>
      </c>
      <c r="G14167">
        <v>8</v>
      </c>
      <c r="H14167">
        <f t="shared" ref="H14167:H14230" si="447">F14167-G14167</f>
        <v>10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411</v>
      </c>
      <c r="E14168" t="s">
        <v>8</v>
      </c>
      <c r="F14168">
        <v>18</v>
      </c>
      <c r="G14168">
        <v>8</v>
      </c>
      <c r="H14168">
        <f t="shared" si="447"/>
        <v>10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2020</v>
      </c>
      <c r="E14169" t="s">
        <v>8</v>
      </c>
      <c r="F14169">
        <v>16</v>
      </c>
      <c r="G14169">
        <v>8</v>
      </c>
      <c r="H14169">
        <f t="shared" si="447"/>
        <v>8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2168</v>
      </c>
      <c r="E14170" t="s">
        <v>8</v>
      </c>
      <c r="F14170">
        <v>15</v>
      </c>
      <c r="G14170">
        <v>8</v>
      </c>
      <c r="H14170">
        <f t="shared" si="447"/>
        <v>7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9964</v>
      </c>
      <c r="E14171" t="s">
        <v>8</v>
      </c>
      <c r="F14171">
        <v>15</v>
      </c>
      <c r="G14171">
        <v>8</v>
      </c>
      <c r="H14171">
        <f t="shared" si="447"/>
        <v>7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2394</v>
      </c>
      <c r="E14172" t="s">
        <v>8</v>
      </c>
      <c r="F14172">
        <v>14</v>
      </c>
      <c r="G14172">
        <v>8</v>
      </c>
      <c r="H14172">
        <f t="shared" si="447"/>
        <v>6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2446</v>
      </c>
      <c r="E14173" t="s">
        <v>8</v>
      </c>
      <c r="F14173">
        <v>14</v>
      </c>
      <c r="G14173">
        <v>8</v>
      </c>
      <c r="H14173">
        <f t="shared" si="447"/>
        <v>6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412</v>
      </c>
      <c r="E14174" t="s">
        <v>8</v>
      </c>
      <c r="F14174">
        <v>13</v>
      </c>
      <c r="G14174">
        <v>8</v>
      </c>
      <c r="H14174">
        <f t="shared" si="447"/>
        <v>5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643</v>
      </c>
      <c r="E14175" t="s">
        <v>8</v>
      </c>
      <c r="F14175">
        <v>13</v>
      </c>
      <c r="G14175">
        <v>8</v>
      </c>
      <c r="H14175">
        <f t="shared" si="447"/>
        <v>5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2349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3848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9211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722</v>
      </c>
      <c r="E14179" t="s">
        <v>8</v>
      </c>
      <c r="F14179">
        <v>12</v>
      </c>
      <c r="G14179">
        <v>8</v>
      </c>
      <c r="H14179">
        <f t="shared" si="447"/>
        <v>4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2278</v>
      </c>
      <c r="E14180" t="s">
        <v>8</v>
      </c>
      <c r="F14180">
        <v>12</v>
      </c>
      <c r="G14180">
        <v>8</v>
      </c>
      <c r="H14180">
        <f t="shared" si="447"/>
        <v>4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9883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507</v>
      </c>
      <c r="E14182" t="s">
        <v>8</v>
      </c>
      <c r="F14182">
        <v>11</v>
      </c>
      <c r="G14182">
        <v>8</v>
      </c>
      <c r="H14182">
        <f t="shared" si="447"/>
        <v>3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596</v>
      </c>
      <c r="E14183" t="s">
        <v>8</v>
      </c>
      <c r="F14183">
        <v>11</v>
      </c>
      <c r="G14183">
        <v>8</v>
      </c>
      <c r="H14183">
        <f t="shared" si="447"/>
        <v>3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1799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2246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2520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3532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467</v>
      </c>
      <c r="E14188" t="s">
        <v>8</v>
      </c>
      <c r="F14188">
        <v>10</v>
      </c>
      <c r="G14188">
        <v>8</v>
      </c>
      <c r="H14188">
        <f t="shared" si="447"/>
        <v>2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2220</v>
      </c>
      <c r="E14189" t="s">
        <v>8</v>
      </c>
      <c r="F14189">
        <v>10</v>
      </c>
      <c r="G14189">
        <v>8</v>
      </c>
      <c r="H14189">
        <f t="shared" si="447"/>
        <v>2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2422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3775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3978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423</v>
      </c>
      <c r="E14193" t="s">
        <v>8</v>
      </c>
      <c r="F14193">
        <v>9</v>
      </c>
      <c r="G14193">
        <v>8</v>
      </c>
      <c r="H14193">
        <f t="shared" si="447"/>
        <v>1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460</v>
      </c>
      <c r="E14194" t="s">
        <v>8</v>
      </c>
      <c r="F14194">
        <v>9</v>
      </c>
      <c r="G14194">
        <v>8</v>
      </c>
      <c r="H14194">
        <f t="shared" si="447"/>
        <v>1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674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1915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2189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2410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5032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9896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553</v>
      </c>
      <c r="E14201" t="s">
        <v>8</v>
      </c>
      <c r="F14201">
        <v>8</v>
      </c>
      <c r="G14201">
        <v>8</v>
      </c>
      <c r="H14201">
        <f t="shared" si="447"/>
        <v>0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561</v>
      </c>
      <c r="E14202" t="s">
        <v>8</v>
      </c>
      <c r="F14202">
        <v>8</v>
      </c>
      <c r="G14202">
        <v>8</v>
      </c>
      <c r="H14202">
        <f t="shared" si="447"/>
        <v>0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633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660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1868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2416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3598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3966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9112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9204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9292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ref="C14212:C14275" si="448">IF(H14212&gt;=0,"Cumple","No cumple")</f>
        <v>Cumple</v>
      </c>
      <c r="D14212">
        <v>9922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8"/>
        <v>Cumple</v>
      </c>
      <c r="D14213">
        <v>2776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si="448"/>
        <v>Cumple</v>
      </c>
      <c r="D14214">
        <v>380</v>
      </c>
      <c r="E14214" t="s">
        <v>8</v>
      </c>
      <c r="F14214" s="9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No cumple</v>
      </c>
      <c r="D14215">
        <v>688</v>
      </c>
      <c r="E14215" t="s">
        <v>8</v>
      </c>
      <c r="F14215">
        <v>7</v>
      </c>
      <c r="G14215">
        <v>8</v>
      </c>
      <c r="H14215">
        <f t="shared" si="447"/>
        <v>-1</v>
      </c>
    </row>
    <row r="14216" spans="1:8" x14ac:dyDescent="0.2">
      <c r="A14216" t="s">
        <v>7</v>
      </c>
      <c r="B14216" t="s">
        <v>34</v>
      </c>
      <c r="C14216" t="str">
        <f t="shared" si="448"/>
        <v>No cumple</v>
      </c>
      <c r="D14216">
        <v>1440</v>
      </c>
      <c r="E14216" t="s">
        <v>8</v>
      </c>
      <c r="F14216">
        <v>7</v>
      </c>
      <c r="G14216">
        <v>8</v>
      </c>
      <c r="H14216">
        <f t="shared" si="447"/>
        <v>-1</v>
      </c>
    </row>
    <row r="14217" spans="1:8" x14ac:dyDescent="0.2">
      <c r="A14217" t="s">
        <v>7</v>
      </c>
      <c r="B14217" t="s">
        <v>34</v>
      </c>
      <c r="C14217" t="str">
        <f t="shared" si="448"/>
        <v>Cumple</v>
      </c>
      <c r="D14217">
        <v>2122</v>
      </c>
      <c r="E14217" t="s">
        <v>8</v>
      </c>
      <c r="F14217" s="9">
        <v>8</v>
      </c>
      <c r="G14217">
        <v>8</v>
      </c>
      <c r="H14217">
        <f t="shared" si="447"/>
        <v>0</v>
      </c>
    </row>
    <row r="14218" spans="1:8" x14ac:dyDescent="0.2">
      <c r="A14218" t="s">
        <v>7</v>
      </c>
      <c r="B14218" t="s">
        <v>34</v>
      </c>
      <c r="C14218" t="str">
        <f t="shared" si="448"/>
        <v>Cumple</v>
      </c>
      <c r="D14218">
        <v>2913</v>
      </c>
      <c r="E14218" t="s">
        <v>8</v>
      </c>
      <c r="F14218" s="9">
        <v>8</v>
      </c>
      <c r="G14218">
        <v>8</v>
      </c>
      <c r="H14218">
        <f t="shared" si="447"/>
        <v>0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3398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3399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5142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7065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Cumple</v>
      </c>
      <c r="D14223">
        <v>9228</v>
      </c>
      <c r="E14223" t="s">
        <v>8</v>
      </c>
      <c r="F14223">
        <v>7</v>
      </c>
      <c r="G14223" s="9">
        <v>6</v>
      </c>
      <c r="H14223">
        <f t="shared" si="447"/>
        <v>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9617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Cumple</v>
      </c>
      <c r="D14225">
        <v>9682</v>
      </c>
      <c r="E14225" t="s">
        <v>8</v>
      </c>
      <c r="F14225">
        <v>7</v>
      </c>
      <c r="G14225" s="9">
        <v>6</v>
      </c>
      <c r="H14225">
        <f t="shared" si="447"/>
        <v>1</v>
      </c>
    </row>
    <row r="14226" spans="1:8" x14ac:dyDescent="0.2">
      <c r="A14226" t="s">
        <v>7</v>
      </c>
      <c r="B14226" t="s">
        <v>34</v>
      </c>
      <c r="C14226" t="str">
        <f t="shared" si="448"/>
        <v>Cumple</v>
      </c>
      <c r="D14226">
        <v>9811</v>
      </c>
      <c r="E14226" t="s">
        <v>8</v>
      </c>
      <c r="F14226" s="9">
        <v>8</v>
      </c>
      <c r="G14226">
        <v>8</v>
      </c>
      <c r="H14226">
        <f t="shared" si="447"/>
        <v>0</v>
      </c>
    </row>
    <row r="14227" spans="1:8" x14ac:dyDescent="0.2">
      <c r="A14227" t="s">
        <v>7</v>
      </c>
      <c r="B14227" t="s">
        <v>34</v>
      </c>
      <c r="C14227" t="str">
        <f t="shared" si="448"/>
        <v>No cumple</v>
      </c>
      <c r="D14227">
        <v>4052</v>
      </c>
      <c r="E14227" t="s">
        <v>8</v>
      </c>
      <c r="F14227">
        <v>7</v>
      </c>
      <c r="G14227">
        <v>8</v>
      </c>
      <c r="H14227">
        <f t="shared" si="447"/>
        <v>-1</v>
      </c>
    </row>
    <row r="14228" spans="1:8" x14ac:dyDescent="0.2">
      <c r="A14228" t="s">
        <v>7</v>
      </c>
      <c r="B14228" t="s">
        <v>34</v>
      </c>
      <c r="C14228" t="str">
        <f t="shared" si="448"/>
        <v>No cumple</v>
      </c>
      <c r="D14228">
        <v>571</v>
      </c>
      <c r="E14228" t="s">
        <v>8</v>
      </c>
      <c r="F14228">
        <v>6</v>
      </c>
      <c r="G14228">
        <v>8</v>
      </c>
      <c r="H14228">
        <f t="shared" si="447"/>
        <v>-2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1549</v>
      </c>
      <c r="E14229" t="s">
        <v>8</v>
      </c>
      <c r="F14229">
        <v>6</v>
      </c>
      <c r="G14229">
        <v>8</v>
      </c>
      <c r="H14229">
        <f t="shared" si="447"/>
        <v>-2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2547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3917</v>
      </c>
      <c r="E14231" t="s">
        <v>8</v>
      </c>
      <c r="F14231">
        <v>6</v>
      </c>
      <c r="G14231">
        <v>8</v>
      </c>
      <c r="H14231">
        <f t="shared" ref="H14231:H14294" si="449">F14231-G14231</f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3960</v>
      </c>
      <c r="E14232" t="s">
        <v>8</v>
      </c>
      <c r="F14232">
        <v>6</v>
      </c>
      <c r="G14232">
        <v>8</v>
      </c>
      <c r="H14232">
        <f t="shared" si="449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9234</v>
      </c>
      <c r="E14233" t="s">
        <v>8</v>
      </c>
      <c r="F14233">
        <v>6</v>
      </c>
      <c r="G14233">
        <v>8</v>
      </c>
      <c r="H14233">
        <f t="shared" si="449"/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9472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9237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Cumple</v>
      </c>
      <c r="D14236">
        <v>4036</v>
      </c>
      <c r="E14236" t="s">
        <v>8</v>
      </c>
      <c r="F14236">
        <v>6</v>
      </c>
      <c r="G14236" s="9">
        <v>6</v>
      </c>
      <c r="H14236">
        <f t="shared" si="449"/>
        <v>0</v>
      </c>
    </row>
    <row r="14237" spans="1:8" x14ac:dyDescent="0.2">
      <c r="A14237" t="s">
        <v>7</v>
      </c>
      <c r="B14237" t="s">
        <v>34</v>
      </c>
      <c r="C14237" t="str">
        <f t="shared" si="448"/>
        <v>Cumple</v>
      </c>
      <c r="D14237">
        <v>3198</v>
      </c>
      <c r="E14237" t="s">
        <v>8</v>
      </c>
      <c r="F14237">
        <v>6</v>
      </c>
      <c r="G14237" s="9">
        <v>6</v>
      </c>
      <c r="H14237">
        <f t="shared" si="449"/>
        <v>0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4061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373</v>
      </c>
      <c r="E14239" t="s">
        <v>8</v>
      </c>
      <c r="F14239">
        <v>5</v>
      </c>
      <c r="G14239">
        <v>8</v>
      </c>
      <c r="H14239">
        <f t="shared" si="449"/>
        <v>-3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627</v>
      </c>
      <c r="E14240" t="s">
        <v>8</v>
      </c>
      <c r="F14240">
        <v>5</v>
      </c>
      <c r="G14240">
        <v>8</v>
      </c>
      <c r="H14240">
        <f t="shared" si="449"/>
        <v>-3</v>
      </c>
    </row>
    <row r="14241" spans="1:8" x14ac:dyDescent="0.2">
      <c r="A14241" t="s">
        <v>7</v>
      </c>
      <c r="B14241" t="s">
        <v>34</v>
      </c>
      <c r="C14241" t="str">
        <f t="shared" si="448"/>
        <v>Cumple</v>
      </c>
      <c r="D14241">
        <v>659</v>
      </c>
      <c r="E14241" t="s">
        <v>8</v>
      </c>
      <c r="F14241" s="39">
        <v>6</v>
      </c>
      <c r="G14241" s="9">
        <v>6</v>
      </c>
      <c r="H14241">
        <f t="shared" si="449"/>
        <v>0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680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1424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Cumple</v>
      </c>
      <c r="D14244">
        <v>1790</v>
      </c>
      <c r="E14244" t="s">
        <v>8</v>
      </c>
      <c r="F14244">
        <v>5</v>
      </c>
      <c r="G14244" s="9">
        <v>3</v>
      </c>
      <c r="H14244">
        <f t="shared" si="449"/>
        <v>2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2030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2135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2235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2321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2746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3349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5023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Cumple</v>
      </c>
      <c r="D14252">
        <v>9226</v>
      </c>
      <c r="E14252" t="s">
        <v>8</v>
      </c>
      <c r="F14252" s="39">
        <v>8</v>
      </c>
      <c r="G14252">
        <v>8</v>
      </c>
      <c r="H14252">
        <f t="shared" si="449"/>
        <v>0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9561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9636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1543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591</v>
      </c>
      <c r="E14256" t="s">
        <v>8</v>
      </c>
      <c r="F14256">
        <v>4</v>
      </c>
      <c r="G14256">
        <v>8</v>
      </c>
      <c r="H14256">
        <f t="shared" si="449"/>
        <v>-4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675</v>
      </c>
      <c r="E14257" t="s">
        <v>8</v>
      </c>
      <c r="F14257">
        <v>4</v>
      </c>
      <c r="G14257">
        <v>8</v>
      </c>
      <c r="H14257">
        <f t="shared" si="449"/>
        <v>-4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2039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2186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2727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3593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9241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9642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3980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529</v>
      </c>
      <c r="E14265" t="s">
        <v>8</v>
      </c>
      <c r="F14265">
        <v>3</v>
      </c>
      <c r="G14265">
        <v>8</v>
      </c>
      <c r="H14265">
        <f t="shared" si="449"/>
        <v>-5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1779</v>
      </c>
      <c r="E14266" t="s">
        <v>8</v>
      </c>
      <c r="F14266">
        <v>3</v>
      </c>
      <c r="G14266">
        <v>8</v>
      </c>
      <c r="H14266">
        <f t="shared" si="449"/>
        <v>-5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2047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2441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2479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2512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2631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2790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2808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2928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3557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ref="C14276:C14339" si="450">IF(H14276&gt;=0,"Cumple","No cumple")</f>
        <v>No cumple</v>
      </c>
      <c r="D14276">
        <v>3719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50"/>
        <v>No cumple</v>
      </c>
      <c r="D14277">
        <v>3858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si="450"/>
        <v>No cumple</v>
      </c>
      <c r="D14278">
        <v>3900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3929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3940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9220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9224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9470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9471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9715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9868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301</v>
      </c>
      <c r="E14287" t="s">
        <v>8</v>
      </c>
      <c r="F14287">
        <v>2</v>
      </c>
      <c r="G14287">
        <v>8</v>
      </c>
      <c r="H14287">
        <f t="shared" si="449"/>
        <v>-6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517</v>
      </c>
      <c r="E14288" t="s">
        <v>8</v>
      </c>
      <c r="F14288">
        <v>2</v>
      </c>
      <c r="G14288">
        <v>8</v>
      </c>
      <c r="H14288">
        <f t="shared" si="449"/>
        <v>-6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541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692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828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1406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2005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2006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2031</v>
      </c>
      <c r="E14295" t="s">
        <v>8</v>
      </c>
      <c r="F14295">
        <v>2</v>
      </c>
      <c r="G14295">
        <v>8</v>
      </c>
      <c r="H14295">
        <f t="shared" ref="H14295:H14358" si="451">F14295-G14295</f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2197</v>
      </c>
      <c r="E14296" t="s">
        <v>8</v>
      </c>
      <c r="F14296">
        <v>2</v>
      </c>
      <c r="G14296">
        <v>8</v>
      </c>
      <c r="H14296">
        <f t="shared" si="451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2218</v>
      </c>
      <c r="E14297" t="s">
        <v>8</v>
      </c>
      <c r="F14297">
        <v>2</v>
      </c>
      <c r="G14297">
        <v>8</v>
      </c>
      <c r="H14297">
        <f t="shared" si="451"/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2221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2308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2367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2390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2501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Cumple</v>
      </c>
      <c r="D14303">
        <v>2672</v>
      </c>
      <c r="E14303" t="s">
        <v>8</v>
      </c>
      <c r="F14303" s="9">
        <v>6</v>
      </c>
      <c r="G14303" s="9">
        <v>6</v>
      </c>
      <c r="H14303">
        <f t="shared" si="451"/>
        <v>0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2720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No cumple</v>
      </c>
      <c r="D14305">
        <v>2916</v>
      </c>
      <c r="E14305" t="s">
        <v>8</v>
      </c>
      <c r="F14305">
        <v>2</v>
      </c>
      <c r="G14305">
        <v>8</v>
      </c>
      <c r="H14305">
        <f t="shared" si="451"/>
        <v>-6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3368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3585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3629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7027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9159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9161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9320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3990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3991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2923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349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315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4063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4080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307</v>
      </c>
      <c r="E14320" t="s">
        <v>8</v>
      </c>
      <c r="F14320">
        <v>1</v>
      </c>
      <c r="G14320">
        <v>8</v>
      </c>
      <c r="H14320">
        <f t="shared" si="451"/>
        <v>-7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365</v>
      </c>
      <c r="E14321" t="s">
        <v>8</v>
      </c>
      <c r="F14321">
        <v>1</v>
      </c>
      <c r="G14321">
        <v>8</v>
      </c>
      <c r="H14321">
        <f t="shared" si="451"/>
        <v>-7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523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684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761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797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953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1713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1718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1785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1786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2082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2102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2104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2190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2331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2581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2586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2763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2836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ref="C14340:C14403" si="452">IF(H14340&gt;=0,"Cumple","No cumple")</f>
        <v>No cumple</v>
      </c>
      <c r="D14340">
        <v>3049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2"/>
        <v>No cumple</v>
      </c>
      <c r="D14341">
        <v>3381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si="452"/>
        <v>No cumple</v>
      </c>
      <c r="D14342">
        <v>3453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3575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3630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3799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3802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3880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Cumple</v>
      </c>
      <c r="D14348">
        <v>3943</v>
      </c>
      <c r="E14348" t="s">
        <v>8</v>
      </c>
      <c r="F14348" s="9">
        <v>8</v>
      </c>
      <c r="G14348">
        <v>8</v>
      </c>
      <c r="H14348">
        <f t="shared" si="451"/>
        <v>0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3962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3967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7602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9031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9071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9074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9131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9174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9231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9329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9484</v>
      </c>
      <c r="E14359" t="s">
        <v>8</v>
      </c>
      <c r="F14359">
        <v>1</v>
      </c>
      <c r="G14359">
        <v>8</v>
      </c>
      <c r="H14359">
        <f t="shared" ref="H14359:H14422" si="453">F14359-G14359</f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9641</v>
      </c>
      <c r="E14360" t="s">
        <v>8</v>
      </c>
      <c r="F14360">
        <v>1</v>
      </c>
      <c r="G14360">
        <v>8</v>
      </c>
      <c r="H14360">
        <f t="shared" si="453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9740</v>
      </c>
      <c r="E14361" t="s">
        <v>8</v>
      </c>
      <c r="F14361">
        <v>1</v>
      </c>
      <c r="G14361">
        <v>8</v>
      </c>
      <c r="H14361">
        <f t="shared" si="453"/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9839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9973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2905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1836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4062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4064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4077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4082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18</v>
      </c>
      <c r="B14370" t="s">
        <v>34</v>
      </c>
      <c r="C14370" t="str">
        <f t="shared" si="452"/>
        <v>No cumple</v>
      </c>
      <c r="D14370">
        <v>208</v>
      </c>
      <c r="E14370" t="s">
        <v>8</v>
      </c>
      <c r="F14370">
        <v>0</v>
      </c>
      <c r="G14370">
        <v>8</v>
      </c>
      <c r="H14370">
        <f t="shared" si="453"/>
        <v>-8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234</v>
      </c>
      <c r="E14371" t="s">
        <v>8</v>
      </c>
      <c r="F14371">
        <v>0</v>
      </c>
      <c r="G14371">
        <v>8</v>
      </c>
      <c r="H14371">
        <f t="shared" si="453"/>
        <v>-8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331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18</v>
      </c>
      <c r="B14373" t="s">
        <v>34</v>
      </c>
      <c r="C14373" t="str">
        <f t="shared" si="452"/>
        <v>No cumple</v>
      </c>
      <c r="D14373">
        <v>361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7</v>
      </c>
      <c r="B14374" t="s">
        <v>34</v>
      </c>
      <c r="C14374" t="str">
        <f t="shared" si="452"/>
        <v>No cumple</v>
      </c>
      <c r="D14374">
        <v>479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504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18</v>
      </c>
      <c r="B14376" t="s">
        <v>34</v>
      </c>
      <c r="C14376" t="str">
        <f t="shared" si="452"/>
        <v>No cumple</v>
      </c>
      <c r="D14376">
        <v>515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539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7</v>
      </c>
      <c r="B14378" t="s">
        <v>34</v>
      </c>
      <c r="C14378" t="str">
        <f t="shared" si="452"/>
        <v>No cumple</v>
      </c>
      <c r="D14378">
        <v>557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7</v>
      </c>
      <c r="B14379" t="s">
        <v>34</v>
      </c>
      <c r="C14379" t="str">
        <f t="shared" si="452"/>
        <v>No cumple</v>
      </c>
      <c r="D14379">
        <v>559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658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666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18</v>
      </c>
      <c r="B14382" t="s">
        <v>34</v>
      </c>
      <c r="C14382" t="str">
        <f t="shared" si="452"/>
        <v>No cumple</v>
      </c>
      <c r="D14382">
        <v>748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18</v>
      </c>
      <c r="B14383" t="s">
        <v>34</v>
      </c>
      <c r="C14383" t="str">
        <f t="shared" si="452"/>
        <v>No cumple</v>
      </c>
      <c r="D14383">
        <v>1573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7</v>
      </c>
      <c r="B14384" t="s">
        <v>34</v>
      </c>
      <c r="C14384" t="str">
        <f t="shared" si="452"/>
        <v>No cumple</v>
      </c>
      <c r="D14384">
        <v>1714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7</v>
      </c>
      <c r="B14385" t="s">
        <v>34</v>
      </c>
      <c r="C14385" t="str">
        <f t="shared" si="452"/>
        <v>No cumple</v>
      </c>
      <c r="D14385">
        <v>1826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19</v>
      </c>
      <c r="B14386" t="s">
        <v>34</v>
      </c>
      <c r="C14386" t="str">
        <f t="shared" si="452"/>
        <v>No cumple</v>
      </c>
      <c r="D14386">
        <v>1827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18</v>
      </c>
      <c r="B14387" t="s">
        <v>34</v>
      </c>
      <c r="C14387" t="str">
        <f t="shared" si="452"/>
        <v>Cumple</v>
      </c>
      <c r="D14387">
        <v>1854</v>
      </c>
      <c r="E14387" t="s">
        <v>8</v>
      </c>
      <c r="F14387" s="9">
        <v>8</v>
      </c>
      <c r="G14387">
        <v>8</v>
      </c>
      <c r="H14387">
        <f t="shared" si="453"/>
        <v>0</v>
      </c>
    </row>
    <row r="14388" spans="1:8" x14ac:dyDescent="0.2">
      <c r="A14388" t="s">
        <v>7</v>
      </c>
      <c r="B14388" t="s">
        <v>34</v>
      </c>
      <c r="C14388" t="str">
        <f t="shared" si="452"/>
        <v>No cumple</v>
      </c>
      <c r="D14388">
        <v>1981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7</v>
      </c>
      <c r="B14389" t="s">
        <v>34</v>
      </c>
      <c r="C14389" t="str">
        <f t="shared" si="452"/>
        <v>No cumple</v>
      </c>
      <c r="D14389">
        <v>2051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2098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19</v>
      </c>
      <c r="B14391" t="s">
        <v>34</v>
      </c>
      <c r="C14391" t="str">
        <f t="shared" si="452"/>
        <v>No cumple</v>
      </c>
      <c r="D14391">
        <v>2163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2227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18</v>
      </c>
      <c r="B14393" t="s">
        <v>34</v>
      </c>
      <c r="C14393" t="str">
        <f t="shared" si="452"/>
        <v>No cumple</v>
      </c>
      <c r="D14393">
        <v>2239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2322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7</v>
      </c>
      <c r="B14395" t="s">
        <v>34</v>
      </c>
      <c r="C14395" t="str">
        <f t="shared" si="452"/>
        <v>No cumple</v>
      </c>
      <c r="D14395">
        <v>2341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18</v>
      </c>
      <c r="B14396" t="s">
        <v>34</v>
      </c>
      <c r="C14396" t="str">
        <f t="shared" si="452"/>
        <v>No cumple</v>
      </c>
      <c r="D14396">
        <v>2364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18</v>
      </c>
      <c r="B14397" t="s">
        <v>34</v>
      </c>
      <c r="C14397" t="str">
        <f t="shared" si="452"/>
        <v>No cumple</v>
      </c>
      <c r="D14397">
        <v>2395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2421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7</v>
      </c>
      <c r="B14399" t="s">
        <v>34</v>
      </c>
      <c r="C14399" t="str">
        <f t="shared" si="452"/>
        <v>No cumple</v>
      </c>
      <c r="D14399">
        <v>2463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7</v>
      </c>
      <c r="B14400" t="s">
        <v>34</v>
      </c>
      <c r="C14400" t="str">
        <f t="shared" si="452"/>
        <v>No cumple</v>
      </c>
      <c r="D14400">
        <v>2546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2626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18</v>
      </c>
      <c r="B14402" t="s">
        <v>34</v>
      </c>
      <c r="C14402" t="str">
        <f t="shared" si="452"/>
        <v>No cumple</v>
      </c>
      <c r="D14402">
        <v>2649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2753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7</v>
      </c>
      <c r="B14404" t="s">
        <v>34</v>
      </c>
      <c r="C14404" t="str">
        <f t="shared" ref="C14404:C14467" si="454">IF(H14404&gt;=0,"Cumple","No cumple")</f>
        <v>No cumple</v>
      </c>
      <c r="D14404">
        <v>2755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4"/>
        <v>No cumple</v>
      </c>
      <c r="D14405">
        <v>2766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18</v>
      </c>
      <c r="B14406" t="s">
        <v>34</v>
      </c>
      <c r="C14406" t="str">
        <f t="shared" si="454"/>
        <v>No cumple</v>
      </c>
      <c r="D14406">
        <v>2784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19</v>
      </c>
      <c r="B14407" t="s">
        <v>34</v>
      </c>
      <c r="C14407" t="str">
        <f t="shared" si="454"/>
        <v>No cumple</v>
      </c>
      <c r="D14407">
        <v>2795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2815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18</v>
      </c>
      <c r="B14409" t="s">
        <v>34</v>
      </c>
      <c r="C14409" t="str">
        <f t="shared" si="454"/>
        <v>No cumple</v>
      </c>
      <c r="D14409">
        <v>2871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2910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7</v>
      </c>
      <c r="B14411" t="s">
        <v>34</v>
      </c>
      <c r="C14411" t="str">
        <f t="shared" si="454"/>
        <v>No cumple</v>
      </c>
      <c r="D14411">
        <v>2912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3373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3458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3513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18</v>
      </c>
      <c r="B14415" t="s">
        <v>34</v>
      </c>
      <c r="C14415" t="str">
        <f t="shared" si="454"/>
        <v>No cumple</v>
      </c>
      <c r="D14415">
        <v>3547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19</v>
      </c>
      <c r="B14416" t="s">
        <v>34</v>
      </c>
      <c r="C14416" t="str">
        <f t="shared" si="454"/>
        <v>No cumple</v>
      </c>
      <c r="D14416">
        <v>3555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7</v>
      </c>
      <c r="B14417" t="s">
        <v>34</v>
      </c>
      <c r="C14417" t="str">
        <f t="shared" si="454"/>
        <v>No cumple</v>
      </c>
      <c r="D14417">
        <v>3559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18</v>
      </c>
      <c r="B14418" t="s">
        <v>34</v>
      </c>
      <c r="C14418" t="str">
        <f t="shared" si="454"/>
        <v>No cumple</v>
      </c>
      <c r="D14418">
        <v>3572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18</v>
      </c>
      <c r="B14419" t="s">
        <v>34</v>
      </c>
      <c r="C14419" t="str">
        <f t="shared" si="454"/>
        <v>No cumple</v>
      </c>
      <c r="D14419">
        <v>3628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7</v>
      </c>
      <c r="B14420" t="s">
        <v>34</v>
      </c>
      <c r="C14420" t="str">
        <f t="shared" si="454"/>
        <v>No cumple</v>
      </c>
      <c r="D14420">
        <v>3655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7</v>
      </c>
      <c r="B14421" t="s">
        <v>34</v>
      </c>
      <c r="C14421" t="str">
        <f t="shared" si="454"/>
        <v>No cumple</v>
      </c>
      <c r="D14421">
        <v>3659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18</v>
      </c>
      <c r="B14422" t="s">
        <v>34</v>
      </c>
      <c r="C14422" t="str">
        <f t="shared" si="454"/>
        <v>No cumple</v>
      </c>
      <c r="D14422">
        <v>3700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19</v>
      </c>
      <c r="B14423" t="s">
        <v>34</v>
      </c>
      <c r="C14423" t="str">
        <f t="shared" si="454"/>
        <v>No cumple</v>
      </c>
      <c r="D14423">
        <v>3778</v>
      </c>
      <c r="E14423" t="s">
        <v>8</v>
      </c>
      <c r="F14423">
        <v>0</v>
      </c>
      <c r="G14423">
        <v>8</v>
      </c>
      <c r="H14423">
        <f t="shared" ref="H14423:H14486" si="455">F14423-G14423</f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3780</v>
      </c>
      <c r="E14424" t="s">
        <v>8</v>
      </c>
      <c r="F14424">
        <v>0</v>
      </c>
      <c r="G14424">
        <v>8</v>
      </c>
      <c r="H14424">
        <f t="shared" si="455"/>
        <v>-8</v>
      </c>
    </row>
    <row r="14425" spans="1:8" x14ac:dyDescent="0.2">
      <c r="A14425" t="s">
        <v>18</v>
      </c>
      <c r="B14425" t="s">
        <v>34</v>
      </c>
      <c r="C14425" t="str">
        <f t="shared" si="454"/>
        <v>No cumple</v>
      </c>
      <c r="D14425">
        <v>3820</v>
      </c>
      <c r="E14425" t="s">
        <v>8</v>
      </c>
      <c r="F14425">
        <v>0</v>
      </c>
      <c r="G14425">
        <v>8</v>
      </c>
      <c r="H14425">
        <f t="shared" si="455"/>
        <v>-8</v>
      </c>
    </row>
    <row r="14426" spans="1:8" x14ac:dyDescent="0.2">
      <c r="A14426" t="s">
        <v>19</v>
      </c>
      <c r="B14426" t="s">
        <v>34</v>
      </c>
      <c r="C14426" t="str">
        <f t="shared" si="454"/>
        <v>No cumple</v>
      </c>
      <c r="D14426">
        <v>3856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3857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7</v>
      </c>
      <c r="B14428" t="s">
        <v>34</v>
      </c>
      <c r="C14428" t="str">
        <f t="shared" si="454"/>
        <v>No cumple</v>
      </c>
      <c r="D14428">
        <v>3875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3898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18</v>
      </c>
      <c r="B14430" t="s">
        <v>34</v>
      </c>
      <c r="C14430" t="str">
        <f t="shared" si="454"/>
        <v>No cumple</v>
      </c>
      <c r="D14430">
        <v>3901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7</v>
      </c>
      <c r="B14431" t="s">
        <v>34</v>
      </c>
      <c r="C14431" t="str">
        <f t="shared" si="454"/>
        <v>No cumple</v>
      </c>
      <c r="D14431">
        <v>3902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7</v>
      </c>
      <c r="B14432" t="s">
        <v>34</v>
      </c>
      <c r="C14432" t="str">
        <f t="shared" si="454"/>
        <v>No cumple</v>
      </c>
      <c r="D14432">
        <v>3904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3909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3916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18</v>
      </c>
      <c r="B14435" t="s">
        <v>34</v>
      </c>
      <c r="C14435" t="str">
        <f t="shared" si="454"/>
        <v>No cumple</v>
      </c>
      <c r="D14435">
        <v>3919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3942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3944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18</v>
      </c>
      <c r="B14438" t="s">
        <v>34</v>
      </c>
      <c r="C14438" t="str">
        <f t="shared" si="454"/>
        <v>No cumple</v>
      </c>
      <c r="D14438">
        <v>3965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19</v>
      </c>
      <c r="B14439" t="s">
        <v>34</v>
      </c>
      <c r="C14439" t="str">
        <f t="shared" si="454"/>
        <v>No cumple</v>
      </c>
      <c r="D14439">
        <v>3968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7</v>
      </c>
      <c r="B14440" t="s">
        <v>34</v>
      </c>
      <c r="C14440" t="str">
        <f t="shared" si="454"/>
        <v>No cumple</v>
      </c>
      <c r="D14440">
        <v>5002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7</v>
      </c>
      <c r="B14441" t="s">
        <v>34</v>
      </c>
      <c r="C14441" t="str">
        <f t="shared" si="454"/>
        <v>No cumple</v>
      </c>
      <c r="D14441">
        <v>5130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9022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18</v>
      </c>
      <c r="B14443" t="s">
        <v>34</v>
      </c>
      <c r="C14443" t="str">
        <f t="shared" si="454"/>
        <v>No cumple</v>
      </c>
      <c r="D14443">
        <v>9072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18</v>
      </c>
      <c r="B14444" t="s">
        <v>34</v>
      </c>
      <c r="C14444" t="str">
        <f t="shared" si="454"/>
        <v>No cumple</v>
      </c>
      <c r="D14444">
        <v>9082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9114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9119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7</v>
      </c>
      <c r="B14447" t="s">
        <v>34</v>
      </c>
      <c r="C14447" t="str">
        <f t="shared" si="454"/>
        <v>No cumple</v>
      </c>
      <c r="D14447">
        <v>9121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7</v>
      </c>
      <c r="B14448" t="s">
        <v>34</v>
      </c>
      <c r="C14448" t="str">
        <f t="shared" si="454"/>
        <v>No cumple</v>
      </c>
      <c r="D14448">
        <v>9139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9177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18</v>
      </c>
      <c r="B14450" t="s">
        <v>34</v>
      </c>
      <c r="C14450" t="str">
        <f t="shared" si="454"/>
        <v>No cumple</v>
      </c>
      <c r="D14450">
        <v>9190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18</v>
      </c>
      <c r="B14451" t="s">
        <v>34</v>
      </c>
      <c r="C14451" t="str">
        <f t="shared" si="454"/>
        <v>No cumple</v>
      </c>
      <c r="D14451">
        <v>9200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7</v>
      </c>
      <c r="B14452" t="s">
        <v>34</v>
      </c>
      <c r="C14452" t="str">
        <f t="shared" si="454"/>
        <v>No cumple</v>
      </c>
      <c r="D14452">
        <v>9218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9317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19</v>
      </c>
      <c r="B14454" t="s">
        <v>34</v>
      </c>
      <c r="C14454" t="str">
        <f t="shared" si="454"/>
        <v>No cumple</v>
      </c>
      <c r="D14454">
        <v>9340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7</v>
      </c>
      <c r="B14455" t="s">
        <v>34</v>
      </c>
      <c r="C14455" t="str">
        <f t="shared" si="454"/>
        <v>No cumple</v>
      </c>
      <c r="D14455">
        <v>9364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7</v>
      </c>
      <c r="B14456" t="s">
        <v>34</v>
      </c>
      <c r="C14456" t="str">
        <f t="shared" si="454"/>
        <v>No cumple</v>
      </c>
      <c r="D14456">
        <v>9365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19</v>
      </c>
      <c r="B14457" t="s">
        <v>34</v>
      </c>
      <c r="C14457" t="str">
        <f t="shared" si="454"/>
        <v>No cumple</v>
      </c>
      <c r="D14457">
        <v>9426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9468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7</v>
      </c>
      <c r="B14459" t="s">
        <v>34</v>
      </c>
      <c r="C14459" t="str">
        <f t="shared" si="454"/>
        <v>No cumple</v>
      </c>
      <c r="D14459">
        <v>9548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18</v>
      </c>
      <c r="B14460" t="s">
        <v>34</v>
      </c>
      <c r="C14460" t="str">
        <f t="shared" si="454"/>
        <v>No cumple</v>
      </c>
      <c r="D14460">
        <v>9609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18</v>
      </c>
      <c r="B14461" t="s">
        <v>34</v>
      </c>
      <c r="C14461" t="str">
        <f t="shared" si="454"/>
        <v>No cumple</v>
      </c>
      <c r="D14461">
        <v>9669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9670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7</v>
      </c>
      <c r="B14463" t="s">
        <v>34</v>
      </c>
      <c r="C14463" t="str">
        <f t="shared" si="454"/>
        <v>No cumple</v>
      </c>
      <c r="D14463">
        <v>9701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7</v>
      </c>
      <c r="B14464" t="s">
        <v>34</v>
      </c>
      <c r="C14464" t="str">
        <f t="shared" si="454"/>
        <v>No cumple</v>
      </c>
      <c r="D14464">
        <v>9726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18</v>
      </c>
      <c r="B14465" t="s">
        <v>34</v>
      </c>
      <c r="C14465" t="str">
        <f t="shared" si="454"/>
        <v>No cumple</v>
      </c>
      <c r="D14465">
        <v>9794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19</v>
      </c>
      <c r="B14466" t="s">
        <v>34</v>
      </c>
      <c r="C14466" t="str">
        <f t="shared" si="454"/>
        <v>No cumple</v>
      </c>
      <c r="D14466">
        <v>9828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9843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7</v>
      </c>
      <c r="B14468" t="s">
        <v>34</v>
      </c>
      <c r="C14468" t="str">
        <f t="shared" ref="C14468:C14531" si="456">IF(H14468&gt;=0,"Cumple","No cumple")</f>
        <v>No cumple</v>
      </c>
      <c r="D14468">
        <v>9844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6"/>
        <v>No cumple</v>
      </c>
      <c r="D14469">
        <v>9850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18</v>
      </c>
      <c r="B14470" t="s">
        <v>34</v>
      </c>
      <c r="C14470" t="str">
        <f t="shared" si="456"/>
        <v>No cumple</v>
      </c>
      <c r="D14470">
        <v>9916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7</v>
      </c>
      <c r="B14471" t="s">
        <v>34</v>
      </c>
      <c r="C14471" t="str">
        <f t="shared" si="456"/>
        <v>No cumple</v>
      </c>
      <c r="D14471">
        <v>9943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7</v>
      </c>
      <c r="B14472" t="s">
        <v>34</v>
      </c>
      <c r="C14472" t="str">
        <f t="shared" si="456"/>
        <v>No cumple</v>
      </c>
      <c r="D14472">
        <v>3592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19</v>
      </c>
      <c r="B14473" t="s">
        <v>34</v>
      </c>
      <c r="C14473" t="str">
        <f t="shared" si="456"/>
        <v>No cumple</v>
      </c>
      <c r="D14473">
        <v>9824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19</v>
      </c>
      <c r="B14474" t="s">
        <v>34</v>
      </c>
      <c r="C14474" t="str">
        <f t="shared" si="456"/>
        <v>No cumple</v>
      </c>
      <c r="D14474">
        <v>9060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7</v>
      </c>
      <c r="B14475" t="s">
        <v>34</v>
      </c>
      <c r="C14475" t="str">
        <f t="shared" si="456"/>
        <v>No cumple</v>
      </c>
      <c r="D14475">
        <v>3976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7</v>
      </c>
      <c r="B14476" t="s">
        <v>34</v>
      </c>
      <c r="C14476" t="str">
        <f t="shared" si="456"/>
        <v>No cumple</v>
      </c>
      <c r="D14476">
        <v>3977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19</v>
      </c>
      <c r="B14477" t="s">
        <v>34</v>
      </c>
      <c r="C14477" t="str">
        <f t="shared" si="456"/>
        <v>No cumple</v>
      </c>
      <c r="D14477">
        <v>3992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19</v>
      </c>
      <c r="B14478" t="s">
        <v>34</v>
      </c>
      <c r="C14478" t="str">
        <f t="shared" si="456"/>
        <v>No cumple</v>
      </c>
      <c r="D14478">
        <v>3993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7</v>
      </c>
      <c r="B14479" t="s">
        <v>34</v>
      </c>
      <c r="C14479" t="str">
        <f t="shared" si="456"/>
        <v>No cumple</v>
      </c>
      <c r="D14479">
        <v>3995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18</v>
      </c>
      <c r="B14480" t="s">
        <v>34</v>
      </c>
      <c r="C14480" t="str">
        <f t="shared" si="456"/>
        <v>No cumple</v>
      </c>
      <c r="D14480">
        <v>4031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18</v>
      </c>
      <c r="B14481" t="s">
        <v>34</v>
      </c>
      <c r="C14481" t="str">
        <f t="shared" si="456"/>
        <v>No cumple</v>
      </c>
      <c r="D14481">
        <v>2194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19</v>
      </c>
      <c r="B14482" t="s">
        <v>34</v>
      </c>
      <c r="C14482" t="str">
        <f t="shared" si="456"/>
        <v>No cumple</v>
      </c>
      <c r="D14482">
        <v>1604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3989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18</v>
      </c>
      <c r="B14484" t="s">
        <v>34</v>
      </c>
      <c r="C14484" t="str">
        <f t="shared" si="456"/>
        <v>No cumple</v>
      </c>
      <c r="D14484">
        <v>4037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4038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19</v>
      </c>
      <c r="B14486" t="s">
        <v>34</v>
      </c>
      <c r="C14486" t="str">
        <f t="shared" si="456"/>
        <v>No cumple</v>
      </c>
      <c r="D14486">
        <v>4040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7</v>
      </c>
      <c r="B14487" t="s">
        <v>34</v>
      </c>
      <c r="C14487" t="str">
        <f t="shared" si="456"/>
        <v>No cumple</v>
      </c>
      <c r="D14487">
        <v>2724</v>
      </c>
      <c r="E14487" t="s">
        <v>8</v>
      </c>
      <c r="F14487">
        <v>0</v>
      </c>
      <c r="G14487">
        <v>8</v>
      </c>
      <c r="H14487">
        <f t="shared" ref="H14487:H14505" si="457">F14487-G14487</f>
        <v>-8</v>
      </c>
    </row>
    <row r="14488" spans="1:8" x14ac:dyDescent="0.2">
      <c r="A14488" t="s">
        <v>18</v>
      </c>
      <c r="B14488" t="s">
        <v>34</v>
      </c>
      <c r="C14488" t="str">
        <f t="shared" si="456"/>
        <v>No cumple</v>
      </c>
      <c r="D14488">
        <v>9880</v>
      </c>
      <c r="E14488" t="s">
        <v>8</v>
      </c>
      <c r="F14488">
        <v>0</v>
      </c>
      <c r="G14488">
        <v>8</v>
      </c>
      <c r="H14488">
        <f t="shared" si="457"/>
        <v>-8</v>
      </c>
    </row>
    <row r="14489" spans="1:8" x14ac:dyDescent="0.2">
      <c r="A14489" t="s">
        <v>19</v>
      </c>
      <c r="B14489" t="s">
        <v>34</v>
      </c>
      <c r="C14489" t="str">
        <f t="shared" si="456"/>
        <v>No cumple</v>
      </c>
      <c r="D14489">
        <v>1781</v>
      </c>
      <c r="E14489" t="s">
        <v>8</v>
      </c>
      <c r="F14489">
        <v>0</v>
      </c>
      <c r="G14489">
        <v>8</v>
      </c>
      <c r="H14489">
        <f t="shared" si="457"/>
        <v>-8</v>
      </c>
    </row>
    <row r="14490" spans="1:8" x14ac:dyDescent="0.2">
      <c r="A14490" t="s">
        <v>7</v>
      </c>
      <c r="B14490" t="s">
        <v>34</v>
      </c>
      <c r="C14490" t="str">
        <f t="shared" si="456"/>
        <v>No cumple</v>
      </c>
      <c r="D14490">
        <v>987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7</v>
      </c>
      <c r="B14491" t="s">
        <v>34</v>
      </c>
      <c r="C14491" t="str">
        <f t="shared" si="456"/>
        <v>No cumple</v>
      </c>
      <c r="D14491">
        <v>2099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9708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4046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18</v>
      </c>
      <c r="B14494" t="s">
        <v>34</v>
      </c>
      <c r="C14494" t="str">
        <f t="shared" si="456"/>
        <v>No cumple</v>
      </c>
      <c r="D14494">
        <v>4047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18</v>
      </c>
      <c r="B14495" t="s">
        <v>34</v>
      </c>
      <c r="C14495" t="str">
        <f t="shared" si="456"/>
        <v>No cumple</v>
      </c>
      <c r="D14495">
        <v>4048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4051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7</v>
      </c>
      <c r="B14497" t="s">
        <v>34</v>
      </c>
      <c r="C14497" t="str">
        <f t="shared" si="456"/>
        <v>No cumple</v>
      </c>
      <c r="D14497">
        <v>4053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2647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3859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9848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18</v>
      </c>
      <c r="B14501" t="s">
        <v>34</v>
      </c>
      <c r="C14501" t="str">
        <f t="shared" si="456"/>
        <v>No cumple</v>
      </c>
      <c r="D14501">
        <v>9791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7</v>
      </c>
      <c r="B14502" t="s">
        <v>34</v>
      </c>
      <c r="C14502" t="str">
        <f t="shared" si="456"/>
        <v>No cumple</v>
      </c>
      <c r="D14502">
        <v>4076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7</v>
      </c>
      <c r="B14503" t="s">
        <v>34</v>
      </c>
      <c r="C14503" t="str">
        <f t="shared" si="456"/>
        <v>No cumple</v>
      </c>
      <c r="D14503">
        <v>4078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18</v>
      </c>
      <c r="B14504" t="s">
        <v>34</v>
      </c>
      <c r="C14504" t="str">
        <f t="shared" si="456"/>
        <v>No cumple</v>
      </c>
      <c r="D14504">
        <v>4079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18</v>
      </c>
      <c r="B14505" t="s">
        <v>34</v>
      </c>
      <c r="C14505" t="str">
        <f t="shared" si="456"/>
        <v>No cumple</v>
      </c>
      <c r="D14505">
        <v>4081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7</v>
      </c>
      <c r="B14506" t="s">
        <v>34</v>
      </c>
      <c r="C14506" t="str">
        <f t="shared" si="456"/>
        <v>Cumple</v>
      </c>
      <c r="D14506">
        <v>9360</v>
      </c>
      <c r="E14506" t="s">
        <v>11</v>
      </c>
      <c r="F14506">
        <v>54</v>
      </c>
      <c r="G14506">
        <v>20</v>
      </c>
      <c r="H14506">
        <f>F14506-G14506</f>
        <v>34</v>
      </c>
    </row>
    <row r="14507" spans="1:8" x14ac:dyDescent="0.2">
      <c r="A14507" t="s">
        <v>7</v>
      </c>
      <c r="B14507" t="s">
        <v>34</v>
      </c>
      <c r="C14507" t="str">
        <f t="shared" si="456"/>
        <v>Cumple</v>
      </c>
      <c r="D14507">
        <v>3460</v>
      </c>
      <c r="E14507" t="s">
        <v>11</v>
      </c>
      <c r="F14507">
        <v>47</v>
      </c>
      <c r="G14507">
        <v>20</v>
      </c>
      <c r="H14507">
        <f t="shared" ref="H14507:H14570" si="458">F14507-G14507</f>
        <v>27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952</v>
      </c>
      <c r="E14508" t="s">
        <v>12</v>
      </c>
      <c r="F14508">
        <v>45</v>
      </c>
      <c r="G14508">
        <v>20</v>
      </c>
      <c r="H14508">
        <f t="shared" si="458"/>
        <v>25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1537</v>
      </c>
      <c r="E14509" t="s">
        <v>11</v>
      </c>
      <c r="F14509">
        <v>43</v>
      </c>
      <c r="G14509">
        <v>20</v>
      </c>
      <c r="H14509">
        <f t="shared" si="458"/>
        <v>23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3047</v>
      </c>
      <c r="E14510" t="s">
        <v>10</v>
      </c>
      <c r="F14510">
        <v>43</v>
      </c>
      <c r="G14510">
        <v>20</v>
      </c>
      <c r="H14510">
        <f t="shared" si="458"/>
        <v>23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3683</v>
      </c>
      <c r="E14511" t="s">
        <v>11</v>
      </c>
      <c r="F14511">
        <v>40</v>
      </c>
      <c r="G14511">
        <v>20</v>
      </c>
      <c r="H14511">
        <f t="shared" si="458"/>
        <v>20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3726</v>
      </c>
      <c r="E14512" t="s">
        <v>11</v>
      </c>
      <c r="F14512">
        <v>40</v>
      </c>
      <c r="G14512">
        <v>20</v>
      </c>
      <c r="H14512">
        <f t="shared" si="458"/>
        <v>20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9245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9892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3950</v>
      </c>
      <c r="E14515" t="s">
        <v>11</v>
      </c>
      <c r="F14515">
        <v>39</v>
      </c>
      <c r="G14515">
        <v>20</v>
      </c>
      <c r="H14515">
        <f t="shared" si="458"/>
        <v>19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9633</v>
      </c>
      <c r="E14516" t="s">
        <v>11</v>
      </c>
      <c r="F14516">
        <v>39</v>
      </c>
      <c r="G14516">
        <v>20</v>
      </c>
      <c r="H14516">
        <f t="shared" si="458"/>
        <v>19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9875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9982</v>
      </c>
      <c r="E14518" t="s">
        <v>10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1844</v>
      </c>
      <c r="E14519" t="s">
        <v>12</v>
      </c>
      <c r="F14519">
        <v>38</v>
      </c>
      <c r="G14519">
        <v>20</v>
      </c>
      <c r="H14519">
        <f t="shared" si="458"/>
        <v>18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3938</v>
      </c>
      <c r="E14520" t="s">
        <v>11</v>
      </c>
      <c r="F14520">
        <v>38</v>
      </c>
      <c r="G14520">
        <v>20</v>
      </c>
      <c r="H14520">
        <f t="shared" si="458"/>
        <v>18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9431</v>
      </c>
      <c r="E14521" t="s">
        <v>12</v>
      </c>
      <c r="F14521">
        <v>37</v>
      </c>
      <c r="G14521">
        <v>20</v>
      </c>
      <c r="H14521">
        <f t="shared" si="458"/>
        <v>17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3036</v>
      </c>
      <c r="E14522" t="s">
        <v>11</v>
      </c>
      <c r="F14522">
        <v>36</v>
      </c>
      <c r="G14522" s="9">
        <v>15</v>
      </c>
      <c r="H14522">
        <f t="shared" si="458"/>
        <v>21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3169</v>
      </c>
      <c r="E14523" t="s">
        <v>10</v>
      </c>
      <c r="F14523">
        <v>36</v>
      </c>
      <c r="G14523">
        <v>20</v>
      </c>
      <c r="H14523">
        <f t="shared" si="458"/>
        <v>16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3461</v>
      </c>
      <c r="E14524" t="s">
        <v>12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3638</v>
      </c>
      <c r="E14525" t="s">
        <v>12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9705</v>
      </c>
      <c r="E14526" t="s">
        <v>10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3102</v>
      </c>
      <c r="E14527" t="s">
        <v>10</v>
      </c>
      <c r="F14527">
        <v>35</v>
      </c>
      <c r="G14527">
        <v>20</v>
      </c>
      <c r="H14527">
        <f t="shared" si="458"/>
        <v>15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3364</v>
      </c>
      <c r="E14528" t="s">
        <v>11</v>
      </c>
      <c r="F14528">
        <v>35</v>
      </c>
      <c r="G14528">
        <v>20</v>
      </c>
      <c r="H14528">
        <f t="shared" si="458"/>
        <v>15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2854</v>
      </c>
      <c r="E14529" t="s">
        <v>11</v>
      </c>
      <c r="F14529">
        <v>34</v>
      </c>
      <c r="G14529">
        <v>20</v>
      </c>
      <c r="H14529">
        <f t="shared" si="458"/>
        <v>14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3006</v>
      </c>
      <c r="E14530" t="s">
        <v>11</v>
      </c>
      <c r="F14530">
        <v>34</v>
      </c>
      <c r="G14530">
        <v>20</v>
      </c>
      <c r="H14530">
        <f t="shared" si="458"/>
        <v>14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3299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ref="C14532:C14595" si="459">IF(H14532&gt;=0,"Cumple","No cumple")</f>
        <v>Cumple</v>
      </c>
      <c r="D14532">
        <v>3411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9"/>
        <v>Cumple</v>
      </c>
      <c r="D14533">
        <v>3850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si="459"/>
        <v>Cumple</v>
      </c>
      <c r="D14534">
        <v>4027</v>
      </c>
      <c r="E14534" t="s">
        <v>11</v>
      </c>
      <c r="F14534">
        <v>34</v>
      </c>
      <c r="G14534" s="9">
        <v>15</v>
      </c>
      <c r="H14534">
        <f t="shared" si="458"/>
        <v>19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9099</v>
      </c>
      <c r="E14535" t="s">
        <v>10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2961</v>
      </c>
      <c r="E14536" t="s">
        <v>12</v>
      </c>
      <c r="F14536">
        <v>33</v>
      </c>
      <c r="G14536">
        <v>20</v>
      </c>
      <c r="H14536">
        <f t="shared" si="458"/>
        <v>13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1771</v>
      </c>
      <c r="E14537" t="s">
        <v>11</v>
      </c>
      <c r="F14537">
        <v>33</v>
      </c>
      <c r="G14537">
        <v>20</v>
      </c>
      <c r="H14537">
        <f t="shared" si="458"/>
        <v>13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1576</v>
      </c>
      <c r="E14538" t="s">
        <v>11</v>
      </c>
      <c r="F14538">
        <v>32</v>
      </c>
      <c r="G14538">
        <v>20</v>
      </c>
      <c r="H14538">
        <f t="shared" si="458"/>
        <v>12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1894</v>
      </c>
      <c r="E14539" t="s">
        <v>11</v>
      </c>
      <c r="F14539">
        <v>32</v>
      </c>
      <c r="G14539">
        <v>20</v>
      </c>
      <c r="H14539">
        <f t="shared" si="458"/>
        <v>12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2777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3061</v>
      </c>
      <c r="E14541" t="s">
        <v>10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3070</v>
      </c>
      <c r="E14542" t="s">
        <v>10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1534</v>
      </c>
      <c r="E14543" t="s">
        <v>10</v>
      </c>
      <c r="F14543">
        <v>31</v>
      </c>
      <c r="G14543">
        <v>20</v>
      </c>
      <c r="H14543">
        <f t="shared" si="458"/>
        <v>11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1875</v>
      </c>
      <c r="E14544" t="s">
        <v>10</v>
      </c>
      <c r="F14544">
        <v>31</v>
      </c>
      <c r="G14544">
        <v>20</v>
      </c>
      <c r="H14544">
        <f t="shared" si="458"/>
        <v>11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1893</v>
      </c>
      <c r="E14545" t="s">
        <v>12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3289</v>
      </c>
      <c r="E14546" t="s">
        <v>11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3378</v>
      </c>
      <c r="E14547" t="s">
        <v>10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3432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3685</v>
      </c>
      <c r="E14549" t="s">
        <v>11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3730</v>
      </c>
      <c r="E14550" t="s">
        <v>12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9476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9769</v>
      </c>
      <c r="E14552" t="s">
        <v>10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709</v>
      </c>
      <c r="E14553" t="s">
        <v>12</v>
      </c>
      <c r="F14553">
        <v>30</v>
      </c>
      <c r="G14553">
        <v>20</v>
      </c>
      <c r="H14553">
        <f t="shared" si="458"/>
        <v>10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3123</v>
      </c>
      <c r="E14554" t="s">
        <v>11</v>
      </c>
      <c r="F14554">
        <v>30</v>
      </c>
      <c r="G14554">
        <v>20</v>
      </c>
      <c r="H14554">
        <f t="shared" si="458"/>
        <v>10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3159</v>
      </c>
      <c r="E14555" t="s">
        <v>11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3708</v>
      </c>
      <c r="E14556" t="s">
        <v>10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3924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2609</v>
      </c>
      <c r="E14558" t="s">
        <v>10</v>
      </c>
      <c r="F14558">
        <v>29</v>
      </c>
      <c r="G14558">
        <v>20</v>
      </c>
      <c r="H14558">
        <f t="shared" si="458"/>
        <v>9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3125</v>
      </c>
      <c r="E14559" t="s">
        <v>10</v>
      </c>
      <c r="F14559">
        <v>29</v>
      </c>
      <c r="G14559">
        <v>20</v>
      </c>
      <c r="H14559">
        <f t="shared" si="458"/>
        <v>9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3471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3504</v>
      </c>
      <c r="E14561" t="s">
        <v>11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3591</v>
      </c>
      <c r="E14562" t="s">
        <v>12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3621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3829</v>
      </c>
      <c r="E14564" t="s">
        <v>11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9376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629</v>
      </c>
      <c r="E14566" t="s">
        <v>10</v>
      </c>
      <c r="F14566">
        <v>28</v>
      </c>
      <c r="G14566">
        <v>20</v>
      </c>
      <c r="H14566">
        <f t="shared" si="458"/>
        <v>8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1843</v>
      </c>
      <c r="E14567" t="s">
        <v>11</v>
      </c>
      <c r="F14567">
        <v>28</v>
      </c>
      <c r="G14567">
        <v>20</v>
      </c>
      <c r="H14567">
        <f t="shared" si="458"/>
        <v>8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2440</v>
      </c>
      <c r="E14568" t="s">
        <v>11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3014</v>
      </c>
      <c r="E14569" t="s">
        <v>10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3243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3487</v>
      </c>
      <c r="E14571" t="s">
        <v>10</v>
      </c>
      <c r="F14571">
        <v>28</v>
      </c>
      <c r="G14571">
        <v>20</v>
      </c>
      <c r="H14571">
        <f t="shared" ref="H14571:H14634" si="460">F14571-G14571</f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3800</v>
      </c>
      <c r="E14572" t="s">
        <v>10</v>
      </c>
      <c r="F14572">
        <v>28</v>
      </c>
      <c r="G14572">
        <v>20</v>
      </c>
      <c r="H14572">
        <f t="shared" si="460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3830</v>
      </c>
      <c r="E14573" t="s">
        <v>11</v>
      </c>
      <c r="F14573">
        <v>28</v>
      </c>
      <c r="G14573">
        <v>20</v>
      </c>
      <c r="H14573">
        <f t="shared" si="460"/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9948</v>
      </c>
      <c r="E14574" t="s">
        <v>12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1532</v>
      </c>
      <c r="E14575" t="s">
        <v>11</v>
      </c>
      <c r="F14575">
        <v>27</v>
      </c>
      <c r="G14575">
        <v>20</v>
      </c>
      <c r="H14575">
        <f t="shared" si="460"/>
        <v>7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3039</v>
      </c>
      <c r="E14576" t="s">
        <v>10</v>
      </c>
      <c r="F14576">
        <v>27</v>
      </c>
      <c r="G14576">
        <v>20</v>
      </c>
      <c r="H14576">
        <f t="shared" si="460"/>
        <v>7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3153</v>
      </c>
      <c r="E14577" t="s">
        <v>10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3786</v>
      </c>
      <c r="E14578" t="s">
        <v>11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3905</v>
      </c>
      <c r="E14579" t="s">
        <v>11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3934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3937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9172</v>
      </c>
      <c r="E14582" t="s">
        <v>12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9630</v>
      </c>
      <c r="E14583" t="s">
        <v>10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1738</v>
      </c>
      <c r="E14584" t="s">
        <v>11</v>
      </c>
      <c r="F14584">
        <v>26</v>
      </c>
      <c r="G14584">
        <v>20</v>
      </c>
      <c r="H14584">
        <f t="shared" si="460"/>
        <v>6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3016</v>
      </c>
      <c r="E14585" t="s">
        <v>11</v>
      </c>
      <c r="F14585">
        <v>26</v>
      </c>
      <c r="G14585">
        <v>20</v>
      </c>
      <c r="H14585">
        <f t="shared" si="460"/>
        <v>6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3118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3238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3404</v>
      </c>
      <c r="E14588" t="s">
        <v>10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3568</v>
      </c>
      <c r="E14589" t="s">
        <v>12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3948</v>
      </c>
      <c r="E14590" t="s">
        <v>11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3725</v>
      </c>
      <c r="E14591" t="s">
        <v>11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4049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127</v>
      </c>
      <c r="E14593" t="s">
        <v>11</v>
      </c>
      <c r="F14593">
        <v>25</v>
      </c>
      <c r="G14593">
        <v>20</v>
      </c>
      <c r="H14593">
        <f t="shared" si="460"/>
        <v>5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3041</v>
      </c>
      <c r="E14594" t="s">
        <v>11</v>
      </c>
      <c r="F14594">
        <v>25</v>
      </c>
      <c r="G14594">
        <v>20</v>
      </c>
      <c r="H14594">
        <f t="shared" si="460"/>
        <v>5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3521</v>
      </c>
      <c r="E14595" t="s">
        <v>10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ref="C14596:C14659" si="461">IF(H14596&gt;=0,"Cumple","No cumple")</f>
        <v>Cumple</v>
      </c>
      <c r="D14596">
        <v>2118</v>
      </c>
      <c r="E14596" t="s">
        <v>10</v>
      </c>
      <c r="F14596">
        <v>24</v>
      </c>
      <c r="G14596">
        <v>20</v>
      </c>
      <c r="H14596">
        <f t="shared" si="460"/>
        <v>4</v>
      </c>
    </row>
    <row r="14597" spans="1:8" x14ac:dyDescent="0.2">
      <c r="A14597" t="s">
        <v>7</v>
      </c>
      <c r="B14597" t="s">
        <v>34</v>
      </c>
      <c r="C14597" t="str">
        <f t="shared" si="461"/>
        <v>Cumple</v>
      </c>
      <c r="D14597">
        <v>2674</v>
      </c>
      <c r="E14597" t="s">
        <v>10</v>
      </c>
      <c r="F14597">
        <v>24</v>
      </c>
      <c r="G14597">
        <v>20</v>
      </c>
      <c r="H14597">
        <f t="shared" si="460"/>
        <v>4</v>
      </c>
    </row>
    <row r="14598" spans="1:8" x14ac:dyDescent="0.2">
      <c r="A14598" t="s">
        <v>7</v>
      </c>
      <c r="B14598" t="s">
        <v>34</v>
      </c>
      <c r="C14598" t="str">
        <f t="shared" si="461"/>
        <v>Cumple</v>
      </c>
      <c r="D14598">
        <v>3038</v>
      </c>
      <c r="E14598" t="s">
        <v>11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3114</v>
      </c>
      <c r="E14599" t="s">
        <v>12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3379</v>
      </c>
      <c r="E14600" t="s">
        <v>10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3518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3724</v>
      </c>
      <c r="E14602" t="s">
        <v>11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3936</v>
      </c>
      <c r="E14603" t="s">
        <v>11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9084</v>
      </c>
      <c r="E14604" t="s">
        <v>12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2890</v>
      </c>
      <c r="E14605" t="s">
        <v>11</v>
      </c>
      <c r="F14605">
        <v>23</v>
      </c>
      <c r="G14605">
        <v>20</v>
      </c>
      <c r="H14605">
        <f t="shared" si="460"/>
        <v>3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3194</v>
      </c>
      <c r="E14606" t="s">
        <v>11</v>
      </c>
      <c r="F14606">
        <v>23</v>
      </c>
      <c r="G14606">
        <v>20</v>
      </c>
      <c r="H14606">
        <f t="shared" si="460"/>
        <v>3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3567</v>
      </c>
      <c r="E14607" t="s">
        <v>12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3674</v>
      </c>
      <c r="E14608" t="s">
        <v>12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9377</v>
      </c>
      <c r="E14609" t="s">
        <v>11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3132</v>
      </c>
      <c r="E14610" t="s">
        <v>11</v>
      </c>
      <c r="F14610">
        <v>22</v>
      </c>
      <c r="G14610">
        <v>20</v>
      </c>
      <c r="H14610">
        <f t="shared" si="460"/>
        <v>2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3309</v>
      </c>
      <c r="E14611" t="s">
        <v>11</v>
      </c>
      <c r="F14611">
        <v>22</v>
      </c>
      <c r="G14611">
        <v>20</v>
      </c>
      <c r="H14611">
        <f t="shared" si="460"/>
        <v>2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3414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5162</v>
      </c>
      <c r="E14613" t="s">
        <v>12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4050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9216</v>
      </c>
      <c r="E14615" t="s">
        <v>11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1131</v>
      </c>
      <c r="E14616" t="s">
        <v>12</v>
      </c>
      <c r="F14616">
        <v>21</v>
      </c>
      <c r="G14616">
        <v>20</v>
      </c>
      <c r="H14616">
        <f t="shared" si="460"/>
        <v>1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1874</v>
      </c>
      <c r="E14617" t="s">
        <v>12</v>
      </c>
      <c r="F14617">
        <v>21</v>
      </c>
      <c r="G14617">
        <v>20</v>
      </c>
      <c r="H14617">
        <f t="shared" si="460"/>
        <v>1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3160</v>
      </c>
      <c r="E14618" t="s">
        <v>11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3206</v>
      </c>
      <c r="E14619" t="s">
        <v>11</v>
      </c>
      <c r="F14619">
        <v>20</v>
      </c>
      <c r="G14619">
        <v>20</v>
      </c>
      <c r="H14619">
        <f t="shared" si="460"/>
        <v>0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3549</v>
      </c>
      <c r="E14620" t="s">
        <v>10</v>
      </c>
      <c r="F14620">
        <v>20</v>
      </c>
      <c r="G14620">
        <v>20</v>
      </c>
      <c r="H14620">
        <f t="shared" si="460"/>
        <v>0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3682</v>
      </c>
      <c r="E14621" t="s">
        <v>10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3908</v>
      </c>
      <c r="E14622" t="s">
        <v>11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9195</v>
      </c>
      <c r="E14623" t="s">
        <v>12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9480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No cumple</v>
      </c>
      <c r="D14625">
        <v>3138</v>
      </c>
      <c r="E14625" t="s">
        <v>11</v>
      </c>
      <c r="F14625">
        <v>19</v>
      </c>
      <c r="G14625">
        <v>20</v>
      </c>
      <c r="H14625">
        <f t="shared" si="460"/>
        <v>-1</v>
      </c>
    </row>
    <row r="14626" spans="1:8" x14ac:dyDescent="0.2">
      <c r="A14626" t="s">
        <v>7</v>
      </c>
      <c r="B14626" t="s">
        <v>34</v>
      </c>
      <c r="C14626" t="str">
        <f t="shared" si="461"/>
        <v>No cumple</v>
      </c>
      <c r="D14626">
        <v>3951</v>
      </c>
      <c r="E14626" t="s">
        <v>11</v>
      </c>
      <c r="F14626">
        <v>19</v>
      </c>
      <c r="G14626">
        <v>20</v>
      </c>
      <c r="H14626">
        <f t="shared" si="460"/>
        <v>-1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2597</v>
      </c>
      <c r="E14627" t="s">
        <v>10</v>
      </c>
      <c r="F14627">
        <v>18</v>
      </c>
      <c r="G14627">
        <v>20</v>
      </c>
      <c r="H14627">
        <f t="shared" si="460"/>
        <v>-2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3091</v>
      </c>
      <c r="E14628" t="s">
        <v>10</v>
      </c>
      <c r="F14628">
        <v>18</v>
      </c>
      <c r="G14628">
        <v>20</v>
      </c>
      <c r="H14628">
        <f t="shared" si="460"/>
        <v>-2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3686</v>
      </c>
      <c r="E14629" t="s">
        <v>11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3707</v>
      </c>
      <c r="E14630" t="s">
        <v>11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3729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9045</v>
      </c>
      <c r="E14632" t="s">
        <v>12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3457</v>
      </c>
      <c r="E14633" t="s">
        <v>11</v>
      </c>
      <c r="F14633">
        <v>17</v>
      </c>
      <c r="G14633">
        <v>20</v>
      </c>
      <c r="H14633">
        <f t="shared" si="460"/>
        <v>-3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1598</v>
      </c>
      <c r="E14634" t="s">
        <v>10</v>
      </c>
      <c r="F14634">
        <v>16</v>
      </c>
      <c r="G14634">
        <v>20</v>
      </c>
      <c r="H14634">
        <f t="shared" si="460"/>
        <v>-4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2545</v>
      </c>
      <c r="E14635" t="s">
        <v>11</v>
      </c>
      <c r="F14635">
        <v>16</v>
      </c>
      <c r="G14635">
        <v>20</v>
      </c>
      <c r="H14635">
        <f t="shared" ref="H14635:H14698" si="462">F14635-G14635</f>
        <v>-4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3620</v>
      </c>
      <c r="E14636" t="s">
        <v>11</v>
      </c>
      <c r="F14636">
        <v>16</v>
      </c>
      <c r="G14636">
        <v>20</v>
      </c>
      <c r="H14636">
        <f t="shared" si="462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3806</v>
      </c>
      <c r="E14637" t="s">
        <v>11</v>
      </c>
      <c r="F14637">
        <v>16</v>
      </c>
      <c r="G14637">
        <v>20</v>
      </c>
      <c r="H14637">
        <f t="shared" si="462"/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9369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9612</v>
      </c>
      <c r="E14639" t="s">
        <v>12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4041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1717</v>
      </c>
      <c r="E14641" t="s">
        <v>11</v>
      </c>
      <c r="F14641">
        <v>15</v>
      </c>
      <c r="G14641">
        <v>20</v>
      </c>
      <c r="H14641">
        <f t="shared" si="462"/>
        <v>-5</v>
      </c>
    </row>
    <row r="14642" spans="1:8" x14ac:dyDescent="0.2">
      <c r="A14642" t="s">
        <v>7</v>
      </c>
      <c r="B14642" t="s">
        <v>34</v>
      </c>
      <c r="C14642" t="str">
        <f t="shared" si="461"/>
        <v>Cumple</v>
      </c>
      <c r="D14642">
        <v>2889</v>
      </c>
      <c r="E14642" t="s">
        <v>10</v>
      </c>
      <c r="F14642" s="9">
        <v>20</v>
      </c>
      <c r="G14642">
        <v>20</v>
      </c>
      <c r="H14642">
        <f t="shared" si="462"/>
        <v>0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3113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3517</v>
      </c>
      <c r="E14644" t="s">
        <v>11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3922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9129</v>
      </c>
      <c r="E14646" t="s">
        <v>10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9905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9980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3952</v>
      </c>
      <c r="E14649" t="s">
        <v>11</v>
      </c>
      <c r="F14649">
        <v>11</v>
      </c>
      <c r="G14649">
        <v>20</v>
      </c>
      <c r="H14649">
        <f t="shared" si="462"/>
        <v>-9</v>
      </c>
    </row>
    <row r="14650" spans="1:8" x14ac:dyDescent="0.2">
      <c r="A14650" t="s">
        <v>7</v>
      </c>
      <c r="B14650" t="s">
        <v>34</v>
      </c>
      <c r="C14650" t="str">
        <f t="shared" si="461"/>
        <v>Cumple</v>
      </c>
      <c r="D14650">
        <v>3488</v>
      </c>
      <c r="E14650" t="s">
        <v>10</v>
      </c>
      <c r="F14650" s="9">
        <v>20</v>
      </c>
      <c r="G14650">
        <v>20</v>
      </c>
      <c r="H14650">
        <f t="shared" si="462"/>
        <v>0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3883</v>
      </c>
      <c r="E14651" t="s">
        <v>11</v>
      </c>
      <c r="F14651">
        <v>10</v>
      </c>
      <c r="G14651">
        <v>20</v>
      </c>
      <c r="H14651">
        <f t="shared" si="462"/>
        <v>-10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9981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1997</v>
      </c>
      <c r="E14653" t="s">
        <v>10</v>
      </c>
      <c r="F14653">
        <v>9</v>
      </c>
      <c r="G14653">
        <v>20</v>
      </c>
      <c r="H14653">
        <f t="shared" si="462"/>
        <v>-11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9196</v>
      </c>
      <c r="E14654" t="s">
        <v>11</v>
      </c>
      <c r="F14654">
        <v>9</v>
      </c>
      <c r="G14654">
        <v>20</v>
      </c>
      <c r="H14654">
        <f t="shared" si="462"/>
        <v>-11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9619</v>
      </c>
      <c r="E14655" t="s">
        <v>11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1872</v>
      </c>
      <c r="E14656" t="s">
        <v>11</v>
      </c>
      <c r="F14656">
        <v>8</v>
      </c>
      <c r="G14656">
        <v>20</v>
      </c>
      <c r="H14656">
        <f t="shared" si="462"/>
        <v>-12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3447</v>
      </c>
      <c r="E14657" t="s">
        <v>12</v>
      </c>
      <c r="F14657">
        <v>8</v>
      </c>
      <c r="G14657">
        <v>20</v>
      </c>
      <c r="H14657">
        <f t="shared" si="462"/>
        <v>-12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3788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474</v>
      </c>
      <c r="E14659" t="s">
        <v>11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ref="C14660:C14723" si="463">IF(H14660&gt;=0,"Cumple","No cumple")</f>
        <v>No cumple</v>
      </c>
      <c r="D14660">
        <v>3607</v>
      </c>
      <c r="E14660" t="s">
        <v>10</v>
      </c>
      <c r="F14660">
        <v>7</v>
      </c>
      <c r="G14660">
        <v>20</v>
      </c>
      <c r="H14660">
        <f t="shared" si="462"/>
        <v>-13</v>
      </c>
    </row>
    <row r="14661" spans="1:8" x14ac:dyDescent="0.2">
      <c r="A14661" t="s">
        <v>7</v>
      </c>
      <c r="B14661" t="s">
        <v>34</v>
      </c>
      <c r="C14661" t="str">
        <f t="shared" si="463"/>
        <v>No cumple</v>
      </c>
      <c r="D14661">
        <v>9869</v>
      </c>
      <c r="E14661" t="s">
        <v>11</v>
      </c>
      <c r="F14661">
        <v>7</v>
      </c>
      <c r="G14661">
        <v>20</v>
      </c>
      <c r="H14661">
        <f t="shared" si="462"/>
        <v>-13</v>
      </c>
    </row>
    <row r="14662" spans="1:8" x14ac:dyDescent="0.2">
      <c r="A14662" t="s">
        <v>7</v>
      </c>
      <c r="B14662" t="s">
        <v>34</v>
      </c>
      <c r="C14662" t="str">
        <f t="shared" si="463"/>
        <v>No cumple</v>
      </c>
      <c r="D14662">
        <v>1583</v>
      </c>
      <c r="E14662" t="s">
        <v>11</v>
      </c>
      <c r="F14662">
        <v>6</v>
      </c>
      <c r="G14662">
        <v>20</v>
      </c>
      <c r="H14662">
        <f t="shared" si="462"/>
        <v>-14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3157</v>
      </c>
      <c r="E14663" t="s">
        <v>11</v>
      </c>
      <c r="F14663">
        <v>6</v>
      </c>
      <c r="G14663">
        <v>20</v>
      </c>
      <c r="H14663">
        <f t="shared" si="462"/>
        <v>-14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3849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9026</v>
      </c>
      <c r="E14665" t="s">
        <v>10</v>
      </c>
      <c r="F14665">
        <v>5</v>
      </c>
      <c r="G14665">
        <v>20</v>
      </c>
      <c r="H14665">
        <f t="shared" si="462"/>
        <v>-15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9368</v>
      </c>
      <c r="E14666" t="s">
        <v>11</v>
      </c>
      <c r="F14666">
        <v>5</v>
      </c>
      <c r="G14666">
        <v>20</v>
      </c>
      <c r="H14666">
        <f t="shared" si="462"/>
        <v>-15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9461</v>
      </c>
      <c r="E14667" t="s">
        <v>11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3233</v>
      </c>
      <c r="E14668" t="s">
        <v>11</v>
      </c>
      <c r="F14668">
        <v>4</v>
      </c>
      <c r="G14668">
        <v>20</v>
      </c>
      <c r="H14668">
        <f t="shared" si="462"/>
        <v>-16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3282</v>
      </c>
      <c r="E14669" t="s">
        <v>11</v>
      </c>
      <c r="F14669">
        <v>4</v>
      </c>
      <c r="G14669">
        <v>20</v>
      </c>
      <c r="H14669">
        <f t="shared" si="462"/>
        <v>-16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3357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3480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3599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3613</v>
      </c>
      <c r="E14673" t="s">
        <v>10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3634</v>
      </c>
      <c r="E14674" t="s">
        <v>12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3671</v>
      </c>
      <c r="E14675" t="s">
        <v>12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3881</v>
      </c>
      <c r="E14676" t="s">
        <v>11</v>
      </c>
      <c r="F14676">
        <v>3</v>
      </c>
      <c r="G14676">
        <v>20</v>
      </c>
      <c r="H14676">
        <f t="shared" si="462"/>
        <v>-17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3982</v>
      </c>
      <c r="E14677" t="s">
        <v>11</v>
      </c>
      <c r="F14677">
        <v>3</v>
      </c>
      <c r="G14677">
        <v>20</v>
      </c>
      <c r="H14677">
        <f t="shared" si="462"/>
        <v>-17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957</v>
      </c>
      <c r="E14678" t="s">
        <v>12</v>
      </c>
      <c r="F14678">
        <v>2</v>
      </c>
      <c r="G14678">
        <v>20</v>
      </c>
      <c r="H14678">
        <f t="shared" si="462"/>
        <v>-18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2488</v>
      </c>
      <c r="E14679" t="s">
        <v>10</v>
      </c>
      <c r="F14679">
        <v>2</v>
      </c>
      <c r="G14679">
        <v>20</v>
      </c>
      <c r="H14679">
        <f t="shared" si="462"/>
        <v>-18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2930</v>
      </c>
      <c r="E14680" t="s">
        <v>11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3130</v>
      </c>
      <c r="E14681" t="s">
        <v>11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1896</v>
      </c>
      <c r="E14682" t="s">
        <v>11</v>
      </c>
      <c r="F14682">
        <v>1</v>
      </c>
      <c r="G14682">
        <v>20</v>
      </c>
      <c r="H14682">
        <f t="shared" si="462"/>
        <v>-19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9354</v>
      </c>
      <c r="E14683" t="s">
        <v>11</v>
      </c>
      <c r="F14683">
        <v>1</v>
      </c>
      <c r="G14683">
        <v>20</v>
      </c>
      <c r="H14683">
        <f t="shared" si="462"/>
        <v>-19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9584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1809</v>
      </c>
      <c r="E14685" t="s">
        <v>11</v>
      </c>
      <c r="F14685">
        <v>0</v>
      </c>
      <c r="G14685">
        <v>20</v>
      </c>
      <c r="H14685">
        <f t="shared" si="462"/>
        <v>-20</v>
      </c>
    </row>
    <row r="14686" spans="1:8" x14ac:dyDescent="0.2">
      <c r="A14686" t="s">
        <v>18</v>
      </c>
      <c r="B14686" t="s">
        <v>34</v>
      </c>
      <c r="C14686" t="str">
        <f t="shared" si="463"/>
        <v>No cumple</v>
      </c>
      <c r="D14686">
        <v>2867</v>
      </c>
      <c r="E14686" t="s">
        <v>12</v>
      </c>
      <c r="F14686">
        <v>0</v>
      </c>
      <c r="G14686">
        <v>20</v>
      </c>
      <c r="H14686">
        <f t="shared" si="462"/>
        <v>-20</v>
      </c>
    </row>
    <row r="14687" spans="1:8" x14ac:dyDescent="0.2">
      <c r="A14687" t="s">
        <v>18</v>
      </c>
      <c r="B14687" t="s">
        <v>34</v>
      </c>
      <c r="C14687" t="str">
        <f t="shared" si="463"/>
        <v>No cumple</v>
      </c>
      <c r="D14687">
        <v>3192</v>
      </c>
      <c r="E14687" t="s">
        <v>10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3341</v>
      </c>
      <c r="E14688" t="s">
        <v>10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3370</v>
      </c>
      <c r="E14689" t="s">
        <v>11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19</v>
      </c>
      <c r="B14690" t="s">
        <v>34</v>
      </c>
      <c r="C14690" t="str">
        <f t="shared" si="463"/>
        <v>No cumple</v>
      </c>
      <c r="D14690">
        <v>3426</v>
      </c>
      <c r="E14690" t="s">
        <v>11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3540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18</v>
      </c>
      <c r="B14692" t="s">
        <v>34</v>
      </c>
      <c r="C14692" t="str">
        <f t="shared" si="463"/>
        <v>No cumple</v>
      </c>
      <c r="D14692">
        <v>3548</v>
      </c>
      <c r="E14692" t="s">
        <v>10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19</v>
      </c>
      <c r="B14693" t="s">
        <v>34</v>
      </c>
      <c r="C14693" t="str">
        <f t="shared" si="463"/>
        <v>No cumple</v>
      </c>
      <c r="D14693">
        <v>3606</v>
      </c>
      <c r="E14693" t="s">
        <v>12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3636</v>
      </c>
      <c r="E14694" t="s">
        <v>12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18</v>
      </c>
      <c r="B14695" t="s">
        <v>34</v>
      </c>
      <c r="C14695" t="str">
        <f t="shared" si="463"/>
        <v>No cumple</v>
      </c>
      <c r="D14695">
        <v>3637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19</v>
      </c>
      <c r="B14696" t="s">
        <v>34</v>
      </c>
      <c r="C14696" t="str">
        <f t="shared" si="463"/>
        <v>No cumple</v>
      </c>
      <c r="D14696">
        <v>3649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19</v>
      </c>
      <c r="B14697" t="s">
        <v>34</v>
      </c>
      <c r="C14697" t="str">
        <f t="shared" si="463"/>
        <v>No cumple</v>
      </c>
      <c r="D14697">
        <v>3673</v>
      </c>
      <c r="E14697" t="s">
        <v>11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18</v>
      </c>
      <c r="B14698" t="s">
        <v>34</v>
      </c>
      <c r="C14698" t="str">
        <f t="shared" si="463"/>
        <v>No cumple</v>
      </c>
      <c r="D14698">
        <v>3787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18</v>
      </c>
      <c r="B14699" t="s">
        <v>34</v>
      </c>
      <c r="C14699" t="str">
        <f t="shared" si="463"/>
        <v>No cumple</v>
      </c>
      <c r="D14699">
        <v>3828</v>
      </c>
      <c r="E14699" t="s">
        <v>11</v>
      </c>
      <c r="F14699">
        <v>0</v>
      </c>
      <c r="G14699">
        <v>20</v>
      </c>
      <c r="H14699">
        <f t="shared" ref="H14699:H14714" si="464">F14699-G14699</f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3907</v>
      </c>
      <c r="E14700" t="s">
        <v>11</v>
      </c>
      <c r="F14700">
        <v>0</v>
      </c>
      <c r="G14700">
        <v>20</v>
      </c>
      <c r="H14700">
        <f t="shared" si="464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3945</v>
      </c>
      <c r="E14701" t="s">
        <v>11</v>
      </c>
      <c r="F14701">
        <v>0</v>
      </c>
      <c r="G14701">
        <v>20</v>
      </c>
      <c r="H14701">
        <f t="shared" si="464"/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3972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3997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3998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4025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4026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19</v>
      </c>
      <c r="B14707" t="s">
        <v>34</v>
      </c>
      <c r="C14707" t="str">
        <f t="shared" si="463"/>
        <v>No cumple</v>
      </c>
      <c r="D14707">
        <v>9053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9103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18</v>
      </c>
      <c r="B14709" t="s">
        <v>34</v>
      </c>
      <c r="C14709" t="str">
        <f t="shared" si="463"/>
        <v>No cumple</v>
      </c>
      <c r="D14709">
        <v>9325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9650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9894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3242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9925</v>
      </c>
      <c r="E14713" t="s">
        <v>10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4072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7</v>
      </c>
      <c r="B14715" t="s">
        <v>34</v>
      </c>
      <c r="C14715" t="str">
        <f t="shared" si="463"/>
        <v>Cumple</v>
      </c>
      <c r="D14715">
        <v>3691</v>
      </c>
      <c r="E14715" t="s">
        <v>13</v>
      </c>
      <c r="F14715">
        <v>14</v>
      </c>
      <c r="G14715">
        <v>6</v>
      </c>
      <c r="H14715">
        <f>F14715-G14715</f>
        <v>8</v>
      </c>
    </row>
    <row r="14716" spans="1:8" x14ac:dyDescent="0.2">
      <c r="A14716" t="s">
        <v>7</v>
      </c>
      <c r="B14716" t="s">
        <v>34</v>
      </c>
      <c r="C14716" t="str">
        <f t="shared" si="463"/>
        <v>Cumple</v>
      </c>
      <c r="D14716">
        <v>9967</v>
      </c>
      <c r="E14716" t="s">
        <v>13</v>
      </c>
      <c r="F14716">
        <v>13</v>
      </c>
      <c r="G14716">
        <v>6</v>
      </c>
      <c r="H14716">
        <f t="shared" ref="H14716:H14779" si="465">F14716-G14716</f>
        <v>7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1891</v>
      </c>
      <c r="E14717" t="s">
        <v>13</v>
      </c>
      <c r="F14717">
        <v>12</v>
      </c>
      <c r="G14717">
        <v>6</v>
      </c>
      <c r="H14717">
        <f t="shared" si="465"/>
        <v>6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3939</v>
      </c>
      <c r="E14718" t="s">
        <v>13</v>
      </c>
      <c r="F14718">
        <v>12</v>
      </c>
      <c r="G14718">
        <v>6</v>
      </c>
      <c r="H14718">
        <f t="shared" si="465"/>
        <v>6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707</v>
      </c>
      <c r="E14719" t="s">
        <v>13</v>
      </c>
      <c r="F14719">
        <v>11</v>
      </c>
      <c r="G14719">
        <v>6</v>
      </c>
      <c r="H14719">
        <f t="shared" si="465"/>
        <v>5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735</v>
      </c>
      <c r="E14720" t="s">
        <v>13</v>
      </c>
      <c r="F14720">
        <v>11</v>
      </c>
      <c r="G14720">
        <v>6</v>
      </c>
      <c r="H14720">
        <f t="shared" si="465"/>
        <v>5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838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7597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3984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ref="C14724:C14787" si="466">IF(H14724&gt;=0,"Cumple","No cumple")</f>
        <v>Cumple</v>
      </c>
      <c r="D14724">
        <v>291</v>
      </c>
      <c r="E14724" t="s">
        <v>13</v>
      </c>
      <c r="F14724">
        <v>10</v>
      </c>
      <c r="G14724">
        <v>6</v>
      </c>
      <c r="H14724">
        <f t="shared" si="465"/>
        <v>4</v>
      </c>
    </row>
    <row r="14725" spans="1:8" x14ac:dyDescent="0.2">
      <c r="A14725" t="s">
        <v>7</v>
      </c>
      <c r="B14725" t="s">
        <v>34</v>
      </c>
      <c r="C14725" t="str">
        <f t="shared" si="466"/>
        <v>Cumple</v>
      </c>
      <c r="D14725">
        <v>292</v>
      </c>
      <c r="E14725" t="s">
        <v>13</v>
      </c>
      <c r="F14725">
        <v>10</v>
      </c>
      <c r="G14725">
        <v>6</v>
      </c>
      <c r="H14725">
        <f t="shared" si="465"/>
        <v>4</v>
      </c>
    </row>
    <row r="14726" spans="1:8" x14ac:dyDescent="0.2">
      <c r="A14726" t="s">
        <v>7</v>
      </c>
      <c r="B14726" t="s">
        <v>34</v>
      </c>
      <c r="C14726" t="str">
        <f t="shared" si="466"/>
        <v>Cumple</v>
      </c>
      <c r="D14726">
        <v>754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927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1410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1793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3662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3663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3810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3818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9575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9645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219</v>
      </c>
      <c r="E14736" t="s">
        <v>13</v>
      </c>
      <c r="F14736">
        <v>9</v>
      </c>
      <c r="G14736">
        <v>6</v>
      </c>
      <c r="H14736">
        <f t="shared" si="465"/>
        <v>3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793</v>
      </c>
      <c r="E14737" t="s">
        <v>13</v>
      </c>
      <c r="F14737">
        <v>9</v>
      </c>
      <c r="G14737">
        <v>6</v>
      </c>
      <c r="H14737">
        <f t="shared" si="465"/>
        <v>3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794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831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985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1487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1524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1550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1847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1887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2810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3768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3769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3771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3811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3815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3853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9134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9154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9527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9742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4033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4067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213</v>
      </c>
      <c r="E14759" t="s">
        <v>13</v>
      </c>
      <c r="F14759">
        <v>8</v>
      </c>
      <c r="G14759">
        <v>6</v>
      </c>
      <c r="H14759">
        <f t="shared" si="465"/>
        <v>2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763</v>
      </c>
      <c r="E14760" t="s">
        <v>13</v>
      </c>
      <c r="F14760">
        <v>8</v>
      </c>
      <c r="G14760">
        <v>6</v>
      </c>
      <c r="H14760">
        <f t="shared" si="465"/>
        <v>2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785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826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2502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2874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3416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3661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3664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3695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3791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3912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9017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9935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4029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4070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221</v>
      </c>
      <c r="E14775" t="s">
        <v>13</v>
      </c>
      <c r="F14775">
        <v>7</v>
      </c>
      <c r="G14775">
        <v>6</v>
      </c>
      <c r="H14775">
        <f t="shared" si="465"/>
        <v>1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283</v>
      </c>
      <c r="E14776" t="s">
        <v>13</v>
      </c>
      <c r="F14776">
        <v>7</v>
      </c>
      <c r="G14776">
        <v>6</v>
      </c>
      <c r="H14776">
        <f t="shared" si="465"/>
        <v>1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717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818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830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899</v>
      </c>
      <c r="E14780" t="s">
        <v>13</v>
      </c>
      <c r="F14780">
        <v>7</v>
      </c>
      <c r="G14780">
        <v>6</v>
      </c>
      <c r="H14780">
        <f t="shared" ref="H14780:H14843" si="467">F14780-G14780</f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1445</v>
      </c>
      <c r="E14781" t="s">
        <v>13</v>
      </c>
      <c r="F14781">
        <v>7</v>
      </c>
      <c r="G14781">
        <v>6</v>
      </c>
      <c r="H14781">
        <f t="shared" si="467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1468</v>
      </c>
      <c r="E14782" t="s">
        <v>13</v>
      </c>
      <c r="F14782">
        <v>7</v>
      </c>
      <c r="G14782">
        <v>6</v>
      </c>
      <c r="H14782">
        <f t="shared" si="467"/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1485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1601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1798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1857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2086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ref="C14788:C14851" si="468">IF(H14788&gt;=0,"Cumple","No cumple")</f>
        <v>Cumple</v>
      </c>
      <c r="D14788">
        <v>2583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8"/>
        <v>Cumple</v>
      </c>
      <c r="D14789">
        <v>2851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si="468"/>
        <v>Cumple</v>
      </c>
      <c r="D14790">
        <v>2973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2976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3595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3693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3740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3744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3767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3863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9626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9795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4057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4068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220</v>
      </c>
      <c r="E14802" t="s">
        <v>13</v>
      </c>
      <c r="F14802">
        <v>6</v>
      </c>
      <c r="G14802">
        <v>6</v>
      </c>
      <c r="H14802">
        <f t="shared" si="467"/>
        <v>0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223</v>
      </c>
      <c r="E14803" t="s">
        <v>13</v>
      </c>
      <c r="F14803">
        <v>6</v>
      </c>
      <c r="G14803">
        <v>6</v>
      </c>
      <c r="H14803">
        <f t="shared" si="467"/>
        <v>0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807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846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917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923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950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988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1146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1401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1416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1420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1429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1434</v>
      </c>
      <c r="E14815" t="s">
        <v>13</v>
      </c>
      <c r="F14815">
        <v>6</v>
      </c>
      <c r="G14815" s="9">
        <v>3</v>
      </c>
      <c r="H14815">
        <f t="shared" si="467"/>
        <v>3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1482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1541</v>
      </c>
      <c r="E14817" t="s">
        <v>13</v>
      </c>
      <c r="F14817">
        <v>6</v>
      </c>
      <c r="G14817">
        <v>6</v>
      </c>
      <c r="H14817">
        <f t="shared" si="467"/>
        <v>0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1595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1675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1813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1879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2356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3278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3449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3646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3812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3842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3891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3956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9102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9246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9382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9490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9637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9686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9938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4044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No cumple</v>
      </c>
      <c r="D14838">
        <v>205</v>
      </c>
      <c r="E14838" t="s">
        <v>13</v>
      </c>
      <c r="F14838">
        <v>5</v>
      </c>
      <c r="G14838">
        <v>6</v>
      </c>
      <c r="H14838">
        <f t="shared" si="467"/>
        <v>-1</v>
      </c>
    </row>
    <row r="14839" spans="1:8" x14ac:dyDescent="0.2">
      <c r="A14839" t="s">
        <v>7</v>
      </c>
      <c r="B14839" t="s">
        <v>34</v>
      </c>
      <c r="C14839" t="str">
        <f t="shared" si="468"/>
        <v>No cumple</v>
      </c>
      <c r="D14839">
        <v>222</v>
      </c>
      <c r="E14839" t="s">
        <v>13</v>
      </c>
      <c r="F14839">
        <v>5</v>
      </c>
      <c r="G14839">
        <v>6</v>
      </c>
      <c r="H14839">
        <f t="shared" si="467"/>
        <v>-1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766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803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879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1423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1466</v>
      </c>
      <c r="E14844" t="s">
        <v>13</v>
      </c>
      <c r="F14844">
        <v>5</v>
      </c>
      <c r="G14844">
        <v>6</v>
      </c>
      <c r="H14844">
        <f t="shared" ref="H14844:H14907" si="469">F14844-G14844</f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1774</v>
      </c>
      <c r="E14845" t="s">
        <v>13</v>
      </c>
      <c r="F14845">
        <v>5</v>
      </c>
      <c r="G14845">
        <v>6</v>
      </c>
      <c r="H14845">
        <f t="shared" si="469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2014</v>
      </c>
      <c r="E14846" t="s">
        <v>13</v>
      </c>
      <c r="F14846">
        <v>5</v>
      </c>
      <c r="G14846">
        <v>6</v>
      </c>
      <c r="H14846">
        <f t="shared" si="469"/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Cumple</v>
      </c>
      <c r="D14847">
        <v>2850</v>
      </c>
      <c r="E14847" t="s">
        <v>13</v>
      </c>
      <c r="F14847">
        <v>5</v>
      </c>
      <c r="G14847" s="9">
        <v>3</v>
      </c>
      <c r="H14847">
        <f t="shared" si="469"/>
        <v>2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2862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No cumple</v>
      </c>
      <c r="D14849">
        <v>2864</v>
      </c>
      <c r="E14849" t="s">
        <v>13</v>
      </c>
      <c r="F14849">
        <v>5</v>
      </c>
      <c r="G14849">
        <v>6</v>
      </c>
      <c r="H14849">
        <f t="shared" si="469"/>
        <v>-1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2963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2986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ref="C14852:C14915" si="470">IF(H14852&gt;=0,"Cumple","No cumple")</f>
        <v>No cumple</v>
      </c>
      <c r="D14852">
        <v>3079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70"/>
        <v>No cumple</v>
      </c>
      <c r="D14853">
        <v>3643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si="470"/>
        <v>No cumple</v>
      </c>
      <c r="D14854">
        <v>3694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Cumple</v>
      </c>
      <c r="D14855">
        <v>3797</v>
      </c>
      <c r="E14855" t="s">
        <v>13</v>
      </c>
      <c r="F14855" s="37">
        <v>7</v>
      </c>
      <c r="G14855">
        <v>6</v>
      </c>
      <c r="H14855">
        <f t="shared" si="469"/>
        <v>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3868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No cumple</v>
      </c>
      <c r="D14857">
        <v>3926</v>
      </c>
      <c r="E14857" t="s">
        <v>13</v>
      </c>
      <c r="F14857">
        <v>5</v>
      </c>
      <c r="G14857">
        <v>6</v>
      </c>
      <c r="H14857">
        <f t="shared" si="469"/>
        <v>-1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3927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Cumple</v>
      </c>
      <c r="D14859">
        <v>9020</v>
      </c>
      <c r="E14859" t="s">
        <v>13</v>
      </c>
      <c r="F14859">
        <v>5</v>
      </c>
      <c r="G14859" s="39">
        <v>3</v>
      </c>
      <c r="H14859">
        <f t="shared" si="469"/>
        <v>2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9158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9434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Cumple</v>
      </c>
      <c r="D14862">
        <v>9685</v>
      </c>
      <c r="E14862" t="s">
        <v>13</v>
      </c>
      <c r="F14862" s="9">
        <v>6</v>
      </c>
      <c r="G14862">
        <v>6</v>
      </c>
      <c r="H14862">
        <f t="shared" si="469"/>
        <v>0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9743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No cumple</v>
      </c>
      <c r="D14864">
        <v>774</v>
      </c>
      <c r="E14864" t="s">
        <v>13</v>
      </c>
      <c r="F14864">
        <v>5</v>
      </c>
      <c r="G14864">
        <v>6</v>
      </c>
      <c r="H14864">
        <f t="shared" si="469"/>
        <v>-1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4045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4055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207</v>
      </c>
      <c r="E14867" t="s">
        <v>13</v>
      </c>
      <c r="F14867">
        <v>4</v>
      </c>
      <c r="G14867">
        <v>6</v>
      </c>
      <c r="H14867">
        <f t="shared" si="469"/>
        <v>-2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248</v>
      </c>
      <c r="E14868" t="s">
        <v>13</v>
      </c>
      <c r="F14868">
        <v>4</v>
      </c>
      <c r="G14868">
        <v>6</v>
      </c>
      <c r="H14868">
        <f t="shared" si="469"/>
        <v>-2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498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679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795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837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870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1224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1458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1502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1584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1773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1812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1828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2829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2946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3509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3816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3833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Cumple</v>
      </c>
      <c r="D14886">
        <v>3838</v>
      </c>
      <c r="E14886" t="s">
        <v>13</v>
      </c>
      <c r="F14886">
        <v>4</v>
      </c>
      <c r="G14886" s="9">
        <v>3</v>
      </c>
      <c r="H14886">
        <f t="shared" si="469"/>
        <v>1</v>
      </c>
    </row>
    <row r="14887" spans="1:8" x14ac:dyDescent="0.2">
      <c r="A14887" t="s">
        <v>7</v>
      </c>
      <c r="B14887" t="s">
        <v>34</v>
      </c>
      <c r="C14887" t="str">
        <f t="shared" si="470"/>
        <v>Cumple</v>
      </c>
      <c r="D14887">
        <v>3843</v>
      </c>
      <c r="E14887" t="s">
        <v>13</v>
      </c>
      <c r="F14887">
        <v>4</v>
      </c>
      <c r="G14887" s="9">
        <v>3</v>
      </c>
      <c r="H14887">
        <f t="shared" si="469"/>
        <v>1</v>
      </c>
    </row>
    <row r="14888" spans="1:8" x14ac:dyDescent="0.2">
      <c r="A14888" t="s">
        <v>7</v>
      </c>
      <c r="B14888" t="s">
        <v>34</v>
      </c>
      <c r="C14888" t="str">
        <f t="shared" si="470"/>
        <v>No cumple</v>
      </c>
      <c r="D14888">
        <v>3855</v>
      </c>
      <c r="E14888" t="s">
        <v>13</v>
      </c>
      <c r="F14888">
        <v>4</v>
      </c>
      <c r="G14888">
        <v>6</v>
      </c>
      <c r="H14888">
        <f t="shared" si="469"/>
        <v>-2</v>
      </c>
    </row>
    <row r="14889" spans="1:8" x14ac:dyDescent="0.2">
      <c r="A14889" t="s">
        <v>7</v>
      </c>
      <c r="B14889" t="s">
        <v>34</v>
      </c>
      <c r="C14889" t="str">
        <f t="shared" si="470"/>
        <v>No cumple</v>
      </c>
      <c r="D14889">
        <v>9333</v>
      </c>
      <c r="E14889" t="s">
        <v>13</v>
      </c>
      <c r="F14889">
        <v>4</v>
      </c>
      <c r="G14889">
        <v>6</v>
      </c>
      <c r="H14889">
        <f t="shared" si="469"/>
        <v>-2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9510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9624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9720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9952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9953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9991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Cumple</v>
      </c>
      <c r="D14896">
        <v>1451</v>
      </c>
      <c r="E14896" t="s">
        <v>13</v>
      </c>
      <c r="F14896">
        <v>4</v>
      </c>
      <c r="G14896" s="9">
        <v>3</v>
      </c>
      <c r="H14896">
        <f t="shared" si="469"/>
        <v>1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1209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No cumple</v>
      </c>
      <c r="D14898">
        <v>4028</v>
      </c>
      <c r="E14898" t="s">
        <v>13</v>
      </c>
      <c r="F14898">
        <v>4</v>
      </c>
      <c r="G14898">
        <v>6</v>
      </c>
      <c r="H14898">
        <f t="shared" si="469"/>
        <v>-2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2060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4032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3569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210</v>
      </c>
      <c r="E14902" t="s">
        <v>13</v>
      </c>
      <c r="F14902">
        <v>3</v>
      </c>
      <c r="G14902">
        <v>6</v>
      </c>
      <c r="H14902">
        <f t="shared" si="469"/>
        <v>-3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227</v>
      </c>
      <c r="E14903" t="s">
        <v>13</v>
      </c>
      <c r="F14903">
        <v>3</v>
      </c>
      <c r="G14903">
        <v>6</v>
      </c>
      <c r="H14903">
        <f t="shared" si="469"/>
        <v>-3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240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243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760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784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790</v>
      </c>
      <c r="E14908" t="s">
        <v>13</v>
      </c>
      <c r="F14908">
        <v>3</v>
      </c>
      <c r="G14908">
        <v>6</v>
      </c>
      <c r="H14908">
        <f t="shared" ref="H14908:H14971" si="471">F14908-G14908</f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1443</v>
      </c>
      <c r="E14909" t="s">
        <v>13</v>
      </c>
      <c r="F14909">
        <v>3</v>
      </c>
      <c r="G14909">
        <v>6</v>
      </c>
      <c r="H14909">
        <f t="shared" si="471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1448</v>
      </c>
      <c r="E14910" t="s">
        <v>13</v>
      </c>
      <c r="F14910">
        <v>3</v>
      </c>
      <c r="G14910">
        <v>6</v>
      </c>
      <c r="H14910">
        <f t="shared" si="471"/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1553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1594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Cumple</v>
      </c>
      <c r="D14913">
        <v>1624</v>
      </c>
      <c r="E14913" t="s">
        <v>13</v>
      </c>
      <c r="F14913">
        <v>3</v>
      </c>
      <c r="G14913" s="9">
        <v>3</v>
      </c>
      <c r="H14913">
        <f t="shared" si="471"/>
        <v>0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1699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Cumple</v>
      </c>
      <c r="D14915">
        <v>1878</v>
      </c>
      <c r="E14915" t="s">
        <v>13</v>
      </c>
      <c r="F14915">
        <v>3</v>
      </c>
      <c r="G14915" s="9">
        <v>3</v>
      </c>
      <c r="H14915">
        <f t="shared" si="471"/>
        <v>0</v>
      </c>
    </row>
    <row r="14916" spans="1:8" x14ac:dyDescent="0.2">
      <c r="A14916" t="s">
        <v>7</v>
      </c>
      <c r="B14916" t="s">
        <v>34</v>
      </c>
      <c r="C14916" t="str">
        <f t="shared" ref="C14916:C14979" si="472">IF(H14916&gt;=0,"Cumple","No cumple")</f>
        <v>No cumple</v>
      </c>
      <c r="D14916">
        <v>2275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2"/>
        <v>No cumple</v>
      </c>
      <c r="D14917">
        <v>2549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si="472"/>
        <v>No cumple</v>
      </c>
      <c r="D14918">
        <v>2848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2852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2857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3236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3294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3576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3703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3809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3840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3887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9132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9656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9672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9950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Cumple</v>
      </c>
      <c r="D14932">
        <v>4042</v>
      </c>
      <c r="E14932" t="s">
        <v>13</v>
      </c>
      <c r="F14932">
        <v>3</v>
      </c>
      <c r="G14932" s="9">
        <v>3</v>
      </c>
      <c r="H14932">
        <f t="shared" si="471"/>
        <v>0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4073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No cumple</v>
      </c>
      <c r="D14934">
        <v>224</v>
      </c>
      <c r="E14934" t="s">
        <v>13</v>
      </c>
      <c r="F14934">
        <v>2</v>
      </c>
      <c r="G14934">
        <v>6</v>
      </c>
      <c r="H14934">
        <f t="shared" si="471"/>
        <v>-4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239</v>
      </c>
      <c r="E14935" t="s">
        <v>13</v>
      </c>
      <c r="F14935">
        <v>2</v>
      </c>
      <c r="G14935">
        <v>6</v>
      </c>
      <c r="H14935">
        <f t="shared" si="471"/>
        <v>-4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251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715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865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902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1226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1411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1425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1437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2563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2703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2722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2972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3424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3541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3565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3590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3677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3735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3741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3790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3796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3913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7028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9301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9658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9665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9834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9298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319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4056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2875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217</v>
      </c>
      <c r="E14967" t="s">
        <v>13</v>
      </c>
      <c r="F14967">
        <v>1</v>
      </c>
      <c r="G14967">
        <v>6</v>
      </c>
      <c r="H14967">
        <f t="shared" si="471"/>
        <v>-5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226</v>
      </c>
      <c r="E14968" t="s">
        <v>13</v>
      </c>
      <c r="F14968">
        <v>1</v>
      </c>
      <c r="G14968">
        <v>6</v>
      </c>
      <c r="H14968">
        <f t="shared" si="471"/>
        <v>-5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230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677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772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821</v>
      </c>
      <c r="E14972" t="s">
        <v>13</v>
      </c>
      <c r="F14972">
        <v>1</v>
      </c>
      <c r="G14972">
        <v>6</v>
      </c>
      <c r="H14972">
        <f t="shared" ref="H14972:H15035" si="473">F14972-G14972</f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847</v>
      </c>
      <c r="E14973" t="s">
        <v>13</v>
      </c>
      <c r="F14973">
        <v>1</v>
      </c>
      <c r="G14973">
        <v>6</v>
      </c>
      <c r="H14973">
        <f t="shared" si="473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859</v>
      </c>
      <c r="E14974" t="s">
        <v>13</v>
      </c>
      <c r="F14974">
        <v>1</v>
      </c>
      <c r="G14974">
        <v>6</v>
      </c>
      <c r="H14974">
        <f t="shared" si="473"/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926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Cumple</v>
      </c>
      <c r="D14976">
        <v>1402</v>
      </c>
      <c r="E14976" t="s">
        <v>13</v>
      </c>
      <c r="F14976" s="9">
        <v>6</v>
      </c>
      <c r="G14976">
        <v>6</v>
      </c>
      <c r="H14976">
        <f t="shared" si="473"/>
        <v>0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1472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No cumple</v>
      </c>
      <c r="D14978">
        <v>1603</v>
      </c>
      <c r="E14978" t="s">
        <v>13</v>
      </c>
      <c r="F14978">
        <v>1</v>
      </c>
      <c r="G14978">
        <v>6</v>
      </c>
      <c r="H14978">
        <f t="shared" si="473"/>
        <v>-5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1615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ref="C14980:C15043" si="474">IF(H14980&gt;=0,"Cumple","No cumple")</f>
        <v>No cumple</v>
      </c>
      <c r="D14980">
        <v>2653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4"/>
        <v>No cumple</v>
      </c>
      <c r="D14981">
        <v>2983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si="474"/>
        <v>No cumple</v>
      </c>
      <c r="D14982">
        <v>3180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3746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3819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3866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3893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3974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9004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9744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9821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9381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747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8520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18</v>
      </c>
      <c r="B14994" t="s">
        <v>34</v>
      </c>
      <c r="C14994" t="str">
        <f t="shared" si="474"/>
        <v>No cumple</v>
      </c>
      <c r="D14994">
        <v>233</v>
      </c>
      <c r="E14994" t="s">
        <v>13</v>
      </c>
      <c r="F14994">
        <v>0</v>
      </c>
      <c r="G14994">
        <v>6</v>
      </c>
      <c r="H14994">
        <f t="shared" si="473"/>
        <v>-6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245</v>
      </c>
      <c r="E14995" t="s">
        <v>13</v>
      </c>
      <c r="F14995">
        <v>0</v>
      </c>
      <c r="G14995">
        <v>6</v>
      </c>
      <c r="H14995">
        <f t="shared" si="473"/>
        <v>-6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247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756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781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836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7</v>
      </c>
      <c r="B15000" t="s">
        <v>34</v>
      </c>
      <c r="C15000" t="str">
        <f t="shared" si="474"/>
        <v>No cumple</v>
      </c>
      <c r="D15000">
        <v>858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903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18</v>
      </c>
      <c r="B15002" t="s">
        <v>34</v>
      </c>
      <c r="C15002" t="str">
        <f t="shared" si="474"/>
        <v>No cumple</v>
      </c>
      <c r="D15002">
        <v>951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18</v>
      </c>
      <c r="B15003" t="s">
        <v>34</v>
      </c>
      <c r="C15003" t="str">
        <f t="shared" si="474"/>
        <v>No cumple</v>
      </c>
      <c r="D15003">
        <v>991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7</v>
      </c>
      <c r="B15004" t="s">
        <v>34</v>
      </c>
      <c r="C15004" t="str">
        <f t="shared" si="474"/>
        <v>No cumple</v>
      </c>
      <c r="D15004">
        <v>1297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7</v>
      </c>
      <c r="B15005" t="s">
        <v>34</v>
      </c>
      <c r="C15005" t="str">
        <f t="shared" si="474"/>
        <v>No cumple</v>
      </c>
      <c r="D15005">
        <v>1441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1447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1453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1470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1673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1698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1792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18</v>
      </c>
      <c r="B15012" t="s">
        <v>34</v>
      </c>
      <c r="C15012" t="str">
        <f t="shared" si="474"/>
        <v>No cumple</v>
      </c>
      <c r="D15012">
        <v>2212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18</v>
      </c>
      <c r="B15013" t="s">
        <v>34</v>
      </c>
      <c r="C15013" t="str">
        <f t="shared" si="474"/>
        <v>No cumple</v>
      </c>
      <c r="D15013">
        <v>2941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2942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2943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2944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7</v>
      </c>
      <c r="B15017" t="s">
        <v>34</v>
      </c>
      <c r="C15017" t="str">
        <f t="shared" si="474"/>
        <v>No cumple</v>
      </c>
      <c r="D15017">
        <v>2945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2947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18</v>
      </c>
      <c r="B15019" t="s">
        <v>34</v>
      </c>
      <c r="C15019" t="str">
        <f t="shared" si="474"/>
        <v>No cumple</v>
      </c>
      <c r="D15019">
        <v>2948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2949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2950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2951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2952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2954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2955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2956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2958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7</v>
      </c>
      <c r="B15028" t="s">
        <v>34</v>
      </c>
      <c r="C15028" t="str">
        <f t="shared" si="474"/>
        <v>No cumple</v>
      </c>
      <c r="D15028">
        <v>2960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2965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18</v>
      </c>
      <c r="B15030" t="s">
        <v>34</v>
      </c>
      <c r="C15030" t="str">
        <f t="shared" si="474"/>
        <v>No cumple</v>
      </c>
      <c r="D15030">
        <v>2969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2970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7</v>
      </c>
      <c r="B15032" t="s">
        <v>34</v>
      </c>
      <c r="C15032" t="str">
        <f t="shared" si="474"/>
        <v>No cumple</v>
      </c>
      <c r="D15032">
        <v>2971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7</v>
      </c>
      <c r="B15033" t="s">
        <v>34</v>
      </c>
      <c r="C15033" t="str">
        <f t="shared" si="474"/>
        <v>No cumple</v>
      </c>
      <c r="D15033">
        <v>2974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18</v>
      </c>
      <c r="B15034" t="s">
        <v>34</v>
      </c>
      <c r="C15034" t="str">
        <f t="shared" si="474"/>
        <v>No cumple</v>
      </c>
      <c r="D15034">
        <v>2975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18</v>
      </c>
      <c r="B15035" t="s">
        <v>34</v>
      </c>
      <c r="C15035" t="str">
        <f t="shared" si="474"/>
        <v>No cumple</v>
      </c>
      <c r="D15035">
        <v>2977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7</v>
      </c>
      <c r="B15036" t="s">
        <v>34</v>
      </c>
      <c r="C15036" t="str">
        <f t="shared" si="474"/>
        <v>No cumple</v>
      </c>
      <c r="D15036">
        <v>2978</v>
      </c>
      <c r="E15036" t="s">
        <v>13</v>
      </c>
      <c r="F15036">
        <v>0</v>
      </c>
      <c r="G15036">
        <v>6</v>
      </c>
      <c r="H15036">
        <f t="shared" ref="H15036:H15073" si="475">F15036-G15036</f>
        <v>-6</v>
      </c>
    </row>
    <row r="15037" spans="1:8" x14ac:dyDescent="0.2">
      <c r="A15037" t="s">
        <v>7</v>
      </c>
      <c r="B15037" t="s">
        <v>34</v>
      </c>
      <c r="C15037" t="str">
        <f t="shared" si="474"/>
        <v>No cumple</v>
      </c>
      <c r="D15037">
        <v>2979</v>
      </c>
      <c r="E15037" t="s">
        <v>13</v>
      </c>
      <c r="F15037">
        <v>0</v>
      </c>
      <c r="G15037">
        <v>6</v>
      </c>
      <c r="H15037">
        <f t="shared" si="475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2980</v>
      </c>
      <c r="E15038" t="s">
        <v>13</v>
      </c>
      <c r="F15038">
        <v>0</v>
      </c>
      <c r="G15038">
        <v>6</v>
      </c>
      <c r="H15038">
        <f t="shared" si="475"/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2981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18</v>
      </c>
      <c r="B15040" t="s">
        <v>34</v>
      </c>
      <c r="C15040" t="str">
        <f t="shared" si="474"/>
        <v>No cumple</v>
      </c>
      <c r="D15040">
        <v>2982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2984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7</v>
      </c>
      <c r="B15042" t="s">
        <v>34</v>
      </c>
      <c r="C15042" t="str">
        <f t="shared" si="474"/>
        <v>No cumple</v>
      </c>
      <c r="D15042">
        <v>2985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19</v>
      </c>
      <c r="B15043" t="s">
        <v>34</v>
      </c>
      <c r="C15043" t="str">
        <f t="shared" si="474"/>
        <v>No cumple</v>
      </c>
      <c r="D15043">
        <v>3428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ref="C15044:C15107" si="476">IF(H15044&gt;=0,"Cumple","No cumple")</f>
        <v>No cumple</v>
      </c>
      <c r="D15044">
        <v>3543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7</v>
      </c>
      <c r="B15045" t="s">
        <v>34</v>
      </c>
      <c r="C15045" t="str">
        <f t="shared" si="476"/>
        <v>No cumple</v>
      </c>
      <c r="D15045">
        <v>3545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si="476"/>
        <v>No cumple</v>
      </c>
      <c r="D15046">
        <v>3562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3566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3594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19</v>
      </c>
      <c r="B15049" t="s">
        <v>34</v>
      </c>
      <c r="C15049" t="str">
        <f t="shared" si="476"/>
        <v>No cumple</v>
      </c>
      <c r="D15049">
        <v>3666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18</v>
      </c>
      <c r="B15050" t="s">
        <v>34</v>
      </c>
      <c r="C15050" t="str">
        <f t="shared" si="476"/>
        <v>No cumple</v>
      </c>
      <c r="D15050">
        <v>3731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18</v>
      </c>
      <c r="B15051" t="s">
        <v>34</v>
      </c>
      <c r="C15051" t="str">
        <f t="shared" si="476"/>
        <v>No cumple</v>
      </c>
      <c r="D15051">
        <v>3733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7</v>
      </c>
      <c r="B15052" t="s">
        <v>34</v>
      </c>
      <c r="C15052" t="str">
        <f t="shared" si="476"/>
        <v>No cumple</v>
      </c>
      <c r="D15052">
        <v>3742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3795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3865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3870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18</v>
      </c>
      <c r="B15056" t="s">
        <v>34</v>
      </c>
      <c r="C15056" t="str">
        <f t="shared" si="476"/>
        <v>No cumple</v>
      </c>
      <c r="D15056">
        <v>3884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3896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3958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7</v>
      </c>
      <c r="B15059" t="s">
        <v>34</v>
      </c>
      <c r="C15059" t="str">
        <f t="shared" si="476"/>
        <v>No cumple</v>
      </c>
      <c r="D15059">
        <v>9035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7</v>
      </c>
      <c r="B15060" t="s">
        <v>34</v>
      </c>
      <c r="C15060" t="str">
        <f t="shared" si="476"/>
        <v>No cumple</v>
      </c>
      <c r="D15060">
        <v>9684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18</v>
      </c>
      <c r="B15061" t="s">
        <v>34</v>
      </c>
      <c r="C15061" t="str">
        <f t="shared" si="476"/>
        <v>No cumple</v>
      </c>
      <c r="D15061">
        <v>9767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18</v>
      </c>
      <c r="B15062" t="s">
        <v>34</v>
      </c>
      <c r="C15062" t="str">
        <f t="shared" si="476"/>
        <v>No cumple</v>
      </c>
      <c r="D15062">
        <v>9820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7</v>
      </c>
      <c r="B15063" t="s">
        <v>34</v>
      </c>
      <c r="C15063" t="str">
        <f t="shared" si="476"/>
        <v>No cumple</v>
      </c>
      <c r="D15063">
        <v>9837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7</v>
      </c>
      <c r="B15064" t="s">
        <v>34</v>
      </c>
      <c r="C15064" t="str">
        <f t="shared" si="476"/>
        <v>No cumple</v>
      </c>
      <c r="D15064">
        <v>9921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19</v>
      </c>
      <c r="B15065" t="s">
        <v>34</v>
      </c>
      <c r="C15065" t="str">
        <f t="shared" si="476"/>
        <v>No cumple</v>
      </c>
      <c r="D15065">
        <v>3985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19</v>
      </c>
      <c r="B15066" t="s">
        <v>34</v>
      </c>
      <c r="C15066" t="str">
        <f t="shared" si="476"/>
        <v>No cumple</v>
      </c>
      <c r="D15066">
        <v>4030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3793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7</v>
      </c>
      <c r="B15068" t="s">
        <v>34</v>
      </c>
      <c r="C15068" t="str">
        <f t="shared" si="476"/>
        <v>No cumple</v>
      </c>
      <c r="D15068">
        <v>3770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3860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4043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18</v>
      </c>
      <c r="B15071" t="s">
        <v>34</v>
      </c>
      <c r="C15071" t="str">
        <f t="shared" si="476"/>
        <v>No cumple</v>
      </c>
      <c r="D15071">
        <v>4034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4054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1480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Cumple</v>
      </c>
      <c r="D15074">
        <v>2726</v>
      </c>
      <c r="E15074" t="s">
        <v>15</v>
      </c>
      <c r="F15074">
        <v>31</v>
      </c>
      <c r="G15074">
        <v>6</v>
      </c>
      <c r="H15074">
        <f>F15074-G15074</f>
        <v>25</v>
      </c>
    </row>
    <row r="15075" spans="1:8" x14ac:dyDescent="0.2">
      <c r="A15075" t="s">
        <v>7</v>
      </c>
      <c r="B15075" t="s">
        <v>34</v>
      </c>
      <c r="C15075" t="str">
        <f t="shared" si="476"/>
        <v>Cumple</v>
      </c>
      <c r="D15075">
        <v>376</v>
      </c>
      <c r="E15075" t="s">
        <v>15</v>
      </c>
      <c r="F15075">
        <v>26</v>
      </c>
      <c r="G15075">
        <v>6</v>
      </c>
      <c r="H15075">
        <f t="shared" ref="H15075:H15138" si="477">F15075-G15075</f>
        <v>20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7566</v>
      </c>
      <c r="E15076" t="s">
        <v>15</v>
      </c>
      <c r="F15076">
        <v>26</v>
      </c>
      <c r="G15076">
        <v>6</v>
      </c>
      <c r="H15076">
        <f t="shared" si="477"/>
        <v>20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3959</v>
      </c>
      <c r="E15077" t="s">
        <v>15</v>
      </c>
      <c r="F15077">
        <v>24</v>
      </c>
      <c r="G15077">
        <v>6</v>
      </c>
      <c r="H15077">
        <f t="shared" si="477"/>
        <v>18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7635</v>
      </c>
      <c r="E15078" t="s">
        <v>15</v>
      </c>
      <c r="F15078">
        <v>17</v>
      </c>
      <c r="G15078">
        <v>6</v>
      </c>
      <c r="H15078">
        <f t="shared" si="477"/>
        <v>11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3789</v>
      </c>
      <c r="E15079" t="s">
        <v>15</v>
      </c>
      <c r="F15079">
        <v>13</v>
      </c>
      <c r="G15079">
        <v>6</v>
      </c>
      <c r="H15079">
        <f t="shared" si="477"/>
        <v>7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9281</v>
      </c>
      <c r="E15080" t="s">
        <v>15</v>
      </c>
      <c r="F15080">
        <v>12</v>
      </c>
      <c r="G15080">
        <v>6</v>
      </c>
      <c r="H15080">
        <f t="shared" si="477"/>
        <v>6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7581</v>
      </c>
      <c r="E15081" t="s">
        <v>15</v>
      </c>
      <c r="F15081">
        <v>11</v>
      </c>
      <c r="G15081">
        <v>6</v>
      </c>
      <c r="H15081">
        <f t="shared" si="477"/>
        <v>5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7090</v>
      </c>
      <c r="E15082" t="s">
        <v>15</v>
      </c>
      <c r="F15082">
        <v>10</v>
      </c>
      <c r="G15082">
        <v>6</v>
      </c>
      <c r="H15082">
        <f t="shared" si="477"/>
        <v>4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9789</v>
      </c>
      <c r="E15083" t="s">
        <v>16</v>
      </c>
      <c r="F15083">
        <v>9</v>
      </c>
      <c r="G15083">
        <v>6</v>
      </c>
      <c r="H15083">
        <f t="shared" si="477"/>
        <v>3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7438</v>
      </c>
      <c r="E15084" t="s">
        <v>15</v>
      </c>
      <c r="F15084">
        <v>9</v>
      </c>
      <c r="G15084">
        <v>6</v>
      </c>
      <c r="H15084">
        <f t="shared" si="477"/>
        <v>3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7628</v>
      </c>
      <c r="E15085" t="s">
        <v>15</v>
      </c>
      <c r="F15085">
        <v>8</v>
      </c>
      <c r="G15085">
        <v>6</v>
      </c>
      <c r="H15085">
        <f t="shared" si="477"/>
        <v>2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9110</v>
      </c>
      <c r="E15086" t="s">
        <v>15</v>
      </c>
      <c r="F15086">
        <v>8</v>
      </c>
      <c r="G15086">
        <v>6</v>
      </c>
      <c r="H15086">
        <f t="shared" si="477"/>
        <v>2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9063</v>
      </c>
      <c r="E15087" t="s">
        <v>16</v>
      </c>
      <c r="F15087">
        <v>7</v>
      </c>
      <c r="G15087">
        <v>6</v>
      </c>
      <c r="H15087">
        <f t="shared" si="477"/>
        <v>1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7051</v>
      </c>
      <c r="E15088" t="s">
        <v>15</v>
      </c>
      <c r="F15088">
        <v>7</v>
      </c>
      <c r="G15088">
        <v>6</v>
      </c>
      <c r="H15088">
        <f t="shared" si="477"/>
        <v>1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3867</v>
      </c>
      <c r="E15089" t="s">
        <v>15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7059</v>
      </c>
      <c r="E15090" t="s">
        <v>15</v>
      </c>
      <c r="F15090">
        <v>6</v>
      </c>
      <c r="G15090">
        <v>6</v>
      </c>
      <c r="H15090">
        <f t="shared" si="477"/>
        <v>0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7109</v>
      </c>
      <c r="E15091" t="s">
        <v>15</v>
      </c>
      <c r="F15091">
        <v>6</v>
      </c>
      <c r="G15091">
        <v>6</v>
      </c>
      <c r="H15091">
        <f t="shared" si="477"/>
        <v>0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2210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3975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No cumple</v>
      </c>
      <c r="D15094">
        <v>7123</v>
      </c>
      <c r="E15094" t="s">
        <v>15</v>
      </c>
      <c r="F15094">
        <v>5</v>
      </c>
      <c r="G15094">
        <v>6</v>
      </c>
      <c r="H15094">
        <f t="shared" si="477"/>
        <v>-1</v>
      </c>
    </row>
    <row r="15095" spans="1:8" x14ac:dyDescent="0.2">
      <c r="A15095" t="s">
        <v>7</v>
      </c>
      <c r="B15095" t="s">
        <v>34</v>
      </c>
      <c r="C15095" t="str">
        <f t="shared" si="476"/>
        <v>No cumple</v>
      </c>
      <c r="D15095">
        <v>7044</v>
      </c>
      <c r="E15095" t="s">
        <v>15</v>
      </c>
      <c r="F15095">
        <v>5</v>
      </c>
      <c r="G15095">
        <v>6</v>
      </c>
      <c r="H15095">
        <f t="shared" si="477"/>
        <v>-1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7097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7066</v>
      </c>
      <c r="E15097" t="s">
        <v>15</v>
      </c>
      <c r="F15097">
        <v>4</v>
      </c>
      <c r="G15097">
        <v>6</v>
      </c>
      <c r="H15097">
        <f t="shared" si="477"/>
        <v>-2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7071</v>
      </c>
      <c r="E15098" t="s">
        <v>15</v>
      </c>
      <c r="F15098">
        <v>4</v>
      </c>
      <c r="G15098">
        <v>6</v>
      </c>
      <c r="H15098">
        <f t="shared" si="477"/>
        <v>-2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7116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7629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9334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7106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9887</v>
      </c>
      <c r="E15103" t="s">
        <v>16</v>
      </c>
      <c r="F15103">
        <v>3</v>
      </c>
      <c r="G15103">
        <v>6</v>
      </c>
      <c r="H15103">
        <f t="shared" si="477"/>
        <v>-3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7014</v>
      </c>
      <c r="E15104" t="s">
        <v>15</v>
      </c>
      <c r="F15104">
        <v>3</v>
      </c>
      <c r="G15104">
        <v>6</v>
      </c>
      <c r="H15104">
        <f t="shared" si="477"/>
        <v>-3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7032</v>
      </c>
      <c r="E15105" t="s">
        <v>15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7092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2736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ref="C15108:C15171" si="478">IF(H15108&gt;=0,"Cumple","No cumple")</f>
        <v>No cumple</v>
      </c>
      <c r="D15108">
        <v>7046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8"/>
        <v>No cumple</v>
      </c>
      <c r="D15109">
        <v>7055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si="478"/>
        <v>No cumple</v>
      </c>
      <c r="D15110">
        <v>7632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3996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9296</v>
      </c>
      <c r="E15112" t="s">
        <v>16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9849</v>
      </c>
      <c r="E15113" t="s">
        <v>16</v>
      </c>
      <c r="F15113">
        <v>2</v>
      </c>
      <c r="G15113">
        <v>6</v>
      </c>
      <c r="H15113">
        <f t="shared" si="477"/>
        <v>-4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3757</v>
      </c>
      <c r="E15114" t="s">
        <v>15</v>
      </c>
      <c r="F15114">
        <v>2</v>
      </c>
      <c r="G15114">
        <v>6</v>
      </c>
      <c r="H15114">
        <f t="shared" si="477"/>
        <v>-4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446</v>
      </c>
      <c r="E15115" t="s">
        <v>15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7060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7084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9259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9411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9424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9443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7042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7008</v>
      </c>
      <c r="E15123" t="s">
        <v>15</v>
      </c>
      <c r="F15123">
        <v>1</v>
      </c>
      <c r="G15123">
        <v>6</v>
      </c>
      <c r="H15123">
        <f t="shared" si="477"/>
        <v>-5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7068</v>
      </c>
      <c r="E15124" t="s">
        <v>15</v>
      </c>
      <c r="F15124">
        <v>1</v>
      </c>
      <c r="G15124">
        <v>6</v>
      </c>
      <c r="H15124">
        <f t="shared" si="477"/>
        <v>-5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7580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9120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7040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7630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9152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9604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9761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9802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2613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2849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3554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18</v>
      </c>
      <c r="B15136" t="s">
        <v>34</v>
      </c>
      <c r="C15136" t="str">
        <f t="shared" si="478"/>
        <v>No cumple</v>
      </c>
      <c r="D15136">
        <v>1089</v>
      </c>
      <c r="E15136" t="s">
        <v>16</v>
      </c>
      <c r="F15136">
        <v>0</v>
      </c>
      <c r="G15136">
        <v>6</v>
      </c>
      <c r="H15136">
        <f t="shared" si="477"/>
        <v>-6</v>
      </c>
    </row>
    <row r="15137" spans="1:8" x14ac:dyDescent="0.2">
      <c r="A15137" t="s">
        <v>18</v>
      </c>
      <c r="B15137" t="s">
        <v>34</v>
      </c>
      <c r="C15137" t="str">
        <f t="shared" si="478"/>
        <v>No cumple</v>
      </c>
      <c r="D15137">
        <v>3583</v>
      </c>
      <c r="E15137" t="s">
        <v>16</v>
      </c>
      <c r="F15137">
        <v>0</v>
      </c>
      <c r="G15137">
        <v>6</v>
      </c>
      <c r="H15137">
        <f t="shared" si="477"/>
        <v>-6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9383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9384</v>
      </c>
      <c r="E15139" t="s">
        <v>16</v>
      </c>
      <c r="F15139">
        <v>0</v>
      </c>
      <c r="G15139">
        <v>6</v>
      </c>
      <c r="H15139">
        <f t="shared" ref="H15139:H15195" si="479">F15139-G15139</f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9386</v>
      </c>
      <c r="E15140" t="s">
        <v>16</v>
      </c>
      <c r="F15140">
        <v>0</v>
      </c>
      <c r="G15140">
        <v>6</v>
      </c>
      <c r="H15140">
        <f t="shared" si="479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9388</v>
      </c>
      <c r="E15141" t="s">
        <v>16</v>
      </c>
      <c r="F15141">
        <v>0</v>
      </c>
      <c r="G15141">
        <v>6</v>
      </c>
      <c r="H15141">
        <f t="shared" si="479"/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9390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9391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7</v>
      </c>
      <c r="B15144" t="s">
        <v>34</v>
      </c>
      <c r="C15144" t="str">
        <f t="shared" si="478"/>
        <v>No cumple</v>
      </c>
      <c r="D15144">
        <v>9393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9394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9395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9407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18</v>
      </c>
      <c r="B15148" t="s">
        <v>34</v>
      </c>
      <c r="C15148" t="str">
        <f t="shared" si="478"/>
        <v>No cumple</v>
      </c>
      <c r="D15148">
        <v>9417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9418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9492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9493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9678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9947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136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1539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9387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9404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9405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9406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9409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9410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9444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9447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9494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9572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9797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7</v>
      </c>
      <c r="B15167" t="s">
        <v>34</v>
      </c>
      <c r="C15167" t="str">
        <f t="shared" si="478"/>
        <v>No cumple</v>
      </c>
      <c r="D15167">
        <v>3224</v>
      </c>
      <c r="E15167" t="s">
        <v>15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7</v>
      </c>
      <c r="B15168" t="s">
        <v>34</v>
      </c>
      <c r="C15168" t="str">
        <f t="shared" si="478"/>
        <v>No cumple</v>
      </c>
      <c r="D15168">
        <v>7026</v>
      </c>
      <c r="E15168" t="s">
        <v>15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18</v>
      </c>
      <c r="B15169" t="s">
        <v>34</v>
      </c>
      <c r="C15169" t="str">
        <f t="shared" si="478"/>
        <v>No cumple</v>
      </c>
      <c r="D15169">
        <v>7183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7345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7</v>
      </c>
      <c r="B15171" t="s">
        <v>34</v>
      </c>
      <c r="C15171" t="str">
        <f t="shared" si="478"/>
        <v>No cumple</v>
      </c>
      <c r="D15171">
        <v>7380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ref="C15172:C15195" si="480">IF(H15172&gt;=0,"Cumple","No cumple")</f>
        <v>No cumple</v>
      </c>
      <c r="D15172">
        <v>7395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80"/>
        <v>No cumple</v>
      </c>
      <c r="D15173">
        <v>7398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si="480"/>
        <v>No cumple</v>
      </c>
      <c r="D15174">
        <v>7402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18</v>
      </c>
      <c r="B15175" t="s">
        <v>34</v>
      </c>
      <c r="C15175" t="str">
        <f t="shared" si="480"/>
        <v>No cumple</v>
      </c>
      <c r="D15175">
        <v>7417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18</v>
      </c>
      <c r="B15176" t="s">
        <v>34</v>
      </c>
      <c r="C15176" t="str">
        <f t="shared" si="480"/>
        <v>No cumple</v>
      </c>
      <c r="D15176">
        <v>7474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7494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7517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7</v>
      </c>
      <c r="B15179" t="s">
        <v>34</v>
      </c>
      <c r="C15179" t="str">
        <f t="shared" si="480"/>
        <v>No cumple</v>
      </c>
      <c r="D15179">
        <v>7559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7</v>
      </c>
      <c r="B15180" t="s">
        <v>34</v>
      </c>
      <c r="C15180" t="str">
        <f t="shared" si="480"/>
        <v>No cumple</v>
      </c>
      <c r="D15180">
        <v>7567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7622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7631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1864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7038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7045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7085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7606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7633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8001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9543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18</v>
      </c>
      <c r="B15191" t="s">
        <v>34</v>
      </c>
      <c r="C15191" t="str">
        <f t="shared" si="480"/>
        <v>No cumple</v>
      </c>
      <c r="D15191">
        <v>9779</v>
      </c>
      <c r="E15191" t="s">
        <v>16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18</v>
      </c>
      <c r="B15192" t="s">
        <v>34</v>
      </c>
      <c r="C15192" t="str">
        <f t="shared" si="480"/>
        <v>No cumple</v>
      </c>
      <c r="D15192">
        <v>9529</v>
      </c>
      <c r="E15192" t="s">
        <v>16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9445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19</v>
      </c>
      <c r="B15194" t="s">
        <v>34</v>
      </c>
      <c r="C15194" t="str">
        <f t="shared" si="480"/>
        <v>No cumple</v>
      </c>
      <c r="D15194">
        <v>4058</v>
      </c>
      <c r="E15194" t="s">
        <v>15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7</v>
      </c>
      <c r="B15195" t="s">
        <v>34</v>
      </c>
      <c r="C15195" t="str">
        <f t="shared" si="480"/>
        <v>No cumple</v>
      </c>
      <c r="D15195">
        <v>4075</v>
      </c>
      <c r="E15195" t="s">
        <v>15</v>
      </c>
      <c r="F15195">
        <v>0</v>
      </c>
      <c r="G15195">
        <v>6</v>
      </c>
      <c r="H15195">
        <f t="shared" si="479"/>
        <v>-6</v>
      </c>
    </row>
  </sheetData>
  <autoFilter ref="A1:H14165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2025-12-20T01:18:10Z</dcterms:modified>
</cp:coreProperties>
</file>