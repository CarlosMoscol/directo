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6DA4E717-3168-2842-A4DC-CA6F886DCA3E}" xr6:coauthVersionLast="47" xr6:coauthVersionMax="47" xr10:uidLastSave="{00000000-0000-0000-0000-000000000000}"/>
  <bookViews>
    <workbookView xWindow="14080" yWindow="52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196" i="1" l="1"/>
  <c r="C15196" i="1" s="1"/>
  <c r="H15195" i="1"/>
  <c r="C15195" i="1"/>
  <c r="H15194" i="1"/>
  <c r="C15194" i="1"/>
  <c r="H15193" i="1"/>
  <c r="C15193" i="1" s="1"/>
  <c r="H15192" i="1"/>
  <c r="C15192" i="1"/>
  <c r="H15191" i="1"/>
  <c r="C15191" i="1"/>
  <c r="H15190" i="1"/>
  <c r="C15190" i="1"/>
  <c r="H15189" i="1"/>
  <c r="C15189" i="1" s="1"/>
  <c r="H15188" i="1"/>
  <c r="C15188" i="1"/>
  <c r="H15187" i="1"/>
  <c r="C15187" i="1"/>
  <c r="H15186" i="1"/>
  <c r="C15186" i="1"/>
  <c r="H15185" i="1"/>
  <c r="C15185" i="1" s="1"/>
  <c r="H15184" i="1"/>
  <c r="C15184" i="1"/>
  <c r="H15183" i="1"/>
  <c r="C15183" i="1"/>
  <c r="H15182" i="1"/>
  <c r="C15182" i="1"/>
  <c r="H15181" i="1"/>
  <c r="C15181" i="1" s="1"/>
  <c r="H15180" i="1"/>
  <c r="C15180" i="1"/>
  <c r="H15179" i="1"/>
  <c r="C15179" i="1"/>
  <c r="H15178" i="1"/>
  <c r="C15178" i="1"/>
  <c r="H15177" i="1"/>
  <c r="C15177" i="1" s="1"/>
  <c r="H15176" i="1"/>
  <c r="C15176" i="1"/>
  <c r="H15175" i="1"/>
  <c r="C15175" i="1"/>
  <c r="H15174" i="1"/>
  <c r="C15174" i="1"/>
  <c r="H15173" i="1"/>
  <c r="C15173" i="1" s="1"/>
  <c r="H15172" i="1"/>
  <c r="C15172" i="1"/>
  <c r="H15171" i="1"/>
  <c r="C15171" i="1"/>
  <c r="H15170" i="1"/>
  <c r="C15170" i="1"/>
  <c r="H15169" i="1"/>
  <c r="C15169" i="1" s="1"/>
  <c r="H15168" i="1"/>
  <c r="C15168" i="1"/>
  <c r="H15167" i="1"/>
  <c r="C15167" i="1"/>
  <c r="H15166" i="1"/>
  <c r="C15166" i="1"/>
  <c r="H15165" i="1"/>
  <c r="C15165" i="1" s="1"/>
  <c r="H15164" i="1"/>
  <c r="C15164" i="1"/>
  <c r="H15163" i="1"/>
  <c r="C15163" i="1"/>
  <c r="H15162" i="1"/>
  <c r="C15162" i="1"/>
  <c r="H15161" i="1"/>
  <c r="C15161" i="1" s="1"/>
  <c r="H15160" i="1"/>
  <c r="C15160" i="1"/>
  <c r="H15159" i="1"/>
  <c r="C15159" i="1"/>
  <c r="H15158" i="1"/>
  <c r="C15158" i="1"/>
  <c r="H15157" i="1"/>
  <c r="C15157" i="1" s="1"/>
  <c r="H15156" i="1"/>
  <c r="C15156" i="1"/>
  <c r="H15155" i="1"/>
  <c r="C15155" i="1"/>
  <c r="H15154" i="1"/>
  <c r="C15154" i="1"/>
  <c r="H15153" i="1"/>
  <c r="C15153" i="1" s="1"/>
  <c r="H15152" i="1"/>
  <c r="C15152" i="1"/>
  <c r="H15151" i="1"/>
  <c r="C15151" i="1"/>
  <c r="H15150" i="1"/>
  <c r="C15150" i="1"/>
  <c r="H15149" i="1"/>
  <c r="C15149" i="1" s="1"/>
  <c r="H15148" i="1"/>
  <c r="C15148" i="1"/>
  <c r="H15147" i="1"/>
  <c r="C15147" i="1"/>
  <c r="H15146" i="1"/>
  <c r="C15146" i="1"/>
  <c r="H15145" i="1"/>
  <c r="C15145" i="1" s="1"/>
  <c r="H15144" i="1"/>
  <c r="C15144" i="1"/>
  <c r="H15143" i="1"/>
  <c r="C15143" i="1"/>
  <c r="H15142" i="1"/>
  <c r="C15142" i="1"/>
  <c r="H15141" i="1"/>
  <c r="C15141" i="1" s="1"/>
  <c r="H15140" i="1"/>
  <c r="C15140" i="1"/>
  <c r="H15139" i="1"/>
  <c r="C15139" i="1"/>
  <c r="H15138" i="1"/>
  <c r="C15138" i="1"/>
  <c r="H15137" i="1"/>
  <c r="C15137" i="1" s="1"/>
  <c r="H15136" i="1"/>
  <c r="C15136" i="1"/>
  <c r="H15135" i="1"/>
  <c r="C15135" i="1"/>
  <c r="H15134" i="1"/>
  <c r="C15134" i="1" s="1"/>
  <c r="H15133" i="1"/>
  <c r="C15133" i="1" s="1"/>
  <c r="H15132" i="1"/>
  <c r="C15132" i="1"/>
  <c r="H15131" i="1"/>
  <c r="C15131" i="1"/>
  <c r="H15130" i="1"/>
  <c r="C15130" i="1"/>
  <c r="H15129" i="1"/>
  <c r="C15129" i="1" s="1"/>
  <c r="H15128" i="1"/>
  <c r="C15128" i="1"/>
  <c r="H15127" i="1"/>
  <c r="C15127" i="1"/>
  <c r="H15126" i="1"/>
  <c r="C15126" i="1"/>
  <c r="H15125" i="1"/>
  <c r="C15125" i="1" s="1"/>
  <c r="H15124" i="1"/>
  <c r="C15124" i="1"/>
  <c r="H15123" i="1"/>
  <c r="C15123" i="1"/>
  <c r="H15122" i="1"/>
  <c r="C15122" i="1"/>
  <c r="H15121" i="1"/>
  <c r="C15121" i="1" s="1"/>
  <c r="H15120" i="1"/>
  <c r="C15120" i="1"/>
  <c r="H15119" i="1"/>
  <c r="C15119" i="1"/>
  <c r="H15118" i="1"/>
  <c r="C15118" i="1"/>
  <c r="H15117" i="1"/>
  <c r="C15117" i="1" s="1"/>
  <c r="H15116" i="1"/>
  <c r="C15116" i="1"/>
  <c r="H15115" i="1"/>
  <c r="C15115" i="1"/>
  <c r="H15114" i="1"/>
  <c r="C15114" i="1"/>
  <c r="H15113" i="1"/>
  <c r="C15113" i="1" s="1"/>
  <c r="H15112" i="1"/>
  <c r="C15112" i="1"/>
  <c r="H15111" i="1"/>
  <c r="C15111" i="1"/>
  <c r="H15110" i="1"/>
  <c r="C15110" i="1"/>
  <c r="H15109" i="1"/>
  <c r="C15109" i="1" s="1"/>
  <c r="H15108" i="1"/>
  <c r="C15108" i="1"/>
  <c r="H15107" i="1"/>
  <c r="C15107" i="1"/>
  <c r="H15106" i="1"/>
  <c r="C15106" i="1"/>
  <c r="H15105" i="1"/>
  <c r="C15105" i="1" s="1"/>
  <c r="H15104" i="1"/>
  <c r="C15104" i="1"/>
  <c r="H15103" i="1"/>
  <c r="C15103" i="1"/>
  <c r="H15102" i="1"/>
  <c r="C15102" i="1"/>
  <c r="H15101" i="1"/>
  <c r="C15101" i="1" s="1"/>
  <c r="H15100" i="1"/>
  <c r="C15100" i="1"/>
  <c r="H15099" i="1"/>
  <c r="C15099" i="1"/>
  <c r="H15098" i="1"/>
  <c r="C15098" i="1"/>
  <c r="H15097" i="1"/>
  <c r="C15097" i="1" s="1"/>
  <c r="H15096" i="1"/>
  <c r="C15096" i="1"/>
  <c r="H15095" i="1"/>
  <c r="C15095" i="1"/>
  <c r="H15094" i="1"/>
  <c r="C15094" i="1"/>
  <c r="H15093" i="1"/>
  <c r="C15093" i="1" s="1"/>
  <c r="H15092" i="1"/>
  <c r="C15092" i="1"/>
  <c r="H15091" i="1"/>
  <c r="C15091" i="1"/>
  <c r="H15090" i="1"/>
  <c r="C15090" i="1"/>
  <c r="H15089" i="1"/>
  <c r="C15089" i="1" s="1"/>
  <c r="H15088" i="1"/>
  <c r="C15088" i="1"/>
  <c r="H15087" i="1"/>
  <c r="C15087" i="1"/>
  <c r="H15086" i="1"/>
  <c r="C15086" i="1"/>
  <c r="H15085" i="1"/>
  <c r="C15085" i="1" s="1"/>
  <c r="H15084" i="1"/>
  <c r="C15084" i="1"/>
  <c r="H15083" i="1"/>
  <c r="C15083" i="1"/>
  <c r="H15082" i="1"/>
  <c r="C15082" i="1"/>
  <c r="H15081" i="1"/>
  <c r="C15081" i="1" s="1"/>
  <c r="H15080" i="1"/>
  <c r="C15080" i="1"/>
  <c r="H15079" i="1"/>
  <c r="C15079" i="1"/>
  <c r="H15078" i="1"/>
  <c r="C15078" i="1"/>
  <c r="H15077" i="1"/>
  <c r="C15077" i="1" s="1"/>
  <c r="H15076" i="1"/>
  <c r="C15076" i="1"/>
  <c r="H15075" i="1"/>
  <c r="C15075" i="1"/>
  <c r="H15074" i="1" l="1"/>
  <c r="C15074" i="1" s="1"/>
  <c r="H15073" i="1"/>
  <c r="C15073" i="1"/>
  <c r="H15072" i="1"/>
  <c r="C15072" i="1"/>
  <c r="H15071" i="1"/>
  <c r="C15071" i="1"/>
  <c r="H15070" i="1"/>
  <c r="C15070" i="1"/>
  <c r="H15069" i="1"/>
  <c r="C15069" i="1"/>
  <c r="H15068" i="1"/>
  <c r="C15068" i="1"/>
  <c r="H15067" i="1"/>
  <c r="C15067" i="1"/>
  <c r="H15066" i="1"/>
  <c r="C15066" i="1"/>
  <c r="H15065" i="1"/>
  <c r="C15065" i="1"/>
  <c r="H15064" i="1"/>
  <c r="C15064" i="1"/>
  <c r="H15063" i="1"/>
  <c r="C15063" i="1"/>
  <c r="H15062" i="1"/>
  <c r="C15062" i="1"/>
  <c r="H15061" i="1"/>
  <c r="C15061" i="1"/>
  <c r="H15060" i="1"/>
  <c r="C15060" i="1"/>
  <c r="H15059" i="1"/>
  <c r="C15059" i="1"/>
  <c r="H15058" i="1"/>
  <c r="C15058" i="1"/>
  <c r="H15057" i="1"/>
  <c r="C15057" i="1"/>
  <c r="H15056" i="1"/>
  <c r="C15056" i="1"/>
  <c r="H15055" i="1"/>
  <c r="C15055" i="1"/>
  <c r="H15054" i="1"/>
  <c r="C15054" i="1"/>
  <c r="H15053" i="1"/>
  <c r="C15053" i="1"/>
  <c r="H15052" i="1"/>
  <c r="C15052" i="1"/>
  <c r="H15051" i="1"/>
  <c r="C15051" i="1"/>
  <c r="H15050" i="1"/>
  <c r="C15050" i="1"/>
  <c r="H15049" i="1"/>
  <c r="C15049" i="1"/>
  <c r="H15048" i="1"/>
  <c r="C15048" i="1"/>
  <c r="H15047" i="1"/>
  <c r="C15047" i="1"/>
  <c r="H15046" i="1"/>
  <c r="C15046" i="1"/>
  <c r="H15045" i="1"/>
  <c r="C15045" i="1"/>
  <c r="H15044" i="1"/>
  <c r="C15044" i="1"/>
  <c r="H15043" i="1"/>
  <c r="C15043" i="1"/>
  <c r="H15042" i="1"/>
  <c r="C15042" i="1"/>
  <c r="H15041" i="1"/>
  <c r="C15041" i="1"/>
  <c r="H15040" i="1"/>
  <c r="C15040" i="1"/>
  <c r="H15039" i="1"/>
  <c r="C15039" i="1"/>
  <c r="H15038" i="1"/>
  <c r="C15038" i="1"/>
  <c r="H15037" i="1"/>
  <c r="C15037" i="1"/>
  <c r="H15036" i="1"/>
  <c r="C15036" i="1"/>
  <c r="H15035" i="1"/>
  <c r="C15035" i="1"/>
  <c r="H15034" i="1"/>
  <c r="C15034" i="1"/>
  <c r="H15033" i="1"/>
  <c r="C15033" i="1"/>
  <c r="H15032" i="1"/>
  <c r="C15032" i="1"/>
  <c r="H15031" i="1"/>
  <c r="C15031" i="1"/>
  <c r="H15030" i="1"/>
  <c r="C15030" i="1"/>
  <c r="H15029" i="1"/>
  <c r="C15029" i="1"/>
  <c r="H15028" i="1"/>
  <c r="C15028" i="1"/>
  <c r="H15027" i="1"/>
  <c r="C15027" i="1"/>
  <c r="H15026" i="1"/>
  <c r="C15026" i="1"/>
  <c r="H15025" i="1"/>
  <c r="C15025" i="1"/>
  <c r="H15024" i="1"/>
  <c r="C15024" i="1"/>
  <c r="H15023" i="1"/>
  <c r="C15023" i="1"/>
  <c r="H15022" i="1"/>
  <c r="C15022" i="1"/>
  <c r="H15021" i="1"/>
  <c r="C15021" i="1"/>
  <c r="H15020" i="1"/>
  <c r="C15020" i="1"/>
  <c r="H15019" i="1"/>
  <c r="C15019" i="1"/>
  <c r="H15018" i="1"/>
  <c r="C15018" i="1"/>
  <c r="H15017" i="1"/>
  <c r="C15017" i="1"/>
  <c r="H15016" i="1"/>
  <c r="C15016" i="1"/>
  <c r="H15015" i="1"/>
  <c r="C15015" i="1"/>
  <c r="H15014" i="1"/>
  <c r="C15014" i="1"/>
  <c r="H15013" i="1"/>
  <c r="C15013" i="1"/>
  <c r="H15012" i="1"/>
  <c r="C15012" i="1"/>
  <c r="H15011" i="1"/>
  <c r="C15011" i="1"/>
  <c r="H15010" i="1"/>
  <c r="C15010" i="1"/>
  <c r="H15009" i="1"/>
  <c r="C15009" i="1"/>
  <c r="H15008" i="1"/>
  <c r="C15008" i="1"/>
  <c r="H15007" i="1"/>
  <c r="C15007" i="1"/>
  <c r="H15006" i="1"/>
  <c r="C15006" i="1"/>
  <c r="H15005" i="1"/>
  <c r="C15005" i="1"/>
  <c r="H15004" i="1"/>
  <c r="C15004" i="1"/>
  <c r="H15003" i="1"/>
  <c r="C15003" i="1"/>
  <c r="H15002" i="1"/>
  <c r="C15002" i="1"/>
  <c r="H15001" i="1"/>
  <c r="C15001" i="1"/>
  <c r="H15000" i="1"/>
  <c r="C15000" i="1"/>
  <c r="H14999" i="1"/>
  <c r="C14999" i="1"/>
  <c r="H14998" i="1"/>
  <c r="C14998" i="1"/>
  <c r="H14997" i="1"/>
  <c r="C14997" i="1"/>
  <c r="H14996" i="1"/>
  <c r="C14996" i="1"/>
  <c r="H14995" i="1"/>
  <c r="C14995" i="1"/>
  <c r="H14994" i="1"/>
  <c r="C14994" i="1"/>
  <c r="H14993" i="1"/>
  <c r="C14993" i="1"/>
  <c r="H14992" i="1"/>
  <c r="C14992" i="1"/>
  <c r="H14991" i="1"/>
  <c r="C14991" i="1"/>
  <c r="H14990" i="1"/>
  <c r="C14990" i="1"/>
  <c r="H14989" i="1"/>
  <c r="C14989" i="1"/>
  <c r="H14988" i="1"/>
  <c r="C14988" i="1"/>
  <c r="H14987" i="1"/>
  <c r="C14987" i="1"/>
  <c r="H14986" i="1"/>
  <c r="C14986" i="1"/>
  <c r="H14985" i="1"/>
  <c r="C14985" i="1"/>
  <c r="H14984" i="1"/>
  <c r="C14984" i="1"/>
  <c r="H14983" i="1"/>
  <c r="C14983" i="1"/>
  <c r="H14982" i="1"/>
  <c r="C14982" i="1"/>
  <c r="H14981" i="1"/>
  <c r="C14981" i="1"/>
  <c r="H14980" i="1"/>
  <c r="C14980" i="1"/>
  <c r="H14979" i="1"/>
  <c r="C14979" i="1"/>
  <c r="H14978" i="1"/>
  <c r="C14978" i="1"/>
  <c r="H14977" i="1"/>
  <c r="C14977" i="1"/>
  <c r="H14976" i="1"/>
  <c r="C14976" i="1"/>
  <c r="H14975" i="1"/>
  <c r="C14975" i="1"/>
  <c r="H14974" i="1"/>
  <c r="C14974" i="1"/>
  <c r="H14973" i="1"/>
  <c r="C14973" i="1"/>
  <c r="H14972" i="1"/>
  <c r="C14972" i="1"/>
  <c r="H14971" i="1"/>
  <c r="C14971" i="1"/>
  <c r="H14970" i="1"/>
  <c r="C14970" i="1"/>
  <c r="H14969" i="1"/>
  <c r="C14969" i="1"/>
  <c r="H14968" i="1"/>
  <c r="C14968" i="1"/>
  <c r="H14967" i="1"/>
  <c r="C14967" i="1"/>
  <c r="H14966" i="1"/>
  <c r="C14966" i="1"/>
  <c r="H14965" i="1"/>
  <c r="C14965" i="1"/>
  <c r="H14964" i="1"/>
  <c r="C14964" i="1"/>
  <c r="H14963" i="1"/>
  <c r="C14963" i="1"/>
  <c r="H14962" i="1"/>
  <c r="C14962" i="1"/>
  <c r="H14961" i="1"/>
  <c r="C14961" i="1"/>
  <c r="H14960" i="1"/>
  <c r="C14960" i="1"/>
  <c r="H14959" i="1"/>
  <c r="C14959" i="1"/>
  <c r="H14958" i="1"/>
  <c r="C14958" i="1"/>
  <c r="H14957" i="1"/>
  <c r="C14957" i="1"/>
  <c r="H14956" i="1"/>
  <c r="C14956" i="1"/>
  <c r="H14955" i="1"/>
  <c r="C14955" i="1"/>
  <c r="H14954" i="1"/>
  <c r="C14954" i="1"/>
  <c r="H14953" i="1"/>
  <c r="C14953" i="1"/>
  <c r="H14952" i="1"/>
  <c r="C14952" i="1"/>
  <c r="H14951" i="1"/>
  <c r="C14951" i="1"/>
  <c r="H14950" i="1"/>
  <c r="C14950" i="1"/>
  <c r="H14949" i="1"/>
  <c r="C14949" i="1"/>
  <c r="H14948" i="1"/>
  <c r="C14948" i="1"/>
  <c r="H14947" i="1"/>
  <c r="C14947" i="1"/>
  <c r="H14946" i="1"/>
  <c r="C14946" i="1"/>
  <c r="H14945" i="1"/>
  <c r="C14945" i="1"/>
  <c r="H14944" i="1"/>
  <c r="C14944" i="1"/>
  <c r="H14943" i="1"/>
  <c r="C14943" i="1"/>
  <c r="H14942" i="1"/>
  <c r="C14942" i="1"/>
  <c r="H14941" i="1"/>
  <c r="C14941" i="1"/>
  <c r="H14940" i="1"/>
  <c r="C14940" i="1"/>
  <c r="H14939" i="1"/>
  <c r="C14939" i="1"/>
  <c r="H14938" i="1"/>
  <c r="C14938" i="1"/>
  <c r="H14937" i="1"/>
  <c r="C14937" i="1"/>
  <c r="H14936" i="1"/>
  <c r="C14936" i="1"/>
  <c r="H14935" i="1"/>
  <c r="C14935" i="1"/>
  <c r="H14934" i="1"/>
  <c r="C14934" i="1"/>
  <c r="H14933" i="1"/>
  <c r="C14933" i="1" s="1"/>
  <c r="H14932" i="1"/>
  <c r="C14932" i="1"/>
  <c r="H14931" i="1"/>
  <c r="C14931" i="1"/>
  <c r="H14930" i="1"/>
  <c r="C14930" i="1"/>
  <c r="H14929" i="1"/>
  <c r="C14929" i="1"/>
  <c r="H14928" i="1"/>
  <c r="C14928" i="1"/>
  <c r="H14927" i="1"/>
  <c r="C14927" i="1"/>
  <c r="H14926" i="1"/>
  <c r="C14926" i="1"/>
  <c r="H14925" i="1"/>
  <c r="C14925" i="1"/>
  <c r="H14924" i="1"/>
  <c r="C14924" i="1"/>
  <c r="H14923" i="1"/>
  <c r="C14923" i="1"/>
  <c r="H14922" i="1"/>
  <c r="C14922" i="1"/>
  <c r="H14921" i="1"/>
  <c r="C14921" i="1"/>
  <c r="H14920" i="1"/>
  <c r="C14920" i="1"/>
  <c r="H14919" i="1"/>
  <c r="C14919" i="1"/>
  <c r="H14918" i="1"/>
  <c r="C14918" i="1"/>
  <c r="H14917" i="1"/>
  <c r="C14917" i="1"/>
  <c r="H14916" i="1"/>
  <c r="C14916" i="1"/>
  <c r="H14915" i="1"/>
  <c r="C14915" i="1"/>
  <c r="H14914" i="1"/>
  <c r="C14914" i="1"/>
  <c r="H14913" i="1"/>
  <c r="C14913" i="1"/>
  <c r="H14912" i="1"/>
  <c r="C14912" i="1"/>
  <c r="H14911" i="1"/>
  <c r="C14911" i="1"/>
  <c r="H14910" i="1"/>
  <c r="C14910" i="1"/>
  <c r="H14909" i="1"/>
  <c r="C14909" i="1"/>
  <c r="H14908" i="1"/>
  <c r="C14908" i="1"/>
  <c r="H14907" i="1"/>
  <c r="C14907" i="1"/>
  <c r="H14906" i="1"/>
  <c r="C14906" i="1"/>
  <c r="H14905" i="1"/>
  <c r="C14905" i="1"/>
  <c r="H14904" i="1"/>
  <c r="C14904" i="1"/>
  <c r="H14903" i="1"/>
  <c r="C14903" i="1"/>
  <c r="H14902" i="1"/>
  <c r="C14902" i="1"/>
  <c r="H14901" i="1"/>
  <c r="C14901" i="1"/>
  <c r="H14900" i="1"/>
  <c r="C14900" i="1"/>
  <c r="H14899" i="1"/>
  <c r="C14899" i="1"/>
  <c r="H14898" i="1"/>
  <c r="C14898" i="1"/>
  <c r="H14897" i="1"/>
  <c r="C14897" i="1"/>
  <c r="H14896" i="1"/>
  <c r="C14896" i="1"/>
  <c r="H14895" i="1"/>
  <c r="C14895" i="1"/>
  <c r="H14894" i="1"/>
  <c r="C14894" i="1"/>
  <c r="H14893" i="1"/>
  <c r="C14893" i="1"/>
  <c r="H14892" i="1"/>
  <c r="C14892" i="1"/>
  <c r="H14891" i="1"/>
  <c r="C14891" i="1"/>
  <c r="H14890" i="1"/>
  <c r="C14890" i="1"/>
  <c r="H14889" i="1"/>
  <c r="C14889" i="1"/>
  <c r="H14888" i="1"/>
  <c r="C14888" i="1" s="1"/>
  <c r="H14887" i="1"/>
  <c r="C14887" i="1"/>
  <c r="H14886" i="1"/>
  <c r="C14886" i="1"/>
  <c r="H14885" i="1"/>
  <c r="C14885" i="1"/>
  <c r="H14884" i="1"/>
  <c r="C14884" i="1"/>
  <c r="H14883" i="1"/>
  <c r="C14883" i="1"/>
  <c r="H14882" i="1"/>
  <c r="C14882" i="1"/>
  <c r="H14881" i="1"/>
  <c r="C14881" i="1"/>
  <c r="H14880" i="1"/>
  <c r="C14880" i="1"/>
  <c r="H14879" i="1"/>
  <c r="C14879" i="1"/>
  <c r="H14878" i="1"/>
  <c r="C14878" i="1"/>
  <c r="H14877" i="1"/>
  <c r="C14877" i="1"/>
  <c r="H14876" i="1"/>
  <c r="C14876" i="1"/>
  <c r="H14875" i="1"/>
  <c r="C14875" i="1"/>
  <c r="H14874" i="1"/>
  <c r="C14874" i="1"/>
  <c r="H14873" i="1"/>
  <c r="C14873" i="1"/>
  <c r="H14872" i="1"/>
  <c r="C14872" i="1"/>
  <c r="H14871" i="1"/>
  <c r="C14871" i="1"/>
  <c r="H14870" i="1"/>
  <c r="C14870" i="1"/>
  <c r="H14869" i="1"/>
  <c r="C14869" i="1"/>
  <c r="H14868" i="1"/>
  <c r="C14868" i="1"/>
  <c r="H14867" i="1"/>
  <c r="C14867" i="1"/>
  <c r="H14866" i="1"/>
  <c r="C14866" i="1"/>
  <c r="H14865" i="1"/>
  <c r="C14865" i="1"/>
  <c r="H14864" i="1"/>
  <c r="C14864" i="1"/>
  <c r="H14863" i="1"/>
  <c r="C14863" i="1"/>
  <c r="H14862" i="1"/>
  <c r="C14862" i="1"/>
  <c r="H14861" i="1"/>
  <c r="C14861" i="1"/>
  <c r="H14860" i="1"/>
  <c r="C14860" i="1"/>
  <c r="H14859" i="1"/>
  <c r="C14859" i="1"/>
  <c r="H14858" i="1"/>
  <c r="C14858" i="1"/>
  <c r="H14857" i="1"/>
  <c r="C14857" i="1"/>
  <c r="H14856" i="1"/>
  <c r="C14856" i="1"/>
  <c r="H14855" i="1"/>
  <c r="C14855" i="1"/>
  <c r="H14854" i="1"/>
  <c r="C14854" i="1"/>
  <c r="H14853" i="1"/>
  <c r="C14853" i="1"/>
  <c r="H14852" i="1"/>
  <c r="C14852" i="1"/>
  <c r="H14851" i="1"/>
  <c r="C14851" i="1"/>
  <c r="H14850" i="1"/>
  <c r="C14850" i="1"/>
  <c r="H14849" i="1"/>
  <c r="C14849" i="1"/>
  <c r="H14848" i="1"/>
  <c r="C14848" i="1"/>
  <c r="H14847" i="1"/>
  <c r="C14847" i="1"/>
  <c r="H14846" i="1"/>
  <c r="C14846" i="1"/>
  <c r="H14845" i="1"/>
  <c r="C14845" i="1"/>
  <c r="H14844" i="1"/>
  <c r="C14844" i="1"/>
  <c r="H14843" i="1"/>
  <c r="C14843" i="1"/>
  <c r="H14842" i="1"/>
  <c r="C14842" i="1"/>
  <c r="H14841" i="1"/>
  <c r="C14841" i="1"/>
  <c r="H14840" i="1"/>
  <c r="C14840" i="1"/>
  <c r="H14839" i="1"/>
  <c r="C14839" i="1"/>
  <c r="H14838" i="1"/>
  <c r="C14838" i="1"/>
  <c r="H14837" i="1"/>
  <c r="C14837" i="1"/>
  <c r="H14836" i="1"/>
  <c r="C14836" i="1"/>
  <c r="H14835" i="1"/>
  <c r="C14835" i="1"/>
  <c r="H14834" i="1"/>
  <c r="C14834" i="1"/>
  <c r="H14833" i="1"/>
  <c r="C14833" i="1"/>
  <c r="H14832" i="1"/>
  <c r="C14832" i="1"/>
  <c r="H14831" i="1"/>
  <c r="C14831" i="1"/>
  <c r="H14830" i="1"/>
  <c r="C14830" i="1"/>
  <c r="H14829" i="1"/>
  <c r="C14829" i="1"/>
  <c r="H14828" i="1"/>
  <c r="C14828" i="1"/>
  <c r="H14827" i="1"/>
  <c r="C14827" i="1"/>
  <c r="H14826" i="1"/>
  <c r="C14826" i="1"/>
  <c r="H14825" i="1"/>
  <c r="C14825" i="1"/>
  <c r="H14824" i="1"/>
  <c r="C14824" i="1"/>
  <c r="H14823" i="1"/>
  <c r="C14823" i="1"/>
  <c r="H14822" i="1"/>
  <c r="C14822" i="1"/>
  <c r="H14821" i="1"/>
  <c r="C14821" i="1"/>
  <c r="H14820" i="1"/>
  <c r="C14820" i="1"/>
  <c r="H14819" i="1"/>
  <c r="C14819" i="1"/>
  <c r="H14818" i="1"/>
  <c r="C14818" i="1"/>
  <c r="H14817" i="1"/>
  <c r="C14817" i="1"/>
  <c r="H14816" i="1"/>
  <c r="C14816" i="1" s="1"/>
  <c r="H14815" i="1"/>
  <c r="C14815" i="1"/>
  <c r="H14814" i="1"/>
  <c r="C14814" i="1"/>
  <c r="H14813" i="1"/>
  <c r="C14813" i="1"/>
  <c r="H14812" i="1"/>
  <c r="C14812" i="1"/>
  <c r="H14811" i="1"/>
  <c r="C14811" i="1"/>
  <c r="H14810" i="1"/>
  <c r="C14810" i="1"/>
  <c r="H14809" i="1"/>
  <c r="C14809" i="1"/>
  <c r="H14808" i="1"/>
  <c r="C14808" i="1"/>
  <c r="H14807" i="1"/>
  <c r="C14807" i="1"/>
  <c r="H14806" i="1"/>
  <c r="C14806" i="1"/>
  <c r="H14805" i="1"/>
  <c r="C14805" i="1"/>
  <c r="H14804" i="1"/>
  <c r="C14804" i="1"/>
  <c r="H14803" i="1"/>
  <c r="C14803" i="1"/>
  <c r="H14802" i="1"/>
  <c r="C14802" i="1"/>
  <c r="H14801" i="1"/>
  <c r="C14801" i="1"/>
  <c r="H14800" i="1"/>
  <c r="C14800" i="1"/>
  <c r="H14799" i="1"/>
  <c r="C14799" i="1"/>
  <c r="H14798" i="1"/>
  <c r="C14798" i="1"/>
  <c r="H14797" i="1"/>
  <c r="C14797" i="1"/>
  <c r="H14796" i="1"/>
  <c r="C14796" i="1"/>
  <c r="H14795" i="1"/>
  <c r="C14795" i="1"/>
  <c r="H14794" i="1"/>
  <c r="C14794" i="1"/>
  <c r="H14793" i="1"/>
  <c r="C14793" i="1"/>
  <c r="H14792" i="1"/>
  <c r="C14792" i="1"/>
  <c r="H14791" i="1"/>
  <c r="C14791" i="1"/>
  <c r="H14790" i="1"/>
  <c r="C14790" i="1"/>
  <c r="H14789" i="1"/>
  <c r="C14789" i="1"/>
  <c r="H14788" i="1"/>
  <c r="C14788" i="1"/>
  <c r="H14787" i="1"/>
  <c r="C14787" i="1"/>
  <c r="H14786" i="1"/>
  <c r="C14786" i="1"/>
  <c r="H14785" i="1"/>
  <c r="C14785" i="1"/>
  <c r="H14784" i="1"/>
  <c r="C14784" i="1"/>
  <c r="H14783" i="1"/>
  <c r="C14783" i="1"/>
  <c r="H14782" i="1"/>
  <c r="C14782" i="1"/>
  <c r="H14781" i="1"/>
  <c r="C14781" i="1"/>
  <c r="H14780" i="1"/>
  <c r="C14780" i="1"/>
  <c r="H14779" i="1"/>
  <c r="C14779" i="1"/>
  <c r="H14778" i="1"/>
  <c r="C14778" i="1"/>
  <c r="H14777" i="1"/>
  <c r="C14777" i="1"/>
  <c r="H14776" i="1"/>
  <c r="C14776" i="1"/>
  <c r="H14775" i="1"/>
  <c r="C14775" i="1"/>
  <c r="H14774" i="1"/>
  <c r="C14774" i="1"/>
  <c r="H14773" i="1"/>
  <c r="C14773" i="1"/>
  <c r="H14772" i="1"/>
  <c r="C14772" i="1"/>
  <c r="H14771" i="1"/>
  <c r="C14771" i="1"/>
  <c r="H14770" i="1"/>
  <c r="C14770" i="1"/>
  <c r="H14769" i="1"/>
  <c r="C14769" i="1"/>
  <c r="H14768" i="1"/>
  <c r="C14768" i="1"/>
  <c r="H14767" i="1"/>
  <c r="C14767" i="1"/>
  <c r="H14766" i="1"/>
  <c r="C14766" i="1"/>
  <c r="H14765" i="1"/>
  <c r="C14765" i="1"/>
  <c r="H14764" i="1"/>
  <c r="C14764" i="1"/>
  <c r="H14763" i="1"/>
  <c r="C14763" i="1"/>
  <c r="H14762" i="1"/>
  <c r="C14762" i="1"/>
  <c r="H14761" i="1"/>
  <c r="C14761" i="1"/>
  <c r="H14760" i="1"/>
  <c r="C14760" i="1"/>
  <c r="H14759" i="1"/>
  <c r="C14759" i="1"/>
  <c r="H14758" i="1"/>
  <c r="C14758" i="1"/>
  <c r="H14757" i="1"/>
  <c r="C14757" i="1"/>
  <c r="H14756" i="1"/>
  <c r="C14756" i="1"/>
  <c r="H14755" i="1"/>
  <c r="C14755" i="1"/>
  <c r="H14754" i="1"/>
  <c r="C14754" i="1"/>
  <c r="H14753" i="1"/>
  <c r="C14753" i="1"/>
  <c r="H14752" i="1"/>
  <c r="C14752" i="1"/>
  <c r="H14751" i="1"/>
  <c r="C14751" i="1"/>
  <c r="H14750" i="1"/>
  <c r="C14750" i="1"/>
  <c r="H14749" i="1"/>
  <c r="C14749" i="1"/>
  <c r="H14748" i="1"/>
  <c r="C14748" i="1"/>
  <c r="H14747" i="1"/>
  <c r="C14747" i="1"/>
  <c r="H14746" i="1"/>
  <c r="C14746" i="1"/>
  <c r="H14745" i="1"/>
  <c r="C14745" i="1"/>
  <c r="H14744" i="1"/>
  <c r="C14744" i="1"/>
  <c r="H14743" i="1"/>
  <c r="C14743" i="1"/>
  <c r="H14742" i="1"/>
  <c r="C14742" i="1"/>
  <c r="H14741" i="1"/>
  <c r="C14741" i="1"/>
  <c r="H14740" i="1"/>
  <c r="C14740" i="1"/>
  <c r="H14739" i="1"/>
  <c r="C14739" i="1"/>
  <c r="H14738" i="1"/>
  <c r="C14738" i="1"/>
  <c r="H14737" i="1"/>
  <c r="C14737" i="1"/>
  <c r="H14736" i="1"/>
  <c r="C14736" i="1"/>
  <c r="H14735" i="1"/>
  <c r="C14735" i="1"/>
  <c r="H14734" i="1"/>
  <c r="C14734" i="1"/>
  <c r="H14733" i="1"/>
  <c r="C14733" i="1"/>
  <c r="H14732" i="1"/>
  <c r="C14732" i="1"/>
  <c r="H14731" i="1"/>
  <c r="C14731" i="1"/>
  <c r="H14730" i="1"/>
  <c r="C14730" i="1"/>
  <c r="H14729" i="1"/>
  <c r="C14729" i="1"/>
  <c r="H14728" i="1"/>
  <c r="C14728" i="1"/>
  <c r="H14727" i="1"/>
  <c r="C14727" i="1"/>
  <c r="H14726" i="1"/>
  <c r="C14726" i="1"/>
  <c r="H14725" i="1"/>
  <c r="C14725" i="1"/>
  <c r="H14724" i="1"/>
  <c r="C14724" i="1"/>
  <c r="H14723" i="1"/>
  <c r="C14723" i="1"/>
  <c r="H14722" i="1"/>
  <c r="C14722" i="1"/>
  <c r="H14721" i="1"/>
  <c r="C14721" i="1"/>
  <c r="H14720" i="1"/>
  <c r="C14720" i="1"/>
  <c r="H14719" i="1"/>
  <c r="C14719" i="1"/>
  <c r="H14718" i="1"/>
  <c r="C14718" i="1"/>
  <c r="H14717" i="1"/>
  <c r="C14717" i="1"/>
  <c r="H14716" i="1"/>
  <c r="C14716" i="1"/>
  <c r="H14715" i="1" l="1"/>
  <c r="C14715" i="1"/>
  <c r="H14714" i="1"/>
  <c r="C14714" i="1" s="1"/>
  <c r="H14713" i="1"/>
  <c r="C14713" i="1"/>
  <c r="H14712" i="1"/>
  <c r="C14712" i="1" s="1"/>
  <c r="H14711" i="1"/>
  <c r="C14711" i="1"/>
  <c r="H14710" i="1"/>
  <c r="C14710" i="1" s="1"/>
  <c r="H14709" i="1"/>
  <c r="C14709" i="1"/>
  <c r="H14708" i="1"/>
  <c r="C14708" i="1" s="1"/>
  <c r="H14707" i="1"/>
  <c r="C14707" i="1"/>
  <c r="H14706" i="1"/>
  <c r="C14706" i="1" s="1"/>
  <c r="H14705" i="1"/>
  <c r="C14705" i="1"/>
  <c r="H14704" i="1"/>
  <c r="C14704" i="1" s="1"/>
  <c r="H14703" i="1"/>
  <c r="C14703" i="1"/>
  <c r="H14702" i="1"/>
  <c r="C14702" i="1" s="1"/>
  <c r="H14701" i="1"/>
  <c r="C14701" i="1"/>
  <c r="H14700" i="1"/>
  <c r="C14700" i="1" s="1"/>
  <c r="H14699" i="1"/>
  <c r="C14699" i="1"/>
  <c r="H14698" i="1"/>
  <c r="C14698" i="1" s="1"/>
  <c r="H14697" i="1"/>
  <c r="C14697" i="1"/>
  <c r="H14696" i="1"/>
  <c r="C14696" i="1" s="1"/>
  <c r="H14695" i="1"/>
  <c r="C14695" i="1"/>
  <c r="H14694" i="1"/>
  <c r="C14694" i="1" s="1"/>
  <c r="H14693" i="1"/>
  <c r="C14693" i="1"/>
  <c r="H14692" i="1"/>
  <c r="C14692" i="1" s="1"/>
  <c r="H14691" i="1"/>
  <c r="C14691" i="1"/>
  <c r="H14690" i="1"/>
  <c r="C14690" i="1" s="1"/>
  <c r="H14689" i="1"/>
  <c r="C14689" i="1"/>
  <c r="H14688" i="1"/>
  <c r="C14688" i="1" s="1"/>
  <c r="H14687" i="1"/>
  <c r="C14687" i="1"/>
  <c r="H14686" i="1"/>
  <c r="C14686" i="1" s="1"/>
  <c r="H14685" i="1"/>
  <c r="C14685" i="1"/>
  <c r="H14684" i="1"/>
  <c r="C14684" i="1" s="1"/>
  <c r="H14683" i="1"/>
  <c r="C14683" i="1"/>
  <c r="H14682" i="1"/>
  <c r="C14682" i="1" s="1"/>
  <c r="H14681" i="1"/>
  <c r="C14681" i="1"/>
  <c r="H14680" i="1"/>
  <c r="C14680" i="1" s="1"/>
  <c r="H14679" i="1"/>
  <c r="C14679" i="1"/>
  <c r="H14678" i="1"/>
  <c r="C14678" i="1" s="1"/>
  <c r="H14677" i="1"/>
  <c r="C14677" i="1"/>
  <c r="H14676" i="1"/>
  <c r="C14676" i="1" s="1"/>
  <c r="H14675" i="1"/>
  <c r="C14675" i="1"/>
  <c r="H14674" i="1"/>
  <c r="C14674" i="1" s="1"/>
  <c r="H14673" i="1"/>
  <c r="C14673" i="1"/>
  <c r="H14672" i="1"/>
  <c r="C14672" i="1" s="1"/>
  <c r="H14671" i="1"/>
  <c r="C14671" i="1"/>
  <c r="H14670" i="1"/>
  <c r="C14670" i="1" s="1"/>
  <c r="H14669" i="1"/>
  <c r="C14669" i="1"/>
  <c r="H14668" i="1"/>
  <c r="C14668" i="1" s="1"/>
  <c r="H14667" i="1"/>
  <c r="C14667" i="1"/>
  <c r="H14666" i="1"/>
  <c r="C14666" i="1" s="1"/>
  <c r="H14665" i="1"/>
  <c r="C14665" i="1"/>
  <c r="H14664" i="1"/>
  <c r="C14664" i="1" s="1"/>
  <c r="H14663" i="1"/>
  <c r="C14663" i="1"/>
  <c r="H14662" i="1"/>
  <c r="C14662" i="1" s="1"/>
  <c r="H14661" i="1"/>
  <c r="C14661" i="1"/>
  <c r="H14660" i="1"/>
  <c r="C14660" i="1" s="1"/>
  <c r="H14659" i="1"/>
  <c r="C14659" i="1"/>
  <c r="H14658" i="1"/>
  <c r="C14658" i="1" s="1"/>
  <c r="H14657" i="1"/>
  <c r="C14657" i="1"/>
  <c r="H14656" i="1"/>
  <c r="C14656" i="1" s="1"/>
  <c r="H14655" i="1"/>
  <c r="C14655" i="1"/>
  <c r="H14654" i="1"/>
  <c r="C14654" i="1" s="1"/>
  <c r="H14653" i="1"/>
  <c r="C14653" i="1"/>
  <c r="H14652" i="1"/>
  <c r="C14652" i="1" s="1"/>
  <c r="H14651" i="1"/>
  <c r="C14651" i="1"/>
  <c r="H14650" i="1"/>
  <c r="C14650" i="1" s="1"/>
  <c r="H14649" i="1"/>
  <c r="C14649" i="1"/>
  <c r="H14648" i="1"/>
  <c r="C14648" i="1" s="1"/>
  <c r="H14647" i="1"/>
  <c r="C14647" i="1"/>
  <c r="H14646" i="1"/>
  <c r="C14646" i="1" s="1"/>
  <c r="H14645" i="1"/>
  <c r="C14645" i="1"/>
  <c r="H14644" i="1"/>
  <c r="C14644" i="1" s="1"/>
  <c r="H14643" i="1"/>
  <c r="C14643" i="1"/>
  <c r="H14642" i="1"/>
  <c r="C14642" i="1" s="1"/>
  <c r="H14641" i="1"/>
  <c r="C14641" i="1"/>
  <c r="H14640" i="1"/>
  <c r="C14640" i="1" s="1"/>
  <c r="H14639" i="1"/>
  <c r="C14639" i="1"/>
  <c r="H14638" i="1"/>
  <c r="C14638" i="1" s="1"/>
  <c r="H14637" i="1"/>
  <c r="C14637" i="1"/>
  <c r="H14636" i="1"/>
  <c r="C14636" i="1" s="1"/>
  <c r="H14635" i="1"/>
  <c r="C14635" i="1"/>
  <c r="H14634" i="1"/>
  <c r="C14634" i="1" s="1"/>
  <c r="H14633" i="1"/>
  <c r="C14633" i="1"/>
  <c r="H14632" i="1"/>
  <c r="C14632" i="1" s="1"/>
  <c r="H14631" i="1"/>
  <c r="C14631" i="1"/>
  <c r="H14630" i="1"/>
  <c r="C14630" i="1" s="1"/>
  <c r="H14629" i="1"/>
  <c r="C14629" i="1"/>
  <c r="H14628" i="1"/>
  <c r="C14628" i="1" s="1"/>
  <c r="H14627" i="1"/>
  <c r="C14627" i="1"/>
  <c r="H14626" i="1"/>
  <c r="C14626" i="1" s="1"/>
  <c r="H14625" i="1"/>
  <c r="C14625" i="1"/>
  <c r="H14624" i="1"/>
  <c r="C14624" i="1" s="1"/>
  <c r="H14623" i="1"/>
  <c r="C14623" i="1"/>
  <c r="H14622" i="1"/>
  <c r="C14622" i="1" s="1"/>
  <c r="H14621" i="1"/>
  <c r="C14621" i="1"/>
  <c r="H14620" i="1"/>
  <c r="C14620" i="1" s="1"/>
  <c r="H14619" i="1"/>
  <c r="C14619" i="1"/>
  <c r="H14618" i="1"/>
  <c r="C14618" i="1" s="1"/>
  <c r="H14617" i="1"/>
  <c r="C14617" i="1"/>
  <c r="H14616" i="1"/>
  <c r="C14616" i="1" s="1"/>
  <c r="H14615" i="1"/>
  <c r="C14615" i="1"/>
  <c r="H14614" i="1"/>
  <c r="C14614" i="1" s="1"/>
  <c r="H14613" i="1"/>
  <c r="C14613" i="1"/>
  <c r="H14612" i="1"/>
  <c r="C14612" i="1" s="1"/>
  <c r="H14611" i="1"/>
  <c r="C14611" i="1"/>
  <c r="H14610" i="1"/>
  <c r="C14610" i="1" s="1"/>
  <c r="H14609" i="1"/>
  <c r="C14609" i="1"/>
  <c r="H14608" i="1"/>
  <c r="C14608" i="1" s="1"/>
  <c r="H14607" i="1"/>
  <c r="C14607" i="1"/>
  <c r="H14606" i="1"/>
  <c r="C14606" i="1" s="1"/>
  <c r="H14605" i="1"/>
  <c r="C14605" i="1"/>
  <c r="H14604" i="1"/>
  <c r="C14604" i="1" s="1"/>
  <c r="H14603" i="1"/>
  <c r="C14603" i="1"/>
  <c r="H14602" i="1"/>
  <c r="C14602" i="1" s="1"/>
  <c r="H14601" i="1"/>
  <c r="C14601" i="1"/>
  <c r="H14600" i="1"/>
  <c r="C14600" i="1" s="1"/>
  <c r="H14599" i="1"/>
  <c r="C14599" i="1"/>
  <c r="H14598" i="1"/>
  <c r="C14598" i="1" s="1"/>
  <c r="H14597" i="1"/>
  <c r="C14597" i="1"/>
  <c r="H14596" i="1"/>
  <c r="C14596" i="1" s="1"/>
  <c r="H14595" i="1"/>
  <c r="C14595" i="1"/>
  <c r="H14594" i="1"/>
  <c r="C14594" i="1" s="1"/>
  <c r="H14593" i="1"/>
  <c r="C14593" i="1"/>
  <c r="H14592" i="1"/>
  <c r="C14592" i="1" s="1"/>
  <c r="H14591" i="1"/>
  <c r="C14591" i="1"/>
  <c r="H14590" i="1"/>
  <c r="C14590" i="1" s="1"/>
  <c r="H14589" i="1"/>
  <c r="C14589" i="1"/>
  <c r="H14588" i="1"/>
  <c r="C14588" i="1" s="1"/>
  <c r="H14587" i="1"/>
  <c r="C14587" i="1"/>
  <c r="H14586" i="1"/>
  <c r="C14586" i="1" s="1"/>
  <c r="H14585" i="1"/>
  <c r="C14585" i="1"/>
  <c r="H14584" i="1"/>
  <c r="C14584" i="1" s="1"/>
  <c r="H14583" i="1"/>
  <c r="C14583" i="1"/>
  <c r="H14582" i="1"/>
  <c r="C14582" i="1" s="1"/>
  <c r="H14581" i="1"/>
  <c r="C14581" i="1"/>
  <c r="H14580" i="1"/>
  <c r="C14580" i="1" s="1"/>
  <c r="H14579" i="1"/>
  <c r="C14579" i="1"/>
  <c r="H14578" i="1"/>
  <c r="C14578" i="1" s="1"/>
  <c r="H14577" i="1"/>
  <c r="C14577" i="1"/>
  <c r="H14576" i="1"/>
  <c r="C14576" i="1" s="1"/>
  <c r="H14575" i="1"/>
  <c r="C14575" i="1"/>
  <c r="H14574" i="1"/>
  <c r="C14574" i="1" s="1"/>
  <c r="H14573" i="1"/>
  <c r="C14573" i="1"/>
  <c r="H14572" i="1"/>
  <c r="C14572" i="1" s="1"/>
  <c r="H14571" i="1"/>
  <c r="C14571" i="1"/>
  <c r="H14570" i="1"/>
  <c r="C14570" i="1" s="1"/>
  <c r="H14569" i="1"/>
  <c r="C14569" i="1"/>
  <c r="H14568" i="1"/>
  <c r="C14568" i="1" s="1"/>
  <c r="H14567" i="1"/>
  <c r="C14567" i="1"/>
  <c r="H14566" i="1"/>
  <c r="C14566" i="1" s="1"/>
  <c r="H14565" i="1"/>
  <c r="C14565" i="1"/>
  <c r="H14564" i="1"/>
  <c r="C14564" i="1" s="1"/>
  <c r="H14563" i="1"/>
  <c r="C14563" i="1"/>
  <c r="H14562" i="1"/>
  <c r="C14562" i="1" s="1"/>
  <c r="H14561" i="1"/>
  <c r="C14561" i="1"/>
  <c r="H14560" i="1"/>
  <c r="C14560" i="1" s="1"/>
  <c r="H14559" i="1"/>
  <c r="C14559" i="1"/>
  <c r="H14558" i="1"/>
  <c r="C14558" i="1" s="1"/>
  <c r="H14557" i="1"/>
  <c r="C14557" i="1"/>
  <c r="H14556" i="1"/>
  <c r="C14556" i="1" s="1"/>
  <c r="H14555" i="1"/>
  <c r="C14555" i="1"/>
  <c r="H14554" i="1"/>
  <c r="C14554" i="1" s="1"/>
  <c r="H14553" i="1"/>
  <c r="C14553" i="1"/>
  <c r="H14552" i="1"/>
  <c r="C14552" i="1" s="1"/>
  <c r="H14551" i="1"/>
  <c r="C14551" i="1"/>
  <c r="H14550" i="1"/>
  <c r="C14550" i="1" s="1"/>
  <c r="H14549" i="1"/>
  <c r="C14549" i="1"/>
  <c r="H14548" i="1"/>
  <c r="C14548" i="1" s="1"/>
  <c r="H14547" i="1"/>
  <c r="C14547" i="1"/>
  <c r="H14546" i="1"/>
  <c r="C14546" i="1" s="1"/>
  <c r="H14545" i="1"/>
  <c r="C14545" i="1"/>
  <c r="H14544" i="1"/>
  <c r="C14544" i="1" s="1"/>
  <c r="H14543" i="1"/>
  <c r="C14543" i="1"/>
  <c r="H14542" i="1"/>
  <c r="C14542" i="1" s="1"/>
  <c r="H14541" i="1"/>
  <c r="C14541" i="1"/>
  <c r="H14540" i="1"/>
  <c r="C14540" i="1" s="1"/>
  <c r="H14539" i="1"/>
  <c r="C14539" i="1"/>
  <c r="H14538" i="1"/>
  <c r="C14538" i="1" s="1"/>
  <c r="H14537" i="1"/>
  <c r="C14537" i="1"/>
  <c r="H14536" i="1"/>
  <c r="C14536" i="1" s="1"/>
  <c r="H14535" i="1"/>
  <c r="C14535" i="1" s="1"/>
  <c r="H14534" i="1"/>
  <c r="C14534" i="1" s="1"/>
  <c r="H14533" i="1"/>
  <c r="C14533" i="1"/>
  <c r="H14532" i="1"/>
  <c r="C14532" i="1" s="1"/>
  <c r="H14531" i="1"/>
  <c r="C14531" i="1"/>
  <c r="H14530" i="1"/>
  <c r="C14530" i="1" s="1"/>
  <c r="H14529" i="1"/>
  <c r="C14529" i="1"/>
  <c r="H14528" i="1"/>
  <c r="C14528" i="1" s="1"/>
  <c r="H14527" i="1"/>
  <c r="C14527" i="1"/>
  <c r="H14526" i="1"/>
  <c r="C14526" i="1" s="1"/>
  <c r="H14525" i="1"/>
  <c r="C14525" i="1"/>
  <c r="H14524" i="1"/>
  <c r="C14524" i="1" s="1"/>
  <c r="H14523" i="1"/>
  <c r="C14523" i="1"/>
  <c r="H14522" i="1"/>
  <c r="C14522" i="1" s="1"/>
  <c r="H14521" i="1"/>
  <c r="C14521" i="1"/>
  <c r="H14520" i="1"/>
  <c r="C14520" i="1" s="1"/>
  <c r="H14519" i="1"/>
  <c r="C14519" i="1"/>
  <c r="H14518" i="1"/>
  <c r="C14518" i="1" s="1"/>
  <c r="H14517" i="1"/>
  <c r="C14517" i="1"/>
  <c r="H14516" i="1"/>
  <c r="C14516" i="1" s="1"/>
  <c r="H14515" i="1"/>
  <c r="C14515" i="1"/>
  <c r="H14514" i="1"/>
  <c r="C14514" i="1" s="1"/>
  <c r="H14513" i="1"/>
  <c r="C14513" i="1"/>
  <c r="H14512" i="1"/>
  <c r="C14512" i="1" s="1"/>
  <c r="H14511" i="1"/>
  <c r="C14511" i="1"/>
  <c r="H14510" i="1"/>
  <c r="C14510" i="1" s="1"/>
  <c r="H14509" i="1"/>
  <c r="C14509" i="1"/>
  <c r="H14508" i="1"/>
  <c r="C14508" i="1" s="1"/>
  <c r="H14507" i="1"/>
  <c r="C14507" i="1"/>
  <c r="H14506" i="1"/>
  <c r="C14506" i="1" s="1"/>
  <c r="H14505" i="1"/>
  <c r="C14505" i="1"/>
  <c r="H14504" i="1"/>
  <c r="C14504" i="1" s="1"/>
  <c r="H14503" i="1"/>
  <c r="C14503" i="1" s="1"/>
  <c r="H14502" i="1"/>
  <c r="C14502" i="1" s="1"/>
  <c r="H14501" i="1"/>
  <c r="C14501" i="1"/>
  <c r="H14500" i="1"/>
  <c r="C14500" i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/>
  <c r="H14493" i="1"/>
  <c r="C14493" i="1" s="1"/>
  <c r="H14492" i="1"/>
  <c r="C14492" i="1" s="1"/>
  <c r="H14491" i="1"/>
  <c r="C14491" i="1" s="1"/>
  <c r="H14490" i="1"/>
  <c r="C14490" i="1"/>
  <c r="H14489" i="1"/>
  <c r="C14489" i="1"/>
  <c r="H14488" i="1"/>
  <c r="C14488" i="1" s="1"/>
  <c r="H14487" i="1"/>
  <c r="C14487" i="1" s="1"/>
  <c r="H14486" i="1"/>
  <c r="C14486" i="1" s="1"/>
  <c r="H14485" i="1"/>
  <c r="C14485" i="1"/>
  <c r="H14484" i="1"/>
  <c r="C14484" i="1"/>
  <c r="H14483" i="1"/>
  <c r="C14483" i="1" s="1"/>
  <c r="H14482" i="1"/>
  <c r="C14482" i="1"/>
  <c r="H14481" i="1"/>
  <c r="C14481" i="1"/>
  <c r="H14480" i="1"/>
  <c r="C14480" i="1" s="1"/>
  <c r="H14479" i="1"/>
  <c r="C14479" i="1" s="1"/>
  <c r="H14478" i="1"/>
  <c r="C14478" i="1" s="1"/>
  <c r="H14477" i="1"/>
  <c r="C14477" i="1"/>
  <c r="H14476" i="1"/>
  <c r="C14476" i="1"/>
  <c r="H14475" i="1"/>
  <c r="C14475" i="1" s="1"/>
  <c r="H14474" i="1"/>
  <c r="C14474" i="1"/>
  <c r="H14473" i="1"/>
  <c r="C14473" i="1"/>
  <c r="H14472" i="1"/>
  <c r="C14472" i="1" s="1"/>
  <c r="H14471" i="1"/>
  <c r="C14471" i="1" s="1"/>
  <c r="H14470" i="1"/>
  <c r="C14470" i="1"/>
  <c r="H14469" i="1"/>
  <c r="C14469" i="1"/>
  <c r="H14468" i="1"/>
  <c r="C14468" i="1"/>
  <c r="H14467" i="1"/>
  <c r="C14467" i="1" s="1"/>
  <c r="H14466" i="1"/>
  <c r="C14466" i="1"/>
  <c r="H14465" i="1"/>
  <c r="C14465" i="1"/>
  <c r="H14464" i="1"/>
  <c r="C14464" i="1" s="1"/>
  <c r="H14463" i="1"/>
  <c r="C14463" i="1" s="1"/>
  <c r="H14462" i="1"/>
  <c r="C14462" i="1" s="1"/>
  <c r="H14461" i="1"/>
  <c r="C14461" i="1"/>
  <c r="H14460" i="1"/>
  <c r="C14460" i="1"/>
  <c r="H14459" i="1"/>
  <c r="C14459" i="1" s="1"/>
  <c r="H14458" i="1"/>
  <c r="C14458" i="1"/>
  <c r="H14457" i="1"/>
  <c r="C14457" i="1"/>
  <c r="H14456" i="1"/>
  <c r="C14456" i="1" s="1"/>
  <c r="H14455" i="1"/>
  <c r="C14455" i="1" s="1"/>
  <c r="H14454" i="1"/>
  <c r="C14454" i="1" s="1"/>
  <c r="H14453" i="1"/>
  <c r="C14453" i="1"/>
  <c r="H14452" i="1"/>
  <c r="C14452" i="1"/>
  <c r="H14451" i="1"/>
  <c r="C14451" i="1" s="1"/>
  <c r="H14450" i="1"/>
  <c r="C14450" i="1"/>
  <c r="H14449" i="1"/>
  <c r="C14449" i="1"/>
  <c r="H14448" i="1"/>
  <c r="C14448" i="1" s="1"/>
  <c r="H14447" i="1"/>
  <c r="C14447" i="1" s="1"/>
  <c r="H14446" i="1"/>
  <c r="C14446" i="1"/>
  <c r="H14445" i="1"/>
  <c r="C14445" i="1"/>
  <c r="H14444" i="1"/>
  <c r="C14444" i="1"/>
  <c r="H14443" i="1"/>
  <c r="C14443" i="1" s="1"/>
  <c r="H14442" i="1"/>
  <c r="C14442" i="1"/>
  <c r="H14441" i="1"/>
  <c r="C14441" i="1"/>
  <c r="H14440" i="1"/>
  <c r="C14440" i="1" s="1"/>
  <c r="H14439" i="1"/>
  <c r="C14439" i="1" s="1"/>
  <c r="H14438" i="1"/>
  <c r="C14438" i="1"/>
  <c r="H14437" i="1"/>
  <c r="C14437" i="1"/>
  <c r="H14436" i="1"/>
  <c r="C14436" i="1"/>
  <c r="H14435" i="1"/>
  <c r="C14435" i="1" s="1"/>
  <c r="H14434" i="1"/>
  <c r="C14434" i="1"/>
  <c r="H14433" i="1"/>
  <c r="C14433" i="1" s="1"/>
  <c r="H14432" i="1"/>
  <c r="C14432" i="1"/>
  <c r="H14431" i="1"/>
  <c r="C14431" i="1" s="1"/>
  <c r="H14430" i="1"/>
  <c r="C14430" i="1" s="1"/>
  <c r="H14429" i="1"/>
  <c r="C14429" i="1"/>
  <c r="H14428" i="1"/>
  <c r="C14428" i="1"/>
  <c r="H14427" i="1"/>
  <c r="C14427" i="1" s="1"/>
  <c r="H14426" i="1"/>
  <c r="C14426" i="1"/>
  <c r="H14425" i="1"/>
  <c r="C14425" i="1"/>
  <c r="H14424" i="1"/>
  <c r="C14424" i="1" s="1"/>
  <c r="H14423" i="1"/>
  <c r="C14423" i="1" s="1"/>
  <c r="H14422" i="1"/>
  <c r="C14422" i="1"/>
  <c r="H14421" i="1"/>
  <c r="C14421" i="1"/>
  <c r="H14420" i="1"/>
  <c r="C14420" i="1"/>
  <c r="H14419" i="1"/>
  <c r="C14419" i="1" s="1"/>
  <c r="H14418" i="1"/>
  <c r="C14418" i="1"/>
  <c r="H14417" i="1"/>
  <c r="C14417" i="1" s="1"/>
  <c r="H14416" i="1"/>
  <c r="C14416" i="1" s="1"/>
  <c r="H14415" i="1"/>
  <c r="C14415" i="1" s="1"/>
  <c r="H14414" i="1"/>
  <c r="C14414" i="1"/>
  <c r="H14413" i="1"/>
  <c r="C14413" i="1"/>
  <c r="H14412" i="1"/>
  <c r="C14412" i="1"/>
  <c r="H14411" i="1"/>
  <c r="C14411" i="1" s="1"/>
  <c r="H14410" i="1"/>
  <c r="C14410" i="1"/>
  <c r="H14409" i="1"/>
  <c r="C14409" i="1" s="1"/>
  <c r="H14408" i="1"/>
  <c r="C14408" i="1" s="1"/>
  <c r="H14407" i="1"/>
  <c r="C14407" i="1" s="1"/>
  <c r="H14406" i="1"/>
  <c r="C14406" i="1"/>
  <c r="H14405" i="1"/>
  <c r="C14405" i="1"/>
  <c r="H14404" i="1"/>
  <c r="C14404" i="1" s="1"/>
  <c r="H14403" i="1"/>
  <c r="C14403" i="1" s="1"/>
  <c r="H14402" i="1"/>
  <c r="C14402" i="1"/>
  <c r="H14401" i="1"/>
  <c r="C14401" i="1" s="1"/>
  <c r="H14400" i="1"/>
  <c r="C14400" i="1"/>
  <c r="H14399" i="1"/>
  <c r="C14399" i="1" s="1"/>
  <c r="H14398" i="1"/>
  <c r="C14398" i="1"/>
  <c r="H14397" i="1"/>
  <c r="C14397" i="1"/>
  <c r="H14396" i="1"/>
  <c r="C14396" i="1"/>
  <c r="H14395" i="1"/>
  <c r="C14395" i="1" s="1"/>
  <c r="H14394" i="1"/>
  <c r="C14394" i="1"/>
  <c r="H14393" i="1"/>
  <c r="C14393" i="1"/>
  <c r="H14392" i="1"/>
  <c r="C14392" i="1" s="1"/>
  <c r="H14391" i="1"/>
  <c r="C14391" i="1" s="1"/>
  <c r="H14390" i="1"/>
  <c r="C14390" i="1"/>
  <c r="H14389" i="1"/>
  <c r="C14389" i="1"/>
  <c r="H14388" i="1"/>
  <c r="C14388" i="1"/>
  <c r="H14387" i="1"/>
  <c r="C14387" i="1" s="1"/>
  <c r="H14386" i="1"/>
  <c r="C14386" i="1"/>
  <c r="H14385" i="1"/>
  <c r="C14385" i="1" s="1"/>
  <c r="H14384" i="1"/>
  <c r="C14384" i="1" s="1"/>
  <c r="H14383" i="1"/>
  <c r="C14383" i="1" s="1"/>
  <c r="H14382" i="1"/>
  <c r="C14382" i="1"/>
  <c r="H14381" i="1"/>
  <c r="C14381" i="1"/>
  <c r="H14380" i="1"/>
  <c r="C14380" i="1" s="1"/>
  <c r="H14379" i="1"/>
  <c r="C14379" i="1" s="1"/>
  <c r="H14378" i="1"/>
  <c r="C14378" i="1"/>
  <c r="H14377" i="1"/>
  <c r="C14377" i="1" s="1"/>
  <c r="H14376" i="1"/>
  <c r="C14376" i="1" s="1"/>
  <c r="H14375" i="1"/>
  <c r="C14375" i="1" s="1"/>
  <c r="H14374" i="1"/>
  <c r="C14374" i="1"/>
  <c r="H14373" i="1"/>
  <c r="C14373" i="1"/>
  <c r="H14372" i="1"/>
  <c r="C14372" i="1" s="1"/>
  <c r="H14371" i="1"/>
  <c r="C14371" i="1" s="1"/>
  <c r="H14370" i="1"/>
  <c r="C14370" i="1"/>
  <c r="H14369" i="1"/>
  <c r="C14369" i="1"/>
  <c r="H14368" i="1"/>
  <c r="C14368" i="1"/>
  <c r="H14367" i="1"/>
  <c r="C14367" i="1" s="1"/>
  <c r="H14366" i="1"/>
  <c r="C14366" i="1"/>
  <c r="H14365" i="1"/>
  <c r="C14365" i="1"/>
  <c r="H14364" i="1"/>
  <c r="C14364" i="1"/>
  <c r="H14363" i="1"/>
  <c r="C14363" i="1" s="1"/>
  <c r="H14362" i="1"/>
  <c r="C14362" i="1"/>
  <c r="H14361" i="1"/>
  <c r="C14361" i="1"/>
  <c r="H14360" i="1"/>
  <c r="C14360" i="1" s="1"/>
  <c r="H14359" i="1"/>
  <c r="C14359" i="1" s="1"/>
  <c r="H14358" i="1"/>
  <c r="C14358" i="1"/>
  <c r="H14357" i="1"/>
  <c r="C14357" i="1"/>
  <c r="H14356" i="1"/>
  <c r="C14356" i="1"/>
  <c r="H14355" i="1"/>
  <c r="C14355" i="1" s="1"/>
  <c r="H14354" i="1"/>
  <c r="C14354" i="1"/>
  <c r="H14353" i="1"/>
  <c r="C14353" i="1"/>
  <c r="H14352" i="1"/>
  <c r="C14352" i="1" s="1"/>
  <c r="H14351" i="1"/>
  <c r="C14351" i="1" s="1"/>
  <c r="H14350" i="1"/>
  <c r="C14350" i="1"/>
  <c r="H14349" i="1"/>
  <c r="C14349" i="1"/>
  <c r="H14348" i="1"/>
  <c r="C14348" i="1"/>
  <c r="H14347" i="1"/>
  <c r="C14347" i="1" s="1"/>
  <c r="H14346" i="1"/>
  <c r="C14346" i="1"/>
  <c r="H14345" i="1"/>
  <c r="C14345" i="1"/>
  <c r="H14344" i="1"/>
  <c r="C14344" i="1" s="1"/>
  <c r="H14343" i="1"/>
  <c r="C14343" i="1" s="1"/>
  <c r="H14342" i="1"/>
  <c r="C14342" i="1"/>
  <c r="H14341" i="1"/>
  <c r="C14341" i="1"/>
  <c r="H14340" i="1"/>
  <c r="C14340" i="1"/>
  <c r="H14339" i="1"/>
  <c r="C14339" i="1" s="1"/>
  <c r="H14338" i="1"/>
  <c r="C14338" i="1"/>
  <c r="H14337" i="1"/>
  <c r="C14337" i="1"/>
  <c r="H14336" i="1"/>
  <c r="C14336" i="1"/>
  <c r="H14335" i="1"/>
  <c r="C14335" i="1" s="1"/>
  <c r="H14334" i="1"/>
  <c r="C14334" i="1"/>
  <c r="H14333" i="1"/>
  <c r="C14333" i="1"/>
  <c r="H14332" i="1"/>
  <c r="C14332" i="1"/>
  <c r="H14331" i="1"/>
  <c r="C14331" i="1" s="1"/>
  <c r="H14330" i="1"/>
  <c r="C14330" i="1"/>
  <c r="H14329" i="1"/>
  <c r="C14329" i="1"/>
  <c r="H14328" i="1"/>
  <c r="C14328" i="1" s="1"/>
  <c r="H14327" i="1"/>
  <c r="C14327" i="1" s="1"/>
  <c r="H14326" i="1"/>
  <c r="C14326" i="1"/>
  <c r="H14325" i="1"/>
  <c r="C14325" i="1"/>
  <c r="H14324" i="1"/>
  <c r="C14324" i="1"/>
  <c r="H14323" i="1"/>
  <c r="C14323" i="1" s="1"/>
  <c r="H14322" i="1"/>
  <c r="C14322" i="1"/>
  <c r="H14321" i="1"/>
  <c r="C14321" i="1"/>
  <c r="H14320" i="1"/>
  <c r="C14320" i="1" s="1"/>
  <c r="H14319" i="1"/>
  <c r="C14319" i="1" s="1"/>
  <c r="H14318" i="1"/>
  <c r="C14318" i="1"/>
  <c r="H14317" i="1"/>
  <c r="C14317" i="1"/>
  <c r="H14316" i="1"/>
  <c r="C14316" i="1"/>
  <c r="H14315" i="1"/>
  <c r="C14315" i="1" s="1"/>
  <c r="H14314" i="1"/>
  <c r="C14314" i="1"/>
  <c r="H14313" i="1"/>
  <c r="C14313" i="1"/>
  <c r="H14312" i="1"/>
  <c r="C14312" i="1" s="1"/>
  <c r="H14311" i="1"/>
  <c r="C14311" i="1" s="1"/>
  <c r="H14310" i="1"/>
  <c r="C14310" i="1"/>
  <c r="H14309" i="1"/>
  <c r="C14309" i="1"/>
  <c r="H14308" i="1"/>
  <c r="C14308" i="1"/>
  <c r="H14307" i="1"/>
  <c r="C14307" i="1" s="1"/>
  <c r="H14306" i="1"/>
  <c r="C14306" i="1"/>
  <c r="H14305" i="1"/>
  <c r="C14305" i="1"/>
  <c r="H14304" i="1"/>
  <c r="C14304" i="1"/>
  <c r="H14303" i="1"/>
  <c r="C14303" i="1" s="1"/>
  <c r="H14302" i="1"/>
  <c r="C14302" i="1"/>
  <c r="H14301" i="1"/>
  <c r="C14301" i="1"/>
  <c r="H14300" i="1"/>
  <c r="C14300" i="1"/>
  <c r="H14299" i="1"/>
  <c r="C14299" i="1" s="1"/>
  <c r="H14298" i="1"/>
  <c r="C14298" i="1"/>
  <c r="H14297" i="1"/>
  <c r="C14297" i="1"/>
  <c r="H14296" i="1"/>
  <c r="C14296" i="1" s="1"/>
  <c r="H14295" i="1"/>
  <c r="C14295" i="1" s="1"/>
  <c r="H14294" i="1"/>
  <c r="C14294" i="1"/>
  <c r="H14293" i="1"/>
  <c r="C14293" i="1"/>
  <c r="H14292" i="1"/>
  <c r="C14292" i="1"/>
  <c r="H14291" i="1"/>
  <c r="C14291" i="1" s="1"/>
  <c r="H14290" i="1"/>
  <c r="C14290" i="1"/>
  <c r="H14289" i="1"/>
  <c r="C14289" i="1"/>
  <c r="H14288" i="1"/>
  <c r="C14288" i="1" s="1"/>
  <c r="H14287" i="1"/>
  <c r="C14287" i="1" s="1"/>
  <c r="H14286" i="1"/>
  <c r="C14286" i="1"/>
  <c r="H14285" i="1"/>
  <c r="C14285" i="1"/>
  <c r="H14284" i="1"/>
  <c r="C14284" i="1"/>
  <c r="H14283" i="1"/>
  <c r="C14283" i="1" s="1"/>
  <c r="H14282" i="1"/>
  <c r="C14282" i="1"/>
  <c r="H14281" i="1"/>
  <c r="C14281" i="1"/>
  <c r="H14280" i="1"/>
  <c r="C14280" i="1" s="1"/>
  <c r="H14279" i="1"/>
  <c r="C14279" i="1" s="1"/>
  <c r="H14278" i="1"/>
  <c r="C14278" i="1"/>
  <c r="H14277" i="1"/>
  <c r="C14277" i="1"/>
  <c r="H14276" i="1"/>
  <c r="C14276" i="1"/>
  <c r="H14275" i="1"/>
  <c r="C14275" i="1" s="1"/>
  <c r="H14274" i="1"/>
  <c r="C14274" i="1"/>
  <c r="H14273" i="1"/>
  <c r="C14273" i="1"/>
  <c r="H14272" i="1"/>
  <c r="C14272" i="1"/>
  <c r="H14271" i="1"/>
  <c r="C14271" i="1" s="1"/>
  <c r="H14270" i="1"/>
  <c r="C14270" i="1"/>
  <c r="H14269" i="1"/>
  <c r="C14269" i="1"/>
  <c r="H14268" i="1"/>
  <c r="C14268" i="1"/>
  <c r="H14267" i="1"/>
  <c r="C14267" i="1" s="1"/>
  <c r="H14266" i="1"/>
  <c r="C14266" i="1"/>
  <c r="H14265" i="1"/>
  <c r="C14265" i="1"/>
  <c r="H14264" i="1"/>
  <c r="C14264" i="1" s="1"/>
  <c r="H14263" i="1"/>
  <c r="C14263" i="1" s="1"/>
  <c r="H14262" i="1"/>
  <c r="C14262" i="1"/>
  <c r="H14261" i="1"/>
  <c r="C14261" i="1"/>
  <c r="H14260" i="1"/>
  <c r="C14260" i="1"/>
  <c r="H14259" i="1"/>
  <c r="C14259" i="1" s="1"/>
  <c r="H14258" i="1"/>
  <c r="C14258" i="1"/>
  <c r="H14257" i="1"/>
  <c r="C14257" i="1"/>
  <c r="H14256" i="1"/>
  <c r="C14256" i="1" s="1"/>
  <c r="H14255" i="1"/>
  <c r="C14255" i="1" s="1"/>
  <c r="H14254" i="1"/>
  <c r="C14254" i="1"/>
  <c r="H14253" i="1"/>
  <c r="C14253" i="1"/>
  <c r="H14252" i="1"/>
  <c r="C14252" i="1" s="1"/>
  <c r="H14251" i="1"/>
  <c r="C14251" i="1" s="1"/>
  <c r="H14250" i="1"/>
  <c r="C14250" i="1"/>
  <c r="H14249" i="1"/>
  <c r="C14249" i="1"/>
  <c r="H14248" i="1"/>
  <c r="C14248" i="1" s="1"/>
  <c r="H14247" i="1"/>
  <c r="C14247" i="1" s="1"/>
  <c r="H14246" i="1"/>
  <c r="C14246" i="1"/>
  <c r="H14245" i="1"/>
  <c r="C14245" i="1"/>
  <c r="H14244" i="1"/>
  <c r="C14244" i="1"/>
  <c r="H14243" i="1"/>
  <c r="C14243" i="1" s="1"/>
  <c r="H14242" i="1"/>
  <c r="C14242" i="1"/>
  <c r="H14241" i="1"/>
  <c r="C14241" i="1"/>
  <c r="H14240" i="1"/>
  <c r="C14240" i="1"/>
  <c r="H14239" i="1"/>
  <c r="C14239" i="1" s="1"/>
  <c r="H14238" i="1"/>
  <c r="C14238" i="1"/>
  <c r="H14237" i="1"/>
  <c r="C14237" i="1"/>
  <c r="H14236" i="1"/>
  <c r="C14236" i="1"/>
  <c r="H14235" i="1"/>
  <c r="C14235" i="1" s="1"/>
  <c r="H14234" i="1"/>
  <c r="C14234" i="1"/>
  <c r="H14233" i="1"/>
  <c r="C14233" i="1"/>
  <c r="H14232" i="1"/>
  <c r="C14232" i="1" s="1"/>
  <c r="H14231" i="1"/>
  <c r="C14231" i="1" s="1"/>
  <c r="H14230" i="1"/>
  <c r="C14230" i="1"/>
  <c r="H14229" i="1"/>
  <c r="C14229" i="1"/>
  <c r="H14228" i="1"/>
  <c r="C14228" i="1"/>
  <c r="H14227" i="1"/>
  <c r="C14227" i="1" s="1"/>
  <c r="H14226" i="1"/>
  <c r="C14226" i="1"/>
  <c r="H14225" i="1"/>
  <c r="C14225" i="1"/>
  <c r="H14224" i="1"/>
  <c r="C14224" i="1" s="1"/>
  <c r="H14223" i="1"/>
  <c r="C14223" i="1" s="1"/>
  <c r="H14222" i="1"/>
  <c r="C14222" i="1"/>
  <c r="H14221" i="1"/>
  <c r="C14221" i="1"/>
  <c r="H14220" i="1"/>
  <c r="C14220" i="1"/>
  <c r="H14219" i="1"/>
  <c r="C14219" i="1" s="1"/>
  <c r="H14218" i="1"/>
  <c r="C14218" i="1"/>
  <c r="H14217" i="1"/>
  <c r="C14217" i="1"/>
  <c r="H14216" i="1"/>
  <c r="C14216" i="1" s="1"/>
  <c r="H14215" i="1"/>
  <c r="C14215" i="1" s="1"/>
  <c r="H14214" i="1"/>
  <c r="C14214" i="1"/>
  <c r="H14213" i="1"/>
  <c r="C14213" i="1"/>
  <c r="H14212" i="1"/>
  <c r="C14212" i="1"/>
  <c r="H14211" i="1"/>
  <c r="C14211" i="1" s="1"/>
  <c r="H14210" i="1"/>
  <c r="C14210" i="1"/>
  <c r="H14209" i="1"/>
  <c r="C14209" i="1"/>
  <c r="H14208" i="1"/>
  <c r="C14208" i="1"/>
  <c r="H14207" i="1"/>
  <c r="C14207" i="1" s="1"/>
  <c r="H14206" i="1"/>
  <c r="C14206" i="1"/>
  <c r="H14205" i="1"/>
  <c r="C14205" i="1"/>
  <c r="H14204" i="1"/>
  <c r="C14204" i="1"/>
  <c r="H14203" i="1"/>
  <c r="C14203" i="1" s="1"/>
  <c r="H14202" i="1"/>
  <c r="C14202" i="1"/>
  <c r="H14201" i="1"/>
  <c r="C14201" i="1"/>
  <c r="H14200" i="1"/>
  <c r="C14200" i="1" s="1"/>
  <c r="H14199" i="1"/>
  <c r="C14199" i="1" s="1"/>
  <c r="H14198" i="1"/>
  <c r="C14198" i="1"/>
  <c r="H14197" i="1"/>
  <c r="C14197" i="1"/>
  <c r="H14196" i="1"/>
  <c r="C14196" i="1"/>
  <c r="H14195" i="1"/>
  <c r="C14195" i="1" s="1"/>
  <c r="H14194" i="1"/>
  <c r="C14194" i="1"/>
  <c r="H14193" i="1"/>
  <c r="C14193" i="1"/>
  <c r="H14192" i="1"/>
  <c r="C14192" i="1" s="1"/>
  <c r="H14191" i="1"/>
  <c r="C14191" i="1" s="1"/>
  <c r="H14190" i="1"/>
  <c r="C14190" i="1"/>
  <c r="H14189" i="1"/>
  <c r="C14189" i="1"/>
  <c r="H14188" i="1"/>
  <c r="C14188" i="1"/>
  <c r="H14187" i="1"/>
  <c r="C14187" i="1" s="1"/>
  <c r="H14186" i="1"/>
  <c r="C14186" i="1"/>
  <c r="H14185" i="1"/>
  <c r="C14185" i="1"/>
  <c r="H14184" i="1"/>
  <c r="C14184" i="1" s="1"/>
  <c r="H14183" i="1"/>
  <c r="C14183" i="1" s="1"/>
  <c r="H14182" i="1"/>
  <c r="C14182" i="1"/>
  <c r="H14181" i="1"/>
  <c r="C14181" i="1"/>
  <c r="H14180" i="1"/>
  <c r="C14180" i="1"/>
  <c r="H14179" i="1"/>
  <c r="C14179" i="1" s="1"/>
  <c r="H14178" i="1"/>
  <c r="C14178" i="1"/>
  <c r="H14177" i="1"/>
  <c r="C14177" i="1" s="1"/>
  <c r="H14176" i="1"/>
  <c r="C14176" i="1"/>
  <c r="H14175" i="1"/>
  <c r="C14175" i="1" s="1"/>
  <c r="H14174" i="1"/>
  <c r="C14174" i="1"/>
  <c r="H14173" i="1"/>
  <c r="C14173" i="1"/>
  <c r="H14172" i="1"/>
  <c r="C14172" i="1"/>
  <c r="H14171" i="1"/>
  <c r="C14171" i="1" s="1"/>
  <c r="H14170" i="1"/>
  <c r="C14170" i="1"/>
  <c r="H14169" i="1"/>
  <c r="C14169" i="1" s="1"/>
  <c r="H14168" i="1"/>
  <c r="C14168" i="1" s="1"/>
  <c r="H14167" i="1"/>
  <c r="C14167" i="1" s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4" i="1"/>
  <c r="C5985" i="1"/>
  <c r="C5986" i="1"/>
  <c r="C5987" i="1"/>
  <c r="C5988" i="1"/>
  <c r="C5989" i="1"/>
  <c r="C5990" i="1"/>
  <c r="C5991" i="1"/>
  <c r="C5992" i="1"/>
  <c r="C5993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6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29" i="1"/>
  <c r="C6130" i="1"/>
  <c r="C6131" i="1"/>
  <c r="C6132" i="1"/>
  <c r="C6133" i="1"/>
  <c r="C6134" i="1"/>
  <c r="C6135" i="1"/>
  <c r="C6136" i="1"/>
  <c r="C6137" i="1"/>
  <c r="C6138" i="1"/>
  <c r="C6139" i="1"/>
  <c r="C6140" i="1"/>
  <c r="C6141" i="1"/>
  <c r="C6142" i="1"/>
  <c r="C6143" i="1"/>
  <c r="C6144" i="1"/>
  <c r="C6145" i="1"/>
  <c r="C6146" i="1"/>
  <c r="C6147" i="1"/>
  <c r="C6148" i="1"/>
  <c r="C6149" i="1"/>
  <c r="C6150" i="1"/>
  <c r="C6151" i="1"/>
  <c r="C6152" i="1"/>
  <c r="C6153" i="1"/>
  <c r="C6154" i="1"/>
  <c r="C6155" i="1"/>
  <c r="C6156" i="1"/>
  <c r="C6157" i="1"/>
  <c r="C6158" i="1"/>
  <c r="C6159" i="1"/>
  <c r="C6160" i="1"/>
  <c r="C6161" i="1"/>
  <c r="C6162" i="1"/>
  <c r="C6163" i="1"/>
  <c r="C6164" i="1"/>
  <c r="C6165" i="1"/>
  <c r="C6166" i="1"/>
  <c r="C6167" i="1"/>
  <c r="C6168" i="1"/>
  <c r="C6169" i="1"/>
  <c r="C6170" i="1"/>
  <c r="C6171" i="1"/>
  <c r="C6172" i="1"/>
  <c r="C6173" i="1"/>
  <c r="C6174" i="1"/>
  <c r="C6175" i="1"/>
  <c r="C6176" i="1"/>
  <c r="C6177" i="1"/>
  <c r="C6178" i="1"/>
  <c r="C6179" i="1"/>
  <c r="C6180" i="1"/>
  <c r="C6181" i="1"/>
  <c r="C6182" i="1"/>
  <c r="C6183" i="1"/>
  <c r="C6184" i="1"/>
  <c r="C6185" i="1"/>
  <c r="C6186" i="1"/>
  <c r="C6187" i="1"/>
  <c r="C6188" i="1"/>
  <c r="C6189" i="1"/>
  <c r="C6190" i="1"/>
  <c r="C6191" i="1"/>
  <c r="C6192" i="1"/>
  <c r="C6193" i="1"/>
  <c r="C6194" i="1"/>
  <c r="C6195" i="1"/>
  <c r="C6196" i="1"/>
  <c r="C6197" i="1"/>
  <c r="C6198" i="1"/>
  <c r="C6199" i="1"/>
  <c r="C6200" i="1"/>
  <c r="C6201" i="1"/>
  <c r="C6202" i="1"/>
  <c r="C6203" i="1"/>
  <c r="C6204" i="1"/>
  <c r="C6205" i="1"/>
  <c r="C6206" i="1"/>
  <c r="C6207" i="1"/>
  <c r="C6208" i="1"/>
  <c r="C6209" i="1"/>
  <c r="C6210" i="1"/>
  <c r="C6211" i="1"/>
  <c r="C6212" i="1"/>
  <c r="C6213" i="1"/>
  <c r="C6214" i="1"/>
  <c r="C6215" i="1"/>
  <c r="C6216" i="1"/>
  <c r="C6217" i="1"/>
  <c r="C6218" i="1"/>
  <c r="C6219" i="1"/>
  <c r="C6220" i="1"/>
  <c r="C6221" i="1"/>
  <c r="C6222" i="1"/>
  <c r="C6223" i="1"/>
  <c r="C6224" i="1"/>
  <c r="C6225" i="1"/>
  <c r="C6226" i="1"/>
  <c r="C6227" i="1"/>
  <c r="C6228" i="1"/>
  <c r="C6229" i="1"/>
  <c r="C6230" i="1"/>
  <c r="C6231" i="1"/>
  <c r="C6232" i="1"/>
  <c r="C6233" i="1"/>
  <c r="C6234" i="1"/>
  <c r="C6235" i="1"/>
  <c r="C6236" i="1"/>
  <c r="C6237" i="1"/>
  <c r="C6238" i="1"/>
  <c r="C6239" i="1"/>
  <c r="C6240" i="1"/>
  <c r="C6241" i="1"/>
  <c r="C6242" i="1"/>
  <c r="C6243" i="1"/>
  <c r="C6244" i="1"/>
  <c r="C6245" i="1"/>
  <c r="C6246" i="1"/>
  <c r="C6247" i="1"/>
  <c r="C6248" i="1"/>
  <c r="C6249" i="1"/>
  <c r="C6250" i="1"/>
  <c r="C6251" i="1"/>
  <c r="C6252" i="1"/>
  <c r="C6253" i="1"/>
  <c r="C6254" i="1"/>
  <c r="C6255" i="1"/>
  <c r="C6256" i="1"/>
  <c r="C6257" i="1"/>
  <c r="C6258" i="1"/>
  <c r="C6259" i="1"/>
  <c r="C6260" i="1"/>
  <c r="C6261" i="1"/>
  <c r="C6262" i="1"/>
  <c r="C6263" i="1"/>
  <c r="C6264" i="1"/>
  <c r="C6265" i="1"/>
  <c r="C6266" i="1"/>
  <c r="C6267" i="1"/>
  <c r="C6268" i="1"/>
  <c r="C6269" i="1"/>
  <c r="C6270" i="1"/>
  <c r="C6271" i="1"/>
  <c r="C6272" i="1"/>
  <c r="C6273" i="1"/>
  <c r="C6274" i="1"/>
  <c r="C6275" i="1"/>
  <c r="C6276" i="1"/>
  <c r="C6277" i="1"/>
  <c r="C6278" i="1"/>
  <c r="C6279" i="1"/>
  <c r="C6280" i="1"/>
  <c r="C6281" i="1"/>
  <c r="C6282" i="1"/>
  <c r="C6283" i="1"/>
  <c r="C6284" i="1"/>
  <c r="C6285" i="1"/>
  <c r="C6286" i="1"/>
  <c r="C6287" i="1"/>
  <c r="C6288" i="1"/>
  <c r="C6289" i="1"/>
  <c r="C6290" i="1"/>
  <c r="C6291" i="1"/>
  <c r="C6292" i="1"/>
  <c r="C6293" i="1"/>
  <c r="C6294" i="1"/>
  <c r="C6295" i="1"/>
  <c r="C6296" i="1"/>
  <c r="C6297" i="1"/>
  <c r="C6298" i="1"/>
  <c r="C6299" i="1"/>
  <c r="C6300" i="1"/>
  <c r="C6301" i="1"/>
  <c r="C6302" i="1"/>
  <c r="C6303" i="1"/>
  <c r="C6304" i="1"/>
  <c r="C6305" i="1"/>
  <c r="C6306" i="1"/>
  <c r="C6307" i="1"/>
  <c r="C6308" i="1"/>
  <c r="C6309" i="1"/>
  <c r="C6310" i="1"/>
  <c r="C6311" i="1"/>
  <c r="C6312" i="1"/>
  <c r="C6313" i="1"/>
  <c r="C6314" i="1"/>
  <c r="C6315" i="1"/>
  <c r="C6316" i="1"/>
  <c r="C6317" i="1"/>
  <c r="C6318" i="1"/>
  <c r="C6319" i="1"/>
  <c r="C6320" i="1"/>
  <c r="C6321" i="1"/>
  <c r="C6322" i="1"/>
  <c r="C6323" i="1"/>
  <c r="C6324" i="1"/>
  <c r="C6325" i="1"/>
  <c r="C6326" i="1"/>
  <c r="C6327" i="1"/>
  <c r="C6328" i="1"/>
  <c r="C6329" i="1"/>
  <c r="C6330" i="1"/>
  <c r="C6331" i="1"/>
  <c r="C6332" i="1"/>
  <c r="C6333" i="1"/>
  <c r="C6334" i="1"/>
  <c r="C6335" i="1"/>
  <c r="C6336" i="1"/>
  <c r="C6337" i="1"/>
  <c r="C6338" i="1"/>
  <c r="C6339" i="1"/>
  <c r="C6340" i="1"/>
  <c r="C6341" i="1"/>
  <c r="C6342" i="1"/>
  <c r="C6343" i="1"/>
  <c r="C6344" i="1"/>
  <c r="C6345" i="1"/>
  <c r="C6346" i="1"/>
  <c r="C6347" i="1"/>
  <c r="C6348" i="1"/>
  <c r="C6349" i="1"/>
  <c r="C6350" i="1"/>
  <c r="C6351" i="1"/>
  <c r="C6352" i="1"/>
  <c r="C6353" i="1"/>
  <c r="C6354" i="1"/>
  <c r="C6355" i="1"/>
  <c r="C6356" i="1"/>
  <c r="C6357" i="1"/>
  <c r="C6358" i="1"/>
  <c r="C6359" i="1"/>
  <c r="C6360" i="1"/>
  <c r="C6361" i="1"/>
  <c r="C6362" i="1"/>
  <c r="C6363" i="1"/>
  <c r="C6364" i="1"/>
  <c r="C6365" i="1"/>
  <c r="C6366" i="1"/>
  <c r="C6367" i="1"/>
  <c r="C6368" i="1"/>
  <c r="C6369" i="1"/>
  <c r="C6370" i="1"/>
  <c r="C6371" i="1"/>
  <c r="C6372" i="1"/>
  <c r="C6373" i="1"/>
  <c r="C6374" i="1"/>
  <c r="C6375" i="1"/>
  <c r="C6376" i="1"/>
  <c r="C6377" i="1"/>
  <c r="C6378" i="1"/>
  <c r="C6379" i="1"/>
  <c r="C6380" i="1"/>
  <c r="C6381" i="1"/>
  <c r="C6382" i="1"/>
  <c r="C6383" i="1"/>
  <c r="C6384" i="1"/>
  <c r="C6385" i="1"/>
  <c r="C6386" i="1"/>
  <c r="C6387" i="1"/>
  <c r="C6388" i="1"/>
  <c r="C6389" i="1"/>
  <c r="C6390" i="1"/>
  <c r="C6391" i="1"/>
  <c r="C6392" i="1"/>
  <c r="C6393" i="1"/>
  <c r="C6394" i="1"/>
  <c r="C6395" i="1"/>
  <c r="C6396" i="1"/>
  <c r="C6397" i="1"/>
  <c r="C6398" i="1"/>
  <c r="C6399" i="1"/>
  <c r="C6400" i="1"/>
  <c r="C6401" i="1"/>
  <c r="C6402" i="1"/>
  <c r="C6403" i="1"/>
  <c r="C6404" i="1"/>
  <c r="C6405" i="1"/>
  <c r="C6406" i="1"/>
  <c r="C6407" i="1"/>
  <c r="C6408" i="1"/>
  <c r="C6409" i="1"/>
  <c r="C6410" i="1"/>
  <c r="C6411" i="1"/>
  <c r="C6412" i="1"/>
  <c r="C6413" i="1"/>
  <c r="C6414" i="1"/>
  <c r="C6415" i="1"/>
  <c r="C6416" i="1"/>
  <c r="C6417" i="1"/>
  <c r="C6418" i="1"/>
  <c r="C6419" i="1"/>
  <c r="C6420" i="1"/>
  <c r="C6421" i="1"/>
  <c r="C6422" i="1"/>
  <c r="C6423" i="1"/>
  <c r="C6424" i="1"/>
  <c r="C6425" i="1"/>
  <c r="C6426" i="1"/>
  <c r="C6427" i="1"/>
  <c r="C6428" i="1"/>
  <c r="C6429" i="1"/>
  <c r="C6430" i="1"/>
  <c r="C6431" i="1"/>
  <c r="C6432" i="1"/>
  <c r="C6433" i="1"/>
  <c r="C6434" i="1"/>
  <c r="C6435" i="1"/>
  <c r="C6436" i="1"/>
  <c r="C6437" i="1"/>
  <c r="C6438" i="1"/>
  <c r="C6439" i="1"/>
  <c r="C6440" i="1"/>
  <c r="C6441" i="1"/>
  <c r="C6442" i="1"/>
  <c r="C6443" i="1"/>
  <c r="C6444" i="1"/>
  <c r="C6445" i="1"/>
  <c r="C6446" i="1"/>
  <c r="C6447" i="1"/>
  <c r="C6448" i="1"/>
  <c r="C6449" i="1"/>
  <c r="C6450" i="1"/>
  <c r="C6451" i="1"/>
  <c r="C6452" i="1"/>
  <c r="C6453" i="1"/>
  <c r="C6454" i="1"/>
  <c r="C6455" i="1"/>
  <c r="C6456" i="1"/>
  <c r="C6457" i="1"/>
  <c r="C6458" i="1"/>
  <c r="C6459" i="1"/>
  <c r="C6460" i="1"/>
  <c r="C6461" i="1"/>
  <c r="C6462" i="1"/>
  <c r="C6463" i="1"/>
  <c r="C6464" i="1"/>
  <c r="C6465" i="1"/>
  <c r="C6466" i="1"/>
  <c r="C6467" i="1"/>
  <c r="C6468" i="1"/>
  <c r="C6469" i="1"/>
  <c r="C6470" i="1"/>
  <c r="C6471" i="1"/>
  <c r="C6472" i="1"/>
  <c r="C6473" i="1"/>
  <c r="C6474" i="1"/>
  <c r="C6475" i="1"/>
  <c r="C6476" i="1"/>
  <c r="C6477" i="1"/>
  <c r="C6478" i="1"/>
  <c r="C6479" i="1"/>
  <c r="C6480" i="1"/>
  <c r="C6481" i="1"/>
  <c r="C6482" i="1"/>
  <c r="C6483" i="1"/>
  <c r="C6484" i="1"/>
  <c r="C6485" i="1"/>
  <c r="C6486" i="1"/>
  <c r="C6487" i="1"/>
  <c r="C6488" i="1"/>
  <c r="C6489" i="1"/>
  <c r="C6490" i="1"/>
  <c r="C6491" i="1"/>
  <c r="C6492" i="1"/>
  <c r="C6493" i="1"/>
  <c r="C6494" i="1"/>
  <c r="C6495" i="1"/>
  <c r="C6496" i="1"/>
  <c r="C6497" i="1"/>
  <c r="C6498" i="1"/>
  <c r="C6499" i="1"/>
  <c r="C6500" i="1"/>
  <c r="C6501" i="1"/>
  <c r="C6502" i="1"/>
  <c r="C6503" i="1"/>
  <c r="C6504" i="1"/>
  <c r="C6505" i="1"/>
  <c r="C6506" i="1"/>
  <c r="C6507" i="1"/>
  <c r="C6508" i="1"/>
  <c r="C6509" i="1"/>
  <c r="C6510" i="1"/>
  <c r="C6511" i="1"/>
  <c r="C6512" i="1"/>
  <c r="C6513" i="1"/>
  <c r="C6514" i="1"/>
  <c r="C6515" i="1"/>
  <c r="C6516" i="1"/>
  <c r="C6517" i="1"/>
  <c r="C6518" i="1"/>
  <c r="C6519" i="1"/>
  <c r="C6520" i="1"/>
  <c r="C6521" i="1"/>
  <c r="C6522" i="1"/>
  <c r="C6523" i="1"/>
  <c r="C6524" i="1"/>
  <c r="C6525" i="1"/>
  <c r="C6526" i="1"/>
  <c r="C6527" i="1"/>
  <c r="C6528" i="1"/>
  <c r="C6529" i="1"/>
  <c r="C6530" i="1"/>
  <c r="C6531" i="1"/>
  <c r="C6532" i="1"/>
  <c r="C6533" i="1"/>
  <c r="C6534" i="1"/>
  <c r="C6535" i="1"/>
  <c r="C6536" i="1"/>
  <c r="C6537" i="1"/>
  <c r="C6538" i="1"/>
  <c r="C6539" i="1"/>
  <c r="C6540" i="1"/>
  <c r="C6541" i="1"/>
  <c r="C6542" i="1"/>
  <c r="C6543" i="1"/>
  <c r="C6544" i="1"/>
  <c r="C6545" i="1"/>
  <c r="C6546" i="1"/>
  <c r="C6547" i="1"/>
  <c r="C6548" i="1"/>
  <c r="C6549" i="1"/>
  <c r="C6550" i="1"/>
  <c r="C6551" i="1"/>
  <c r="C6552" i="1"/>
  <c r="C6553" i="1"/>
  <c r="C6554" i="1"/>
  <c r="C6555" i="1"/>
  <c r="C6556" i="1"/>
  <c r="C6557" i="1"/>
  <c r="C6558" i="1"/>
  <c r="C6559" i="1"/>
  <c r="C6560" i="1"/>
  <c r="C6561" i="1"/>
  <c r="C6562" i="1"/>
  <c r="C6563" i="1"/>
  <c r="C6564" i="1"/>
  <c r="C6565" i="1"/>
  <c r="C6566" i="1"/>
  <c r="C6567" i="1"/>
  <c r="C6568" i="1"/>
  <c r="C6569" i="1"/>
  <c r="C6570" i="1"/>
  <c r="C6571" i="1"/>
  <c r="C6572" i="1"/>
  <c r="C6573" i="1"/>
  <c r="C6574" i="1"/>
  <c r="C6575" i="1"/>
  <c r="C6576" i="1"/>
  <c r="C6577" i="1"/>
  <c r="C6578" i="1"/>
  <c r="C6579" i="1"/>
  <c r="C6580" i="1"/>
  <c r="C6581" i="1"/>
  <c r="C6582" i="1"/>
  <c r="C6583" i="1"/>
  <c r="C6584" i="1"/>
  <c r="C6585" i="1"/>
  <c r="C6586" i="1"/>
  <c r="C6587" i="1"/>
  <c r="C6588" i="1"/>
  <c r="C6589" i="1"/>
  <c r="C6590" i="1"/>
  <c r="C6591" i="1"/>
  <c r="C6592" i="1"/>
  <c r="C6593" i="1"/>
  <c r="C6594" i="1"/>
  <c r="C6595" i="1"/>
  <c r="C6596" i="1"/>
  <c r="C6597" i="1"/>
  <c r="C6598" i="1"/>
  <c r="C6599" i="1"/>
  <c r="C6600" i="1"/>
  <c r="C6601" i="1"/>
  <c r="C6602" i="1"/>
  <c r="C6603" i="1"/>
  <c r="C6604" i="1"/>
  <c r="C6605" i="1"/>
  <c r="C6606" i="1"/>
  <c r="C6607" i="1"/>
  <c r="C6608" i="1"/>
  <c r="C6609" i="1"/>
  <c r="C6610" i="1"/>
  <c r="C6611" i="1"/>
  <c r="C6612" i="1"/>
  <c r="C6613" i="1"/>
  <c r="C6614" i="1"/>
  <c r="C6615" i="1"/>
  <c r="C6616" i="1"/>
  <c r="C6617" i="1"/>
  <c r="C6618" i="1"/>
  <c r="C6619" i="1"/>
  <c r="C6620" i="1"/>
  <c r="C6621" i="1"/>
  <c r="C6622" i="1"/>
  <c r="C6623" i="1"/>
  <c r="C6624" i="1"/>
  <c r="C6625" i="1"/>
  <c r="C6626" i="1"/>
  <c r="C6627" i="1"/>
  <c r="C6628" i="1"/>
  <c r="C6629" i="1"/>
  <c r="C6630" i="1"/>
  <c r="C6631" i="1"/>
  <c r="C6632" i="1"/>
  <c r="C6633" i="1"/>
  <c r="C6634" i="1"/>
  <c r="C6635" i="1"/>
  <c r="C6636" i="1"/>
  <c r="C6637" i="1"/>
  <c r="C6638" i="1"/>
  <c r="C6639" i="1"/>
  <c r="C6640" i="1"/>
  <c r="C6641" i="1"/>
  <c r="C6642" i="1"/>
  <c r="C6643" i="1"/>
  <c r="C6644" i="1"/>
  <c r="C6645" i="1"/>
  <c r="C6646" i="1"/>
  <c r="C6647" i="1"/>
  <c r="C6648" i="1"/>
  <c r="C6649" i="1"/>
  <c r="C6650" i="1"/>
  <c r="C6651" i="1"/>
  <c r="C6652" i="1"/>
  <c r="C6653" i="1"/>
  <c r="C6654" i="1"/>
  <c r="C6655" i="1"/>
  <c r="C6656" i="1"/>
  <c r="C6657" i="1"/>
  <c r="C6658" i="1"/>
  <c r="C6659" i="1"/>
  <c r="C6660" i="1"/>
  <c r="C6661" i="1"/>
  <c r="C6662" i="1"/>
  <c r="C6663" i="1"/>
  <c r="C6664" i="1"/>
  <c r="C6665" i="1"/>
  <c r="C6666" i="1"/>
  <c r="C6667" i="1"/>
  <c r="C6668" i="1"/>
  <c r="C6669" i="1"/>
  <c r="C6670" i="1"/>
  <c r="C6671" i="1"/>
  <c r="C6672" i="1"/>
  <c r="C6673" i="1"/>
  <c r="C6674" i="1"/>
  <c r="C6675" i="1"/>
  <c r="C6676" i="1"/>
  <c r="C6677" i="1"/>
  <c r="C6678" i="1"/>
  <c r="C6679" i="1"/>
  <c r="C6680" i="1"/>
  <c r="C6681" i="1"/>
  <c r="C6682" i="1"/>
  <c r="C6683" i="1"/>
  <c r="C6684" i="1"/>
  <c r="C6685" i="1"/>
  <c r="C6686" i="1"/>
  <c r="C6687" i="1"/>
  <c r="C6688" i="1"/>
  <c r="C6690" i="1"/>
  <c r="C6691" i="1"/>
  <c r="C6692" i="1"/>
  <c r="C6693" i="1"/>
  <c r="C6694" i="1"/>
  <c r="C6695" i="1"/>
  <c r="C6696" i="1"/>
  <c r="C6697" i="1"/>
  <c r="C6698" i="1"/>
  <c r="C6699" i="1"/>
  <c r="C6700" i="1"/>
  <c r="C6701" i="1"/>
  <c r="C6702" i="1"/>
  <c r="C6703" i="1"/>
  <c r="C6704" i="1"/>
  <c r="C6705" i="1"/>
  <c r="C6706" i="1"/>
  <c r="C6707" i="1"/>
  <c r="C6708" i="1"/>
  <c r="C6709" i="1"/>
  <c r="C6710" i="1"/>
  <c r="C6711" i="1"/>
  <c r="C6712" i="1"/>
  <c r="C6713" i="1"/>
  <c r="C6714" i="1"/>
  <c r="C6715" i="1"/>
  <c r="C6716" i="1"/>
  <c r="C6717" i="1"/>
  <c r="C6718" i="1"/>
  <c r="C6719" i="1"/>
  <c r="C6721" i="1"/>
  <c r="C6722" i="1"/>
  <c r="C6723" i="1"/>
  <c r="C6724" i="1"/>
  <c r="C6725" i="1"/>
  <c r="C6726" i="1"/>
  <c r="C6727" i="1"/>
  <c r="C6728" i="1"/>
  <c r="C6729" i="1"/>
  <c r="C6730" i="1"/>
  <c r="C6731" i="1"/>
  <c r="C6732" i="1"/>
  <c r="C6733" i="1"/>
  <c r="C6734" i="1"/>
  <c r="C6735" i="1"/>
  <c r="C6736" i="1"/>
  <c r="C6737" i="1"/>
  <c r="C6738" i="1"/>
  <c r="C6739" i="1"/>
  <c r="C6740" i="1"/>
  <c r="C6741" i="1"/>
  <c r="C6742" i="1"/>
  <c r="C6743" i="1"/>
  <c r="C6744" i="1"/>
  <c r="C6745" i="1"/>
  <c r="C6746" i="1"/>
  <c r="C6747" i="1"/>
  <c r="C6748" i="1"/>
  <c r="C6749" i="1"/>
  <c r="C6750" i="1"/>
  <c r="C6751" i="1"/>
  <c r="C6752" i="1"/>
  <c r="C6753" i="1"/>
  <c r="C6754" i="1"/>
  <c r="C6755" i="1"/>
  <c r="C6756" i="1"/>
  <c r="C6757" i="1"/>
  <c r="C6758" i="1"/>
  <c r="C6759" i="1"/>
  <c r="C6760" i="1"/>
  <c r="C6761" i="1"/>
  <c r="C6762" i="1"/>
  <c r="C6763" i="1"/>
  <c r="C6764" i="1"/>
  <c r="C6765" i="1"/>
  <c r="C6766" i="1"/>
  <c r="C6767" i="1"/>
  <c r="C6768" i="1"/>
  <c r="C6769" i="1"/>
  <c r="C6770" i="1"/>
  <c r="C6771" i="1"/>
  <c r="C6772" i="1"/>
  <c r="C6773" i="1"/>
  <c r="C6774" i="1"/>
  <c r="C6775" i="1"/>
  <c r="C6776" i="1"/>
  <c r="C6777" i="1"/>
  <c r="C6778" i="1"/>
  <c r="C6779" i="1"/>
  <c r="C6780" i="1"/>
  <c r="C6781" i="1"/>
  <c r="C6782" i="1"/>
  <c r="C6783" i="1"/>
  <c r="C6784" i="1"/>
  <c r="C6785" i="1"/>
  <c r="C6786" i="1"/>
  <c r="C6787" i="1"/>
  <c r="C6788" i="1"/>
  <c r="C6789" i="1"/>
  <c r="C6790" i="1"/>
  <c r="C6791" i="1"/>
  <c r="C6792" i="1"/>
  <c r="C6793" i="1"/>
  <c r="C6794" i="1"/>
  <c r="C6795" i="1"/>
  <c r="C6796" i="1"/>
  <c r="C6797" i="1"/>
  <c r="C6798" i="1"/>
  <c r="C6799" i="1"/>
  <c r="C6800" i="1"/>
  <c r="C6801" i="1"/>
  <c r="C6802" i="1"/>
  <c r="C6803" i="1"/>
  <c r="C6804" i="1"/>
  <c r="C6805" i="1"/>
  <c r="C6806" i="1"/>
  <c r="C6807" i="1"/>
  <c r="C6808" i="1"/>
  <c r="C6809" i="1"/>
  <c r="C6810" i="1"/>
  <c r="C6811" i="1"/>
  <c r="C6812" i="1"/>
  <c r="C6813" i="1"/>
  <c r="C6814" i="1"/>
  <c r="C6815" i="1"/>
  <c r="C6816" i="1"/>
  <c r="C6817" i="1"/>
  <c r="C6818" i="1"/>
  <c r="C6819" i="1"/>
  <c r="C6820" i="1"/>
  <c r="C6821" i="1"/>
  <c r="C6822" i="1"/>
  <c r="C6823" i="1"/>
  <c r="C6824" i="1"/>
  <c r="C6825" i="1"/>
  <c r="C6826" i="1"/>
  <c r="C6827" i="1"/>
  <c r="C6828" i="1"/>
  <c r="C6829" i="1"/>
  <c r="C6830" i="1"/>
  <c r="C6831" i="1"/>
  <c r="C6832" i="1"/>
  <c r="C6833" i="1"/>
  <c r="C6834" i="1"/>
  <c r="C6835" i="1"/>
  <c r="C6836" i="1"/>
  <c r="C6837" i="1"/>
  <c r="C6838" i="1"/>
  <c r="C6839" i="1"/>
  <c r="C6840" i="1"/>
  <c r="C6841" i="1"/>
  <c r="C6842" i="1"/>
  <c r="C6843" i="1"/>
  <c r="C6844" i="1"/>
  <c r="C6845" i="1"/>
  <c r="C6846" i="1"/>
  <c r="C6847" i="1"/>
  <c r="C6848" i="1"/>
  <c r="C6849" i="1"/>
  <c r="C6850" i="1"/>
  <c r="C6851" i="1"/>
  <c r="C6852" i="1"/>
  <c r="C6853" i="1"/>
  <c r="C6854" i="1"/>
  <c r="C6855" i="1"/>
  <c r="C6856" i="1"/>
  <c r="C6857" i="1"/>
  <c r="C6858" i="1"/>
  <c r="C6859" i="1"/>
  <c r="C6860" i="1"/>
  <c r="C6861" i="1"/>
  <c r="C6862" i="1"/>
  <c r="C6863" i="1"/>
  <c r="C6864" i="1"/>
  <c r="C6865" i="1"/>
  <c r="C6866" i="1"/>
  <c r="C6867" i="1"/>
  <c r="C6868" i="1"/>
  <c r="C6869" i="1"/>
  <c r="C6870" i="1"/>
  <c r="C6871" i="1"/>
  <c r="C6872" i="1"/>
  <c r="C6873" i="1"/>
  <c r="C6874" i="1"/>
  <c r="C6875" i="1"/>
  <c r="C6876" i="1"/>
  <c r="C6877" i="1"/>
  <c r="C6878" i="1"/>
  <c r="C6879" i="1"/>
  <c r="C6880" i="1"/>
  <c r="C6881" i="1"/>
  <c r="C6882" i="1"/>
  <c r="C6883" i="1"/>
  <c r="C6884" i="1"/>
  <c r="C6885" i="1"/>
  <c r="C6886" i="1"/>
  <c r="C6887" i="1"/>
  <c r="C6888" i="1"/>
  <c r="C6889" i="1"/>
  <c r="C6890" i="1"/>
  <c r="C6891" i="1"/>
  <c r="C6892" i="1"/>
  <c r="C6893" i="1"/>
  <c r="C6894" i="1"/>
  <c r="C6895" i="1"/>
  <c r="C6896" i="1"/>
  <c r="C6897" i="1"/>
  <c r="C6898" i="1"/>
  <c r="C6899" i="1"/>
  <c r="C6900" i="1"/>
  <c r="C6901" i="1"/>
  <c r="C6902" i="1"/>
  <c r="C6903" i="1"/>
  <c r="C6904" i="1"/>
  <c r="C6905" i="1"/>
  <c r="C6906" i="1"/>
  <c r="C6907" i="1"/>
  <c r="C6908" i="1"/>
  <c r="C6909" i="1"/>
  <c r="C6910" i="1"/>
  <c r="C6911" i="1"/>
  <c r="C6912" i="1"/>
  <c r="C6913" i="1"/>
  <c r="C6914" i="1"/>
  <c r="C6915" i="1"/>
  <c r="C6916" i="1"/>
  <c r="C6917" i="1"/>
  <c r="C6918" i="1"/>
  <c r="C6919" i="1"/>
  <c r="C6920" i="1"/>
  <c r="C6921" i="1"/>
  <c r="C6922" i="1"/>
  <c r="C6923" i="1"/>
  <c r="C6924" i="1"/>
  <c r="C6925" i="1"/>
  <c r="C6926" i="1"/>
  <c r="C6927" i="1"/>
  <c r="C6928" i="1"/>
  <c r="C6929" i="1"/>
  <c r="C6930" i="1"/>
  <c r="C6931" i="1"/>
  <c r="C6932" i="1"/>
  <c r="C6933" i="1"/>
  <c r="C6934" i="1"/>
  <c r="C6935" i="1"/>
  <c r="C6936" i="1"/>
  <c r="C6937" i="1"/>
  <c r="C6938" i="1"/>
  <c r="C6939" i="1"/>
  <c r="C6940" i="1"/>
  <c r="C6941" i="1"/>
  <c r="C6942" i="1"/>
  <c r="C6943" i="1"/>
  <c r="C6944" i="1"/>
  <c r="C6945" i="1"/>
  <c r="C6946" i="1"/>
  <c r="C6947" i="1"/>
  <c r="C6948" i="1"/>
  <c r="C6949" i="1"/>
  <c r="C6950" i="1"/>
  <c r="C6951" i="1"/>
  <c r="C6952" i="1"/>
  <c r="C6953" i="1"/>
  <c r="C6954" i="1"/>
  <c r="C6955" i="1"/>
  <c r="C6956" i="1"/>
  <c r="C6957" i="1"/>
  <c r="C6958" i="1"/>
  <c r="C6959" i="1"/>
  <c r="C6960" i="1"/>
  <c r="C6961" i="1"/>
  <c r="C6962" i="1"/>
  <c r="C6963" i="1"/>
  <c r="C6964" i="1"/>
  <c r="C6965" i="1"/>
  <c r="C6966" i="1"/>
  <c r="C6967" i="1"/>
  <c r="C6968" i="1"/>
  <c r="C6969" i="1"/>
  <c r="C6970" i="1"/>
  <c r="C6971" i="1"/>
  <c r="C6972" i="1"/>
  <c r="C6973" i="1"/>
  <c r="C6974" i="1"/>
  <c r="C6975" i="1"/>
  <c r="C6976" i="1"/>
  <c r="C6977" i="1"/>
  <c r="C6978" i="1"/>
  <c r="C6979" i="1"/>
  <c r="C6980" i="1"/>
  <c r="C6981" i="1"/>
  <c r="C6982" i="1"/>
  <c r="C6983" i="1"/>
  <c r="C6984" i="1"/>
  <c r="C6985" i="1"/>
  <c r="C6986" i="1"/>
  <c r="C6987" i="1"/>
  <c r="C6988" i="1"/>
  <c r="C6989" i="1"/>
  <c r="C6990" i="1"/>
  <c r="C6991" i="1"/>
  <c r="C6992" i="1"/>
  <c r="C6993" i="1"/>
  <c r="C6994" i="1"/>
  <c r="C6995" i="1"/>
  <c r="C6996" i="1"/>
  <c r="C6997" i="1"/>
  <c r="C6998" i="1"/>
  <c r="C6999" i="1"/>
  <c r="C7000" i="1"/>
  <c r="C7001" i="1"/>
  <c r="C7002" i="1"/>
  <c r="C7003" i="1"/>
  <c r="C7004" i="1"/>
  <c r="C7005" i="1"/>
  <c r="C7006" i="1"/>
  <c r="C7007" i="1"/>
  <c r="C7008" i="1"/>
  <c r="C7009" i="1"/>
  <c r="C7010" i="1"/>
  <c r="C7011" i="1"/>
  <c r="C7012" i="1"/>
  <c r="C7013" i="1"/>
  <c r="C7014" i="1"/>
  <c r="C7015" i="1"/>
  <c r="C7016" i="1"/>
  <c r="C7017" i="1"/>
  <c r="C7018" i="1"/>
  <c r="C7019" i="1"/>
  <c r="C7020" i="1"/>
  <c r="C7021" i="1"/>
  <c r="C7022" i="1"/>
  <c r="C7023" i="1"/>
  <c r="C7024" i="1"/>
  <c r="C7025" i="1"/>
  <c r="C7026" i="1"/>
  <c r="C7027" i="1"/>
  <c r="C7028" i="1"/>
  <c r="C7029" i="1"/>
  <c r="C7030" i="1"/>
  <c r="C7031" i="1"/>
  <c r="C7032" i="1"/>
  <c r="C7033" i="1"/>
  <c r="C7034" i="1"/>
  <c r="C7035" i="1"/>
  <c r="C7036" i="1"/>
  <c r="C7037" i="1"/>
  <c r="C7038" i="1"/>
  <c r="C7039" i="1"/>
  <c r="C7040" i="1"/>
  <c r="C7041" i="1"/>
  <c r="C7042" i="1"/>
  <c r="C7043" i="1"/>
  <c r="C7044" i="1"/>
  <c r="C7045" i="1"/>
  <c r="C7046" i="1"/>
  <c r="C7047" i="1"/>
  <c r="C7048" i="1"/>
  <c r="C7049" i="1"/>
  <c r="C7050" i="1"/>
  <c r="C7051" i="1"/>
  <c r="C7052" i="1"/>
  <c r="C7053" i="1"/>
  <c r="C7054" i="1"/>
  <c r="C7055" i="1"/>
  <c r="C7056" i="1"/>
  <c r="C7057" i="1"/>
  <c r="C7058" i="1"/>
  <c r="C7059" i="1"/>
  <c r="C7060" i="1"/>
  <c r="C7061" i="1"/>
  <c r="C7062" i="1"/>
  <c r="C7063" i="1"/>
  <c r="C7064" i="1"/>
  <c r="C7065" i="1"/>
  <c r="C7066" i="1"/>
  <c r="C7067" i="1"/>
  <c r="C7068" i="1"/>
  <c r="C7069" i="1"/>
  <c r="C7070" i="1"/>
  <c r="C7071" i="1"/>
  <c r="C7072" i="1"/>
  <c r="C7073" i="1"/>
  <c r="C7074" i="1"/>
  <c r="C7075" i="1"/>
  <c r="C7076" i="1"/>
  <c r="C7077" i="1"/>
  <c r="C7078" i="1"/>
  <c r="C7079" i="1"/>
  <c r="C7080" i="1"/>
  <c r="C7081" i="1"/>
  <c r="C7082" i="1"/>
  <c r="C7083" i="1"/>
  <c r="C7084" i="1"/>
  <c r="C7085" i="1"/>
  <c r="C7086" i="1"/>
  <c r="C7087" i="1"/>
  <c r="C7088" i="1"/>
  <c r="C7089" i="1"/>
  <c r="C7090" i="1"/>
  <c r="C7091" i="1"/>
  <c r="C7092" i="1"/>
  <c r="C7093" i="1"/>
  <c r="C7094" i="1"/>
  <c r="C7095" i="1"/>
  <c r="C7096" i="1"/>
  <c r="C7097" i="1"/>
  <c r="C7098" i="1"/>
  <c r="C7099" i="1"/>
  <c r="C7100" i="1"/>
  <c r="C7101" i="1"/>
  <c r="C7102" i="1"/>
  <c r="C7103" i="1"/>
  <c r="C7104" i="1"/>
  <c r="C7105" i="1"/>
  <c r="C7106" i="1"/>
  <c r="C7107" i="1"/>
  <c r="C7108" i="1"/>
  <c r="C7109" i="1"/>
  <c r="C7110" i="1"/>
  <c r="C7111" i="1"/>
  <c r="C7112" i="1"/>
  <c r="C7113" i="1"/>
  <c r="C7114" i="1"/>
  <c r="C7115" i="1"/>
  <c r="C7116" i="1"/>
  <c r="C7117" i="1"/>
  <c r="C7118" i="1"/>
  <c r="C7119" i="1"/>
  <c r="C7120" i="1"/>
  <c r="C7121" i="1"/>
  <c r="C7122" i="1"/>
  <c r="C7123" i="1"/>
  <c r="C7124" i="1"/>
  <c r="C7125" i="1"/>
  <c r="C7126" i="1"/>
  <c r="C7127" i="1"/>
  <c r="C7128" i="1"/>
  <c r="C7129" i="1"/>
  <c r="C7130" i="1"/>
  <c r="C7131" i="1"/>
  <c r="C7132" i="1"/>
  <c r="C7133" i="1"/>
  <c r="C7134" i="1"/>
  <c r="C7135" i="1"/>
  <c r="C7136" i="1"/>
  <c r="C7137" i="1"/>
  <c r="C7138" i="1"/>
  <c r="C7139" i="1"/>
  <c r="C7140" i="1"/>
  <c r="C7141" i="1"/>
  <c r="C7142" i="1"/>
  <c r="C7143" i="1"/>
  <c r="C7144" i="1"/>
  <c r="C7145" i="1"/>
  <c r="C7146" i="1"/>
  <c r="C7147" i="1"/>
  <c r="C7148" i="1"/>
  <c r="C7149" i="1"/>
  <c r="C7150" i="1"/>
  <c r="C7151" i="1"/>
  <c r="C7152" i="1"/>
  <c r="C7153" i="1"/>
  <c r="C7154" i="1"/>
  <c r="C7155" i="1"/>
  <c r="C7156" i="1"/>
  <c r="C7157" i="1"/>
  <c r="C7158" i="1"/>
  <c r="C7159" i="1"/>
  <c r="C7160" i="1"/>
  <c r="C7161" i="1"/>
  <c r="C7162" i="1"/>
  <c r="C7163" i="1"/>
  <c r="C7164" i="1"/>
  <c r="C7165" i="1"/>
  <c r="C7166" i="1"/>
  <c r="C7167" i="1"/>
  <c r="C7168" i="1"/>
  <c r="C7169" i="1"/>
  <c r="C7170" i="1"/>
  <c r="C7171" i="1"/>
  <c r="C7172" i="1"/>
  <c r="C7173" i="1"/>
  <c r="C7174" i="1"/>
  <c r="C7175" i="1"/>
  <c r="C7176" i="1"/>
  <c r="C7177" i="1"/>
  <c r="C7178" i="1"/>
  <c r="C7179" i="1"/>
  <c r="C7180" i="1"/>
  <c r="C7181" i="1"/>
  <c r="C7182" i="1"/>
  <c r="C7183" i="1"/>
  <c r="C7184" i="1"/>
  <c r="C7185" i="1"/>
  <c r="C7186" i="1"/>
  <c r="C7187" i="1"/>
  <c r="C7188" i="1"/>
  <c r="C7189" i="1"/>
  <c r="C7190" i="1"/>
  <c r="C7191" i="1"/>
  <c r="C7192" i="1"/>
  <c r="C7193" i="1"/>
  <c r="C7194" i="1"/>
  <c r="C7195" i="1"/>
  <c r="C7196" i="1"/>
  <c r="C7197" i="1"/>
  <c r="C7198" i="1"/>
  <c r="C7199" i="1"/>
  <c r="C7200" i="1"/>
  <c r="C7201" i="1"/>
  <c r="C7202" i="1"/>
  <c r="C7203" i="1"/>
  <c r="C7204" i="1"/>
  <c r="C7205" i="1"/>
  <c r="C7206" i="1"/>
  <c r="C7207" i="1"/>
  <c r="C7208" i="1"/>
  <c r="C7209" i="1"/>
  <c r="C7210" i="1"/>
  <c r="C7211" i="1"/>
  <c r="C7212" i="1"/>
  <c r="C7213" i="1"/>
  <c r="C7214" i="1"/>
  <c r="C7215" i="1"/>
  <c r="C7216" i="1"/>
  <c r="C7217" i="1"/>
  <c r="C7218" i="1"/>
  <c r="C7219" i="1"/>
  <c r="C7220" i="1"/>
  <c r="C7221" i="1"/>
  <c r="C7222" i="1"/>
  <c r="C7223" i="1"/>
  <c r="C7224" i="1"/>
  <c r="C7225" i="1"/>
  <c r="C7226" i="1"/>
  <c r="C7227" i="1"/>
  <c r="C7228" i="1"/>
  <c r="C7229" i="1"/>
  <c r="C7230" i="1"/>
  <c r="C7231" i="1"/>
  <c r="C7232" i="1"/>
  <c r="C7233" i="1"/>
  <c r="C7234" i="1"/>
  <c r="C7235" i="1"/>
  <c r="C7236" i="1"/>
  <c r="C7237" i="1"/>
  <c r="C7238" i="1"/>
  <c r="C7239" i="1"/>
  <c r="C7240" i="1"/>
  <c r="C7241" i="1"/>
  <c r="C7242" i="1"/>
  <c r="C7243" i="1"/>
  <c r="C7244" i="1"/>
  <c r="C7245" i="1"/>
  <c r="C7246" i="1"/>
  <c r="C7247" i="1"/>
  <c r="C7248" i="1"/>
  <c r="C7249" i="1"/>
  <c r="C7250" i="1"/>
  <c r="C7251" i="1"/>
  <c r="C7252" i="1"/>
  <c r="C7253" i="1"/>
  <c r="C7254" i="1"/>
  <c r="C7255" i="1"/>
  <c r="C7256" i="1"/>
  <c r="C7257" i="1"/>
  <c r="C7258" i="1"/>
  <c r="C7259" i="1"/>
  <c r="C7260" i="1"/>
  <c r="C7261" i="1"/>
  <c r="C7262" i="1"/>
  <c r="C7263" i="1"/>
  <c r="C7264" i="1"/>
  <c r="C7265" i="1"/>
  <c r="C7266" i="1"/>
  <c r="C7267" i="1"/>
  <c r="C7268" i="1"/>
  <c r="C7269" i="1"/>
  <c r="C7270" i="1"/>
  <c r="C7271" i="1"/>
  <c r="C7272" i="1"/>
  <c r="C7273" i="1"/>
  <c r="C7274" i="1"/>
  <c r="C7275" i="1"/>
  <c r="C7276" i="1"/>
  <c r="C7277" i="1"/>
  <c r="C7278" i="1"/>
  <c r="C7279" i="1"/>
  <c r="C7280" i="1"/>
  <c r="C7281" i="1"/>
  <c r="C7282" i="1"/>
  <c r="C7283" i="1"/>
  <c r="C7284" i="1"/>
  <c r="C7285" i="1"/>
  <c r="C7286" i="1"/>
  <c r="C7287" i="1"/>
  <c r="C7288" i="1"/>
  <c r="C7289" i="1"/>
  <c r="C7290" i="1"/>
  <c r="C7291" i="1"/>
  <c r="C7292" i="1"/>
  <c r="C7293" i="1"/>
  <c r="C7294" i="1"/>
  <c r="C7295" i="1"/>
  <c r="C7296" i="1"/>
  <c r="C7297" i="1"/>
  <c r="C7298" i="1"/>
  <c r="C7299" i="1"/>
  <c r="C7300" i="1"/>
  <c r="C7301" i="1"/>
  <c r="C7302" i="1"/>
  <c r="C7303" i="1"/>
  <c r="C7304" i="1"/>
  <c r="C7305" i="1"/>
  <c r="C7306" i="1"/>
  <c r="C7307" i="1"/>
  <c r="C7308" i="1"/>
  <c r="C7309" i="1"/>
  <c r="C7310" i="1"/>
  <c r="C7311" i="1"/>
  <c r="C7312" i="1"/>
  <c r="C7313" i="1"/>
  <c r="C7314" i="1"/>
  <c r="C7315" i="1"/>
  <c r="C7316" i="1"/>
  <c r="C7317" i="1"/>
  <c r="C7318" i="1"/>
  <c r="C7319" i="1"/>
  <c r="C7320" i="1"/>
  <c r="C7321" i="1"/>
  <c r="C7322" i="1"/>
  <c r="C7323" i="1"/>
  <c r="C7324" i="1"/>
  <c r="C7325" i="1"/>
  <c r="C7326" i="1"/>
  <c r="C7327" i="1"/>
  <c r="C7328" i="1"/>
  <c r="C7329" i="1"/>
  <c r="C7330" i="1"/>
  <c r="C7331" i="1"/>
  <c r="C7332" i="1"/>
  <c r="C7333" i="1"/>
  <c r="C7334" i="1"/>
  <c r="C7335" i="1"/>
  <c r="C7336" i="1"/>
  <c r="C7337" i="1"/>
  <c r="C7338" i="1"/>
  <c r="C7339" i="1"/>
  <c r="C7340" i="1"/>
  <c r="C7341" i="1"/>
  <c r="C7342" i="1"/>
  <c r="C7343" i="1"/>
  <c r="C7344" i="1"/>
  <c r="C7345" i="1"/>
  <c r="C7346" i="1"/>
  <c r="C7347" i="1"/>
  <c r="C7348" i="1"/>
  <c r="C7349" i="1"/>
  <c r="C7350" i="1"/>
  <c r="C7351" i="1"/>
  <c r="C7352" i="1"/>
  <c r="C7353" i="1"/>
  <c r="C7354" i="1"/>
  <c r="C7355" i="1"/>
  <c r="C7356" i="1"/>
  <c r="C7357" i="1"/>
  <c r="C7358" i="1"/>
  <c r="C7359" i="1"/>
  <c r="C7360" i="1"/>
  <c r="C7361" i="1"/>
  <c r="C7362" i="1"/>
  <c r="C7363" i="1"/>
  <c r="C7364" i="1"/>
  <c r="C7365" i="1"/>
  <c r="C7366" i="1"/>
  <c r="C7367" i="1"/>
  <c r="C7368" i="1"/>
  <c r="C7369" i="1"/>
  <c r="C7370" i="1"/>
  <c r="C7371" i="1"/>
  <c r="C7372" i="1"/>
  <c r="C7373" i="1"/>
  <c r="C7374" i="1"/>
  <c r="C7375" i="1"/>
  <c r="C7376" i="1"/>
  <c r="C7377" i="1"/>
  <c r="C7378" i="1"/>
  <c r="C7379" i="1"/>
  <c r="C7380" i="1"/>
  <c r="C7381" i="1"/>
  <c r="C7382" i="1"/>
  <c r="C7383" i="1"/>
  <c r="C7384" i="1"/>
  <c r="C7385" i="1"/>
  <c r="C7386" i="1"/>
  <c r="C7387" i="1"/>
  <c r="C7388" i="1"/>
  <c r="C7389" i="1"/>
  <c r="C7390" i="1"/>
  <c r="C7391" i="1"/>
  <c r="C7392" i="1"/>
  <c r="C7393" i="1"/>
  <c r="C7394" i="1"/>
  <c r="C7395" i="1"/>
  <c r="C7396" i="1"/>
  <c r="C7397" i="1"/>
  <c r="C7398" i="1"/>
  <c r="C7399" i="1"/>
  <c r="C7400" i="1"/>
  <c r="C7401" i="1"/>
  <c r="C7402" i="1"/>
  <c r="C7403" i="1"/>
  <c r="C7404" i="1"/>
  <c r="C7405" i="1"/>
  <c r="C7406" i="1"/>
  <c r="C7407" i="1"/>
  <c r="C7408" i="1"/>
  <c r="C7409" i="1"/>
  <c r="C7410" i="1"/>
  <c r="C7411" i="1"/>
  <c r="C7412" i="1"/>
  <c r="C7413" i="1"/>
  <c r="C7414" i="1"/>
  <c r="C7415" i="1"/>
  <c r="C7416" i="1"/>
  <c r="C7417" i="1"/>
  <c r="C7418" i="1"/>
  <c r="C7419" i="1"/>
  <c r="C7420" i="1"/>
  <c r="C7421" i="1"/>
  <c r="C7422" i="1"/>
  <c r="C7423" i="1"/>
  <c r="C7424" i="1"/>
  <c r="C7425" i="1"/>
  <c r="C7426" i="1"/>
  <c r="C7427" i="1"/>
  <c r="C7428" i="1"/>
  <c r="C7429" i="1"/>
  <c r="C7430" i="1"/>
  <c r="C7431" i="1"/>
  <c r="C7432" i="1"/>
  <c r="C7433" i="1"/>
  <c r="C7434" i="1"/>
  <c r="C7435" i="1"/>
  <c r="C7436" i="1"/>
  <c r="C7437" i="1"/>
  <c r="C7438" i="1"/>
  <c r="C7439" i="1"/>
  <c r="C7440" i="1"/>
  <c r="C7441" i="1"/>
  <c r="C7442" i="1"/>
  <c r="C7443" i="1"/>
  <c r="C7444" i="1"/>
  <c r="C7445" i="1"/>
  <c r="C7446" i="1"/>
  <c r="C7447" i="1"/>
  <c r="C7448" i="1"/>
  <c r="C7449" i="1"/>
  <c r="C7450" i="1"/>
  <c r="C7451" i="1"/>
  <c r="C7452" i="1"/>
  <c r="C7453" i="1"/>
  <c r="C7454" i="1"/>
  <c r="C7455" i="1"/>
  <c r="C7456" i="1"/>
  <c r="C7457" i="1"/>
  <c r="C7458" i="1"/>
  <c r="C7459" i="1"/>
  <c r="C7460" i="1"/>
  <c r="C7461" i="1"/>
  <c r="C7462" i="1"/>
  <c r="C7463" i="1"/>
  <c r="C7464" i="1"/>
  <c r="C7465" i="1"/>
  <c r="C7466" i="1"/>
  <c r="C7467" i="1"/>
  <c r="C7468" i="1"/>
  <c r="C7469" i="1"/>
  <c r="C7470" i="1"/>
  <c r="C7471" i="1"/>
  <c r="C7472" i="1"/>
  <c r="C7473" i="1"/>
  <c r="C7474" i="1"/>
  <c r="C7475" i="1"/>
  <c r="C7476" i="1"/>
  <c r="C7477" i="1"/>
  <c r="C7478" i="1"/>
  <c r="C7479" i="1"/>
  <c r="C7480" i="1"/>
  <c r="C7481" i="1"/>
  <c r="C7482" i="1"/>
  <c r="C7483" i="1"/>
  <c r="C7484" i="1"/>
  <c r="C7485" i="1"/>
  <c r="C7486" i="1"/>
  <c r="C7487" i="1"/>
  <c r="C7488" i="1"/>
  <c r="C7489" i="1"/>
  <c r="C7490" i="1"/>
  <c r="C7491" i="1"/>
  <c r="C7492" i="1"/>
  <c r="C7493" i="1"/>
  <c r="C7494" i="1"/>
  <c r="C7495" i="1"/>
  <c r="C7496" i="1"/>
  <c r="C7497" i="1"/>
  <c r="C7498" i="1"/>
  <c r="C7499" i="1"/>
  <c r="C7500" i="1"/>
  <c r="C7501" i="1"/>
  <c r="C7502" i="1"/>
  <c r="C7503" i="1"/>
  <c r="C7504" i="1"/>
  <c r="C7505" i="1"/>
  <c r="C7506" i="1"/>
  <c r="C7507" i="1"/>
  <c r="C7508" i="1"/>
  <c r="C7509" i="1"/>
  <c r="C7510" i="1"/>
  <c r="C7511" i="1"/>
  <c r="C7512" i="1"/>
  <c r="C7513" i="1"/>
  <c r="C7514" i="1"/>
  <c r="C7515" i="1"/>
  <c r="C7516" i="1"/>
  <c r="C7517" i="1"/>
  <c r="C7518" i="1"/>
  <c r="C7519" i="1"/>
  <c r="C7520" i="1"/>
  <c r="C7521" i="1"/>
  <c r="C7522" i="1"/>
  <c r="C7523" i="1"/>
  <c r="C7524" i="1"/>
  <c r="C7525" i="1"/>
  <c r="C7526" i="1"/>
  <c r="C7527" i="1"/>
  <c r="C7528" i="1"/>
  <c r="C7529" i="1"/>
  <c r="C7530" i="1"/>
  <c r="C7531" i="1"/>
  <c r="C7532" i="1"/>
  <c r="C7533" i="1"/>
  <c r="C7534" i="1"/>
  <c r="C7535" i="1"/>
  <c r="C7536" i="1"/>
  <c r="C7537" i="1"/>
  <c r="C7538" i="1"/>
  <c r="C7539" i="1"/>
  <c r="C7540" i="1"/>
  <c r="C7541" i="1"/>
  <c r="C7542" i="1"/>
  <c r="C7543" i="1"/>
  <c r="C7544" i="1"/>
  <c r="C7545" i="1"/>
  <c r="C7546" i="1"/>
  <c r="C7547" i="1"/>
  <c r="C7548" i="1"/>
  <c r="C7549" i="1"/>
  <c r="C7550" i="1"/>
  <c r="C7551" i="1"/>
  <c r="C7552" i="1"/>
  <c r="C7553" i="1"/>
  <c r="C7554" i="1"/>
  <c r="C7555" i="1"/>
  <c r="C7556" i="1"/>
  <c r="C7557" i="1"/>
  <c r="C7558" i="1"/>
  <c r="C7559" i="1"/>
  <c r="C7560" i="1"/>
  <c r="C7561" i="1"/>
  <c r="C7562" i="1"/>
  <c r="C7563" i="1"/>
  <c r="C7564" i="1"/>
  <c r="C7565" i="1"/>
  <c r="C7566" i="1"/>
  <c r="C7567" i="1"/>
  <c r="C7568" i="1"/>
  <c r="C7569" i="1"/>
  <c r="C7570" i="1"/>
  <c r="C7571" i="1"/>
  <c r="C7572" i="1"/>
  <c r="C7573" i="1"/>
  <c r="C7574" i="1"/>
  <c r="C7575" i="1"/>
  <c r="C7576" i="1"/>
  <c r="C7577" i="1"/>
  <c r="C7578" i="1"/>
  <c r="C7579" i="1"/>
  <c r="C7580" i="1"/>
  <c r="C7581" i="1"/>
  <c r="C7582" i="1"/>
  <c r="C7583" i="1"/>
  <c r="C7584" i="1"/>
  <c r="C7585" i="1"/>
  <c r="C7586" i="1"/>
  <c r="C7587" i="1"/>
  <c r="C7588" i="1"/>
  <c r="C7589" i="1"/>
  <c r="C7590" i="1"/>
  <c r="C7591" i="1"/>
  <c r="C7592" i="1"/>
  <c r="C7593" i="1"/>
  <c r="C7594" i="1"/>
  <c r="C7595" i="1"/>
  <c r="C7596" i="1"/>
  <c r="C7597" i="1"/>
  <c r="C7598" i="1"/>
  <c r="C7599" i="1"/>
  <c r="C7600" i="1"/>
  <c r="C7601" i="1"/>
  <c r="C7602" i="1"/>
  <c r="C7603" i="1"/>
  <c r="C7604" i="1"/>
  <c r="C7605" i="1"/>
  <c r="C7606" i="1"/>
  <c r="C7607" i="1"/>
  <c r="C7608" i="1"/>
  <c r="C7609" i="1"/>
  <c r="C7610" i="1"/>
  <c r="C7611" i="1"/>
  <c r="C7612" i="1"/>
  <c r="C7613" i="1"/>
  <c r="C7614" i="1"/>
  <c r="C7615" i="1"/>
  <c r="C7616" i="1"/>
  <c r="C7617" i="1"/>
  <c r="C7618" i="1"/>
  <c r="C7619" i="1"/>
  <c r="C7620" i="1"/>
  <c r="C7621" i="1"/>
  <c r="C7622" i="1"/>
  <c r="C7623" i="1"/>
  <c r="C7624" i="1"/>
  <c r="C7625" i="1"/>
  <c r="C7626" i="1"/>
  <c r="C7627" i="1"/>
  <c r="C7628" i="1"/>
  <c r="C7629" i="1"/>
  <c r="C7630" i="1"/>
  <c r="C7631" i="1"/>
  <c r="C7632" i="1"/>
  <c r="C7633" i="1"/>
  <c r="C7634" i="1"/>
  <c r="C7635" i="1"/>
  <c r="C7636" i="1"/>
  <c r="C7637" i="1"/>
  <c r="C7638" i="1"/>
  <c r="C7639" i="1"/>
  <c r="C7640" i="1"/>
  <c r="C7641" i="1"/>
  <c r="C7642" i="1"/>
  <c r="C7643" i="1"/>
  <c r="C7644" i="1"/>
  <c r="C7645" i="1"/>
  <c r="C7646" i="1"/>
  <c r="C7647" i="1"/>
  <c r="C7648" i="1"/>
  <c r="C7649" i="1"/>
  <c r="C7650" i="1"/>
  <c r="C7651" i="1"/>
  <c r="C7652" i="1"/>
  <c r="C7653" i="1"/>
  <c r="C7654" i="1"/>
  <c r="C7655" i="1"/>
  <c r="C7656" i="1"/>
  <c r="C7657" i="1"/>
  <c r="C7658" i="1"/>
  <c r="C7659" i="1"/>
  <c r="C7660" i="1"/>
  <c r="C7661" i="1"/>
  <c r="C7662" i="1"/>
  <c r="C7663" i="1"/>
  <c r="C7664" i="1"/>
  <c r="C7665" i="1"/>
  <c r="C7666" i="1"/>
  <c r="C7667" i="1"/>
  <c r="C7668" i="1"/>
  <c r="C7669" i="1"/>
  <c r="C7670" i="1"/>
  <c r="C7671" i="1"/>
  <c r="C7672" i="1"/>
  <c r="C7673" i="1"/>
  <c r="C7674" i="1"/>
  <c r="C7675" i="1"/>
  <c r="C7676" i="1"/>
  <c r="C7677" i="1"/>
  <c r="C7678" i="1"/>
  <c r="C7679" i="1"/>
  <c r="C7680" i="1"/>
  <c r="C7681" i="1"/>
  <c r="C7682" i="1"/>
  <c r="C7683" i="1"/>
  <c r="C7684" i="1"/>
  <c r="C7685" i="1"/>
  <c r="C7686" i="1"/>
  <c r="C7687" i="1"/>
  <c r="C7688" i="1"/>
  <c r="C7689" i="1"/>
  <c r="C7690" i="1"/>
  <c r="C7691" i="1"/>
  <c r="C7692" i="1"/>
  <c r="C7693" i="1"/>
  <c r="C7694" i="1"/>
  <c r="C7695" i="1"/>
  <c r="C7696" i="1"/>
  <c r="C7697" i="1"/>
  <c r="C7698" i="1"/>
  <c r="C7699" i="1"/>
  <c r="C7700" i="1"/>
  <c r="C7701" i="1"/>
  <c r="C7702" i="1"/>
  <c r="C7703" i="1"/>
  <c r="C7704" i="1"/>
  <c r="C7705" i="1"/>
  <c r="C7706" i="1"/>
  <c r="C7707" i="1"/>
  <c r="C7708" i="1"/>
  <c r="C7709" i="1"/>
  <c r="C7710" i="1"/>
  <c r="C7711" i="1"/>
  <c r="C7712" i="1"/>
  <c r="C7713" i="1"/>
  <c r="C7714" i="1"/>
  <c r="C7715" i="1"/>
  <c r="C7716" i="1"/>
  <c r="C7717" i="1"/>
  <c r="C7718" i="1"/>
  <c r="C7719" i="1"/>
  <c r="C7720" i="1"/>
  <c r="C7721" i="1"/>
  <c r="C7722" i="1"/>
  <c r="C7723" i="1"/>
  <c r="C7724" i="1"/>
  <c r="C7725" i="1"/>
  <c r="C7726" i="1"/>
  <c r="C7727" i="1"/>
  <c r="C7728" i="1"/>
  <c r="C7729" i="1"/>
  <c r="C7730" i="1"/>
  <c r="C7731" i="1"/>
  <c r="C7732" i="1"/>
  <c r="C7733" i="1"/>
  <c r="C7734" i="1"/>
  <c r="C7735" i="1"/>
  <c r="C7736" i="1"/>
  <c r="C7737" i="1"/>
  <c r="C7738" i="1"/>
  <c r="C7739" i="1"/>
  <c r="C7740" i="1"/>
  <c r="C7741" i="1"/>
  <c r="C7742" i="1"/>
  <c r="C7743" i="1"/>
  <c r="C7744" i="1"/>
  <c r="C7745" i="1"/>
  <c r="C7746" i="1"/>
  <c r="C7747" i="1"/>
  <c r="C7748" i="1"/>
  <c r="C7749" i="1"/>
  <c r="C7750" i="1"/>
  <c r="C7751" i="1"/>
  <c r="C7752" i="1"/>
  <c r="C7753" i="1"/>
  <c r="C7754" i="1"/>
  <c r="C7755" i="1"/>
  <c r="C7756" i="1"/>
  <c r="C7757" i="1"/>
  <c r="C7758" i="1"/>
  <c r="C7759" i="1"/>
  <c r="C7760" i="1"/>
  <c r="C7761" i="1"/>
  <c r="C7762" i="1"/>
  <c r="C7763" i="1"/>
  <c r="C7764" i="1"/>
  <c r="C7765" i="1"/>
  <c r="C7766" i="1"/>
  <c r="C7767" i="1"/>
  <c r="C7768" i="1"/>
  <c r="C7769" i="1"/>
  <c r="C7770" i="1"/>
  <c r="C7771" i="1"/>
  <c r="C7772" i="1"/>
  <c r="C7773" i="1"/>
  <c r="C7774" i="1"/>
  <c r="C7775" i="1"/>
  <c r="C7776" i="1"/>
  <c r="C7777" i="1"/>
  <c r="C7778" i="1"/>
  <c r="C7779" i="1"/>
  <c r="C7780" i="1"/>
  <c r="C7781" i="1"/>
  <c r="C7782" i="1"/>
  <c r="C7783" i="1"/>
  <c r="C7784" i="1"/>
  <c r="C7785" i="1"/>
  <c r="C7786" i="1"/>
  <c r="C7787" i="1"/>
  <c r="C7788" i="1"/>
  <c r="C7789" i="1"/>
  <c r="C7790" i="1"/>
  <c r="C7791" i="1"/>
  <c r="C7792" i="1"/>
  <c r="C7793" i="1"/>
  <c r="C7794" i="1"/>
  <c r="C7795" i="1"/>
  <c r="C7796" i="1"/>
  <c r="C7797" i="1"/>
  <c r="C7798" i="1"/>
  <c r="C7799" i="1"/>
  <c r="C7800" i="1"/>
  <c r="C7801" i="1"/>
  <c r="C7802" i="1"/>
  <c r="C7803" i="1"/>
  <c r="C7804" i="1"/>
  <c r="C7805" i="1"/>
  <c r="C7806" i="1"/>
  <c r="C7807" i="1"/>
  <c r="C7808" i="1"/>
  <c r="C7809" i="1"/>
  <c r="C7810" i="1"/>
  <c r="C7811" i="1"/>
  <c r="C7812" i="1"/>
  <c r="C7813" i="1"/>
  <c r="C7814" i="1"/>
  <c r="C7815" i="1"/>
  <c r="C7816" i="1"/>
  <c r="C7817" i="1"/>
  <c r="C7818" i="1"/>
  <c r="C7819" i="1"/>
  <c r="C7820" i="1"/>
  <c r="C7821" i="1"/>
  <c r="C7822" i="1"/>
  <c r="C7823" i="1"/>
  <c r="C7824" i="1"/>
  <c r="C7825" i="1"/>
  <c r="C7826" i="1"/>
  <c r="C7827" i="1"/>
  <c r="C7828" i="1"/>
  <c r="C7829" i="1"/>
  <c r="C7830" i="1"/>
  <c r="C7831" i="1"/>
  <c r="C7832" i="1"/>
  <c r="C7833" i="1"/>
  <c r="C7834" i="1"/>
  <c r="C7835" i="1"/>
  <c r="C7836" i="1"/>
  <c r="C7837" i="1"/>
  <c r="C7838" i="1"/>
  <c r="C7839" i="1"/>
  <c r="C7840" i="1"/>
  <c r="C7841" i="1"/>
  <c r="C7842" i="1"/>
  <c r="C7843" i="1"/>
  <c r="C7844" i="1"/>
  <c r="C7845" i="1"/>
  <c r="C7846" i="1"/>
  <c r="C7847" i="1"/>
  <c r="C7848" i="1"/>
  <c r="C7849" i="1"/>
  <c r="C7850" i="1"/>
  <c r="C7851" i="1"/>
  <c r="C7852" i="1"/>
  <c r="C7853" i="1"/>
  <c r="C7854" i="1"/>
  <c r="C7855" i="1"/>
  <c r="C7856" i="1"/>
  <c r="C7857" i="1"/>
  <c r="C7858" i="1"/>
  <c r="C7859" i="1"/>
  <c r="C7860" i="1"/>
  <c r="C7861" i="1"/>
  <c r="C7862" i="1"/>
  <c r="C7863" i="1"/>
  <c r="C7864" i="1"/>
  <c r="C7865" i="1"/>
  <c r="C7866" i="1"/>
  <c r="C7867" i="1"/>
  <c r="C7868" i="1"/>
  <c r="C7869" i="1"/>
  <c r="C7870" i="1"/>
  <c r="C7871" i="1"/>
  <c r="C7872" i="1"/>
  <c r="C7873" i="1"/>
  <c r="C7874" i="1"/>
  <c r="C7875" i="1"/>
  <c r="C7876" i="1"/>
  <c r="C7877" i="1"/>
  <c r="C7878" i="1"/>
  <c r="C7879" i="1"/>
  <c r="C7880" i="1"/>
  <c r="C7881" i="1"/>
  <c r="C7882" i="1"/>
  <c r="C7883" i="1"/>
  <c r="C7884" i="1"/>
  <c r="C7885" i="1"/>
  <c r="C7886" i="1"/>
  <c r="C7887" i="1"/>
  <c r="C7888" i="1"/>
  <c r="C7889" i="1"/>
  <c r="C7890" i="1"/>
  <c r="C7891" i="1"/>
  <c r="C7892" i="1"/>
  <c r="C7893" i="1"/>
  <c r="C7894" i="1"/>
  <c r="C7895" i="1"/>
  <c r="C7896" i="1"/>
  <c r="C7897" i="1"/>
  <c r="C7898" i="1"/>
  <c r="C7899" i="1"/>
  <c r="C7900" i="1"/>
  <c r="C7901" i="1"/>
  <c r="C7902" i="1"/>
  <c r="C7903" i="1"/>
  <c r="C7904" i="1"/>
  <c r="C7905" i="1"/>
  <c r="C7906" i="1"/>
  <c r="C7907" i="1"/>
  <c r="C7908" i="1"/>
  <c r="C7909" i="1"/>
  <c r="C7910" i="1"/>
  <c r="C7911" i="1"/>
  <c r="C7912" i="1"/>
  <c r="C7913" i="1"/>
  <c r="C7914" i="1"/>
  <c r="C7915" i="1"/>
  <c r="C7916" i="1"/>
  <c r="C7917" i="1"/>
  <c r="C7918" i="1"/>
  <c r="C7919" i="1"/>
  <c r="C7920" i="1"/>
  <c r="C7921" i="1"/>
  <c r="C7922" i="1"/>
  <c r="C7923" i="1"/>
  <c r="C7924" i="1"/>
  <c r="C7925" i="1"/>
  <c r="C7926" i="1"/>
  <c r="C7927" i="1"/>
  <c r="C7928" i="1"/>
  <c r="C7929" i="1"/>
  <c r="C7930" i="1"/>
  <c r="C7931" i="1"/>
  <c r="C7932" i="1"/>
  <c r="C7933" i="1"/>
  <c r="C7934" i="1"/>
  <c r="C7935" i="1"/>
  <c r="C7936" i="1"/>
  <c r="C7937" i="1"/>
  <c r="C7938" i="1"/>
  <c r="C7939" i="1"/>
  <c r="C7940" i="1"/>
  <c r="C7941" i="1"/>
  <c r="C7942" i="1"/>
  <c r="C7943" i="1"/>
  <c r="C7944" i="1"/>
  <c r="C7945" i="1"/>
  <c r="C7946" i="1"/>
  <c r="C7947" i="1"/>
  <c r="C7948" i="1"/>
  <c r="C7949" i="1"/>
  <c r="C7950" i="1"/>
  <c r="C7951" i="1"/>
  <c r="C7952" i="1"/>
  <c r="C7953" i="1"/>
  <c r="C7954" i="1"/>
  <c r="C7955" i="1"/>
  <c r="C7956" i="1"/>
  <c r="C7957" i="1"/>
  <c r="C7958" i="1"/>
  <c r="C7959" i="1"/>
  <c r="C7960" i="1"/>
  <c r="C7961" i="1"/>
  <c r="C7962" i="1"/>
  <c r="C7963" i="1"/>
  <c r="C7964" i="1"/>
  <c r="C7965" i="1"/>
  <c r="C7966" i="1"/>
  <c r="C7967" i="1"/>
  <c r="C7968" i="1"/>
  <c r="C7969" i="1"/>
  <c r="C7970" i="1"/>
  <c r="C7971" i="1"/>
  <c r="C7972" i="1"/>
  <c r="C7973" i="1"/>
  <c r="C7974" i="1"/>
  <c r="C7975" i="1"/>
  <c r="C7976" i="1"/>
  <c r="C7977" i="1"/>
  <c r="C7978" i="1"/>
  <c r="C7979" i="1"/>
  <c r="C7980" i="1"/>
  <c r="C7981" i="1"/>
  <c r="C7982" i="1"/>
  <c r="C7983" i="1"/>
  <c r="C7984" i="1"/>
  <c r="C7985" i="1"/>
  <c r="C7986" i="1"/>
  <c r="C7987" i="1"/>
  <c r="C7988" i="1"/>
  <c r="C7989" i="1"/>
  <c r="C7990" i="1"/>
  <c r="C7991" i="1"/>
  <c r="C7992" i="1"/>
  <c r="C7993" i="1"/>
  <c r="C7994" i="1"/>
  <c r="C7995" i="1"/>
  <c r="C7996" i="1"/>
  <c r="C7997" i="1"/>
  <c r="C7998" i="1"/>
  <c r="C7999" i="1"/>
  <c r="C8000" i="1"/>
  <c r="C8001" i="1"/>
  <c r="C8002" i="1"/>
  <c r="C8003" i="1"/>
  <c r="C8004" i="1"/>
  <c r="C8005" i="1"/>
  <c r="C8006" i="1"/>
  <c r="C8007" i="1"/>
  <c r="C8008" i="1"/>
  <c r="C8009" i="1"/>
  <c r="C8010" i="1"/>
  <c r="C8011" i="1"/>
  <c r="C8012" i="1"/>
  <c r="C8013" i="1"/>
  <c r="C8014" i="1"/>
  <c r="C8015" i="1"/>
  <c r="C8016" i="1"/>
  <c r="C8017" i="1"/>
  <c r="C8018" i="1"/>
  <c r="C8019" i="1"/>
  <c r="C8020" i="1"/>
  <c r="C8021" i="1"/>
  <c r="C8022" i="1"/>
  <c r="C8023" i="1"/>
  <c r="C8024" i="1"/>
  <c r="C8025" i="1"/>
  <c r="C8026" i="1"/>
  <c r="C8027" i="1"/>
  <c r="C8028" i="1"/>
  <c r="C8029" i="1"/>
  <c r="C8030" i="1"/>
  <c r="C8031" i="1"/>
  <c r="C8032" i="1"/>
  <c r="C8033" i="1"/>
  <c r="C8034" i="1"/>
  <c r="C8035" i="1"/>
  <c r="C8036" i="1"/>
  <c r="C8037" i="1"/>
  <c r="C8038" i="1"/>
  <c r="C8039" i="1"/>
  <c r="C8040" i="1"/>
  <c r="C8041" i="1"/>
  <c r="C8042" i="1"/>
  <c r="C8043" i="1"/>
  <c r="C8044" i="1"/>
  <c r="C8045" i="1"/>
  <c r="C8046" i="1"/>
  <c r="C8047" i="1"/>
  <c r="C8048" i="1"/>
  <c r="C8049" i="1"/>
  <c r="C8050" i="1"/>
  <c r="C8051" i="1"/>
  <c r="C8052" i="1"/>
  <c r="C8053" i="1"/>
  <c r="C8054" i="1"/>
  <c r="C8055" i="1"/>
  <c r="C8056" i="1"/>
  <c r="C8057" i="1"/>
  <c r="C8058" i="1"/>
  <c r="C8059" i="1"/>
  <c r="C8060" i="1"/>
  <c r="C8061" i="1"/>
  <c r="C8062" i="1"/>
  <c r="C8063" i="1"/>
  <c r="C8064" i="1"/>
  <c r="C8065" i="1"/>
  <c r="C8066" i="1"/>
  <c r="C8067" i="1"/>
  <c r="C8068" i="1"/>
  <c r="C8069" i="1"/>
  <c r="C8070" i="1"/>
  <c r="C8071" i="1"/>
  <c r="C8072" i="1"/>
  <c r="C8073" i="1"/>
  <c r="C8074" i="1"/>
  <c r="C8075" i="1"/>
  <c r="C8076" i="1"/>
  <c r="C8077" i="1"/>
  <c r="C8078" i="1"/>
  <c r="C8079" i="1"/>
  <c r="C8080" i="1"/>
  <c r="C8081" i="1"/>
  <c r="C8082" i="1"/>
  <c r="C8083" i="1"/>
  <c r="C8084" i="1"/>
  <c r="C8085" i="1"/>
  <c r="C8086" i="1"/>
  <c r="C8087" i="1"/>
  <c r="C8088" i="1"/>
  <c r="C8089" i="1"/>
  <c r="C8090" i="1"/>
  <c r="C8091" i="1"/>
  <c r="C8092" i="1"/>
  <c r="C8093" i="1"/>
  <c r="C8094" i="1"/>
  <c r="C8095" i="1"/>
  <c r="C8096" i="1"/>
  <c r="C8097" i="1"/>
  <c r="C8098" i="1"/>
  <c r="C8099" i="1"/>
  <c r="C8100" i="1"/>
  <c r="C8101" i="1"/>
  <c r="C8102" i="1"/>
  <c r="C8103" i="1"/>
  <c r="C8104" i="1"/>
  <c r="C8105" i="1"/>
  <c r="C8106" i="1"/>
  <c r="C8107" i="1"/>
  <c r="C8108" i="1"/>
  <c r="C8109" i="1"/>
  <c r="C8110" i="1"/>
  <c r="C8111" i="1"/>
  <c r="C8112" i="1"/>
  <c r="C8113" i="1"/>
  <c r="C8114" i="1"/>
  <c r="C8115" i="1"/>
  <c r="C8116" i="1"/>
  <c r="C8117" i="1"/>
  <c r="C8118" i="1"/>
  <c r="C8119" i="1"/>
  <c r="C8120" i="1"/>
  <c r="C8121" i="1"/>
  <c r="C8122" i="1"/>
  <c r="C8123" i="1"/>
  <c r="C8124" i="1"/>
  <c r="C8125" i="1"/>
  <c r="C8126" i="1"/>
  <c r="C8127" i="1"/>
  <c r="C8128" i="1"/>
  <c r="C8129" i="1"/>
  <c r="C8130" i="1"/>
  <c r="C8131" i="1"/>
  <c r="C8132" i="1"/>
  <c r="C8133" i="1"/>
  <c r="C8134" i="1"/>
  <c r="C8135" i="1"/>
  <c r="C8136" i="1"/>
  <c r="C8137" i="1"/>
  <c r="C8138" i="1"/>
  <c r="C8139" i="1"/>
  <c r="C8140" i="1"/>
  <c r="C8141" i="1"/>
  <c r="C8142" i="1"/>
  <c r="C8143" i="1"/>
  <c r="C8144" i="1"/>
  <c r="C8145" i="1"/>
  <c r="C8146" i="1"/>
  <c r="C8147" i="1"/>
  <c r="C8148" i="1"/>
  <c r="C8149" i="1"/>
  <c r="C8150" i="1"/>
  <c r="C8151" i="1"/>
  <c r="C8152" i="1"/>
  <c r="C8153" i="1"/>
  <c r="C8154" i="1"/>
  <c r="C8155" i="1"/>
  <c r="C8156" i="1"/>
  <c r="C8157" i="1"/>
  <c r="C8158" i="1"/>
  <c r="C8159" i="1"/>
  <c r="C8160" i="1"/>
  <c r="C8161" i="1"/>
  <c r="C8162" i="1"/>
  <c r="C8163" i="1"/>
  <c r="C8164" i="1"/>
  <c r="C8165" i="1"/>
  <c r="C8166" i="1"/>
  <c r="C8167" i="1"/>
  <c r="C8168" i="1"/>
  <c r="C8169" i="1"/>
  <c r="C8170" i="1"/>
  <c r="C8171" i="1"/>
  <c r="C8172" i="1"/>
  <c r="C8173" i="1"/>
  <c r="C8174" i="1"/>
  <c r="C8175" i="1"/>
  <c r="C8176" i="1"/>
  <c r="C8177" i="1"/>
  <c r="C8178" i="1"/>
  <c r="C8179" i="1"/>
  <c r="C8180" i="1"/>
  <c r="C8181" i="1"/>
  <c r="C8182" i="1"/>
  <c r="C8183" i="1"/>
  <c r="C8184" i="1"/>
  <c r="C8185" i="1"/>
  <c r="C8186" i="1"/>
  <c r="C8187" i="1"/>
  <c r="C8188" i="1"/>
  <c r="C8189" i="1"/>
  <c r="C8190" i="1"/>
  <c r="C8191" i="1"/>
  <c r="C8192" i="1"/>
  <c r="C8193" i="1"/>
  <c r="C8194" i="1"/>
  <c r="C8195" i="1"/>
  <c r="C8196" i="1"/>
  <c r="C8197" i="1"/>
  <c r="C8198" i="1"/>
  <c r="C8199" i="1"/>
  <c r="C8200" i="1"/>
  <c r="C8201" i="1"/>
  <c r="C8202" i="1"/>
  <c r="C8203" i="1"/>
  <c r="C8204" i="1"/>
  <c r="C8205" i="1"/>
  <c r="C8206" i="1"/>
  <c r="C8207" i="1"/>
  <c r="C8208" i="1"/>
  <c r="C8209" i="1"/>
  <c r="C8210" i="1"/>
  <c r="C8211" i="1"/>
  <c r="C8212" i="1"/>
  <c r="C8213" i="1"/>
  <c r="C8214" i="1"/>
  <c r="C8215" i="1"/>
  <c r="C8216" i="1"/>
  <c r="C8217" i="1"/>
  <c r="C8218" i="1"/>
  <c r="C8219" i="1"/>
  <c r="C8220" i="1"/>
  <c r="C8221" i="1"/>
  <c r="C8222" i="1"/>
  <c r="C8223" i="1"/>
  <c r="C8224" i="1"/>
  <c r="C8225" i="1"/>
  <c r="C8226" i="1"/>
  <c r="C8227" i="1"/>
  <c r="C8228" i="1"/>
  <c r="C8229" i="1"/>
  <c r="C8230" i="1"/>
  <c r="C8231" i="1"/>
  <c r="C8232" i="1"/>
  <c r="C8233" i="1"/>
  <c r="C8234" i="1"/>
  <c r="C8235" i="1"/>
  <c r="C8236" i="1"/>
  <c r="C8237" i="1"/>
  <c r="C8238" i="1"/>
  <c r="C8239" i="1"/>
  <c r="C8240" i="1"/>
  <c r="C8241" i="1"/>
  <c r="C8242" i="1"/>
  <c r="C8243" i="1"/>
  <c r="C8244" i="1"/>
  <c r="C8245" i="1"/>
  <c r="C8246" i="1"/>
  <c r="C8247" i="1"/>
  <c r="C8248" i="1"/>
  <c r="C8249" i="1"/>
  <c r="C8250" i="1"/>
  <c r="C8251" i="1"/>
  <c r="C8252" i="1"/>
  <c r="C8253" i="1"/>
  <c r="C8254" i="1"/>
  <c r="C8255" i="1"/>
  <c r="C8256" i="1"/>
  <c r="C8257" i="1"/>
  <c r="C8258" i="1"/>
  <c r="C8259" i="1"/>
  <c r="C8260" i="1"/>
  <c r="C8261" i="1"/>
  <c r="C8262" i="1"/>
  <c r="C8263" i="1"/>
  <c r="C8264" i="1"/>
  <c r="C8265" i="1"/>
  <c r="C8266" i="1"/>
  <c r="C8267" i="1"/>
  <c r="C8268" i="1"/>
  <c r="C8269" i="1"/>
  <c r="C8270" i="1"/>
  <c r="C8271" i="1"/>
  <c r="C8272" i="1"/>
  <c r="C8273" i="1"/>
  <c r="C8274" i="1"/>
  <c r="C8275" i="1"/>
  <c r="C8276" i="1"/>
  <c r="C8277" i="1"/>
  <c r="C8278" i="1"/>
  <c r="C8279" i="1"/>
  <c r="C8280" i="1"/>
  <c r="C8281" i="1"/>
  <c r="C8282" i="1"/>
  <c r="C8283" i="1"/>
  <c r="C8284" i="1"/>
  <c r="C8285" i="1"/>
  <c r="C8286" i="1"/>
  <c r="C8287" i="1"/>
  <c r="C8288" i="1"/>
  <c r="C8289" i="1"/>
  <c r="C8290" i="1"/>
  <c r="C8291" i="1"/>
  <c r="C8292" i="1"/>
  <c r="C8293" i="1"/>
  <c r="C8294" i="1"/>
  <c r="C8295" i="1"/>
  <c r="C8296" i="1"/>
  <c r="C8297" i="1"/>
  <c r="C8298" i="1"/>
  <c r="C8299" i="1"/>
  <c r="C8300" i="1"/>
  <c r="C8301" i="1"/>
  <c r="C8302" i="1"/>
  <c r="C8303" i="1"/>
  <c r="C8304" i="1"/>
  <c r="C8305" i="1"/>
  <c r="C8306" i="1"/>
  <c r="C8307" i="1"/>
  <c r="C8308" i="1"/>
  <c r="C8309" i="1"/>
  <c r="C8310" i="1"/>
  <c r="C8311" i="1"/>
  <c r="C8312" i="1"/>
  <c r="C8313" i="1"/>
  <c r="C8314" i="1"/>
  <c r="C8315" i="1"/>
  <c r="C8316" i="1"/>
  <c r="C8317" i="1"/>
  <c r="C8318" i="1"/>
  <c r="C8319" i="1"/>
  <c r="C8320" i="1"/>
  <c r="C8321" i="1"/>
  <c r="C8322" i="1"/>
  <c r="C8323" i="1"/>
  <c r="C8324" i="1"/>
  <c r="C8325" i="1"/>
  <c r="C8326" i="1"/>
  <c r="C8327" i="1"/>
  <c r="C8328" i="1"/>
  <c r="C8329" i="1"/>
  <c r="C8330" i="1"/>
  <c r="C8331" i="1"/>
  <c r="C8332" i="1"/>
  <c r="C8333" i="1"/>
  <c r="C8334" i="1"/>
  <c r="C8335" i="1"/>
  <c r="C8336" i="1"/>
  <c r="C8337" i="1"/>
  <c r="C8338" i="1"/>
  <c r="C8339" i="1"/>
  <c r="C8340" i="1"/>
  <c r="C8341" i="1"/>
  <c r="C8342" i="1"/>
  <c r="C8343" i="1"/>
  <c r="C8344" i="1"/>
  <c r="C8345" i="1"/>
  <c r="C8346" i="1"/>
  <c r="C8347" i="1"/>
  <c r="C8348" i="1"/>
  <c r="C8349" i="1"/>
  <c r="C8350" i="1"/>
  <c r="C8351" i="1"/>
  <c r="C8352" i="1"/>
  <c r="C8353" i="1"/>
  <c r="C8354" i="1"/>
  <c r="C8355" i="1"/>
  <c r="C8356" i="1"/>
  <c r="C8357" i="1"/>
  <c r="C8358" i="1"/>
  <c r="C8359" i="1"/>
  <c r="C8360" i="1"/>
  <c r="C8361" i="1"/>
  <c r="C8362" i="1"/>
  <c r="C8363" i="1"/>
  <c r="C8364" i="1"/>
  <c r="C8365" i="1"/>
  <c r="C8366" i="1"/>
  <c r="C8367" i="1"/>
  <c r="C8368" i="1"/>
  <c r="C8369" i="1"/>
  <c r="C8370" i="1"/>
  <c r="C8371" i="1"/>
  <c r="C8372" i="1"/>
  <c r="C8373" i="1"/>
  <c r="C8374" i="1"/>
  <c r="C8375" i="1"/>
  <c r="C8376" i="1"/>
  <c r="C8377" i="1"/>
  <c r="C8378" i="1"/>
  <c r="C8379" i="1"/>
  <c r="C8380" i="1"/>
  <c r="C8381" i="1"/>
  <c r="C8382" i="1"/>
  <c r="C8383" i="1"/>
  <c r="C8384" i="1"/>
  <c r="C8385" i="1"/>
  <c r="C8386" i="1"/>
  <c r="C8387" i="1"/>
  <c r="C8388" i="1"/>
  <c r="C8389" i="1"/>
  <c r="C8390" i="1"/>
  <c r="C8391" i="1"/>
  <c r="C8392" i="1"/>
  <c r="C8393" i="1"/>
  <c r="C8394" i="1"/>
  <c r="C8395" i="1"/>
  <c r="C8396" i="1"/>
  <c r="C8397" i="1"/>
  <c r="C8398" i="1"/>
  <c r="C8399" i="1"/>
  <c r="C8400" i="1"/>
  <c r="C8401" i="1"/>
  <c r="C8402" i="1"/>
  <c r="C8403" i="1"/>
  <c r="C8404" i="1"/>
  <c r="C8405" i="1"/>
  <c r="C8406" i="1"/>
  <c r="C8407" i="1"/>
  <c r="C8408" i="1"/>
  <c r="C8409" i="1"/>
  <c r="C8410" i="1"/>
  <c r="C8411" i="1"/>
  <c r="C8412" i="1"/>
  <c r="C8413" i="1"/>
  <c r="C8414" i="1"/>
  <c r="C8415" i="1"/>
  <c r="C8416" i="1"/>
  <c r="C8417" i="1"/>
  <c r="C8418" i="1"/>
  <c r="C8419" i="1"/>
  <c r="C8420" i="1"/>
  <c r="C8421" i="1"/>
  <c r="C8422" i="1"/>
  <c r="C8423" i="1"/>
  <c r="C8424" i="1"/>
  <c r="C8425" i="1"/>
  <c r="C8426" i="1"/>
  <c r="C8427" i="1"/>
  <c r="C8428" i="1"/>
  <c r="C8429" i="1"/>
  <c r="C8430" i="1"/>
  <c r="C8431" i="1"/>
  <c r="C8432" i="1"/>
  <c r="C8433" i="1"/>
  <c r="C8434" i="1"/>
  <c r="C8435" i="1"/>
  <c r="C8436" i="1"/>
  <c r="C8437" i="1"/>
  <c r="C8438" i="1"/>
  <c r="C8439" i="1"/>
  <c r="C8440" i="1"/>
  <c r="C8441" i="1"/>
  <c r="C8442" i="1"/>
  <c r="C8443" i="1"/>
  <c r="C8444" i="1"/>
  <c r="C8445" i="1"/>
  <c r="C8446" i="1"/>
  <c r="C8447" i="1"/>
  <c r="C8448" i="1"/>
  <c r="C8449" i="1"/>
  <c r="C8450" i="1"/>
  <c r="C8451" i="1"/>
  <c r="C8452" i="1"/>
  <c r="C8453" i="1"/>
  <c r="C8454" i="1"/>
  <c r="C8455" i="1"/>
  <c r="C8456" i="1"/>
  <c r="C8457" i="1"/>
  <c r="C8458" i="1"/>
  <c r="C8459" i="1"/>
  <c r="C8460" i="1"/>
  <c r="C8461" i="1"/>
  <c r="C8462" i="1"/>
  <c r="C8463" i="1"/>
  <c r="C8464" i="1"/>
  <c r="C8465" i="1"/>
  <c r="C8466" i="1"/>
  <c r="C8467" i="1"/>
  <c r="C8468" i="1"/>
  <c r="C8469" i="1"/>
  <c r="C8470" i="1"/>
  <c r="C8471" i="1"/>
  <c r="C8472" i="1"/>
  <c r="C8473" i="1"/>
  <c r="C8474" i="1"/>
  <c r="C8475" i="1"/>
  <c r="C8476" i="1"/>
  <c r="C8477" i="1"/>
  <c r="C8478" i="1"/>
  <c r="C8479" i="1"/>
  <c r="C8480" i="1"/>
  <c r="C8481" i="1"/>
  <c r="C8482" i="1"/>
  <c r="C8483" i="1"/>
  <c r="C8484" i="1"/>
  <c r="C8485" i="1"/>
  <c r="C8486" i="1"/>
  <c r="C8487" i="1"/>
  <c r="C8488" i="1"/>
  <c r="C8489" i="1"/>
  <c r="C8490" i="1"/>
  <c r="C8491" i="1"/>
  <c r="C8492" i="1"/>
  <c r="C8493" i="1"/>
  <c r="C8494" i="1"/>
  <c r="C8495" i="1"/>
  <c r="C8496" i="1"/>
  <c r="C8497" i="1"/>
  <c r="C8498" i="1"/>
  <c r="C8499" i="1"/>
  <c r="C8500" i="1"/>
  <c r="C8501" i="1"/>
  <c r="C8502" i="1"/>
  <c r="C8503" i="1"/>
  <c r="C8504" i="1"/>
  <c r="C8505" i="1"/>
  <c r="C8506" i="1"/>
  <c r="C8507" i="1"/>
  <c r="C8508" i="1"/>
  <c r="C8509" i="1"/>
  <c r="C8510" i="1"/>
  <c r="C8511" i="1"/>
  <c r="C8512" i="1"/>
  <c r="C8513" i="1"/>
  <c r="C8514" i="1"/>
  <c r="C8515" i="1"/>
  <c r="C8516" i="1"/>
  <c r="C8517" i="1"/>
  <c r="C8518" i="1"/>
  <c r="C8519" i="1"/>
  <c r="C8520" i="1"/>
  <c r="C8521" i="1"/>
  <c r="C8522" i="1"/>
  <c r="C8523" i="1"/>
  <c r="C8524" i="1"/>
  <c r="C8525" i="1"/>
  <c r="C8526" i="1"/>
  <c r="C8527" i="1"/>
  <c r="C8528" i="1"/>
  <c r="C8529" i="1"/>
  <c r="C8530" i="1"/>
  <c r="C8531" i="1"/>
  <c r="C8532" i="1"/>
  <c r="C8533" i="1"/>
  <c r="C8534" i="1"/>
  <c r="C8535" i="1"/>
  <c r="C8536" i="1"/>
  <c r="C8537" i="1"/>
  <c r="C8538" i="1"/>
  <c r="C8539" i="1"/>
  <c r="C8540" i="1"/>
  <c r="C8541" i="1"/>
  <c r="C8542" i="1"/>
  <c r="C8543" i="1"/>
  <c r="C8544" i="1"/>
  <c r="C8545" i="1"/>
  <c r="C8546" i="1"/>
  <c r="C8547" i="1"/>
  <c r="C8548" i="1"/>
  <c r="C8549" i="1"/>
  <c r="C8550" i="1"/>
  <c r="C8551" i="1"/>
  <c r="C8552" i="1"/>
  <c r="C8553" i="1"/>
  <c r="C8554" i="1"/>
  <c r="C8555" i="1"/>
  <c r="C8556" i="1"/>
  <c r="C8557" i="1"/>
  <c r="C8558" i="1"/>
  <c r="C8559" i="1"/>
  <c r="C8560" i="1"/>
  <c r="C8561" i="1"/>
  <c r="C8562" i="1"/>
  <c r="C8563" i="1"/>
  <c r="C8564" i="1"/>
  <c r="C8565" i="1"/>
  <c r="C8566" i="1"/>
  <c r="C8567" i="1"/>
  <c r="C8568" i="1"/>
  <c r="C8569" i="1"/>
  <c r="C8570" i="1"/>
  <c r="C8571" i="1"/>
  <c r="C8572" i="1"/>
  <c r="C8573" i="1"/>
  <c r="C8574" i="1"/>
  <c r="C8575" i="1"/>
  <c r="C8576" i="1"/>
  <c r="C8577" i="1"/>
  <c r="C8578" i="1"/>
  <c r="C8579" i="1"/>
  <c r="C8580" i="1"/>
  <c r="C8581" i="1"/>
  <c r="C8582" i="1"/>
  <c r="C8583" i="1"/>
  <c r="C8584" i="1"/>
  <c r="C8585" i="1"/>
  <c r="C8586" i="1"/>
  <c r="C8587" i="1"/>
  <c r="C8588" i="1"/>
  <c r="C8589" i="1"/>
  <c r="C8590" i="1"/>
  <c r="C8591" i="1"/>
  <c r="C8592" i="1"/>
  <c r="C8593" i="1"/>
  <c r="C8594" i="1"/>
  <c r="C8595" i="1"/>
  <c r="C8596" i="1"/>
  <c r="C8597" i="1"/>
  <c r="C8598" i="1"/>
  <c r="C8599" i="1"/>
  <c r="C8600" i="1"/>
  <c r="C8601" i="1"/>
  <c r="C8602" i="1"/>
  <c r="C8603" i="1"/>
  <c r="C8604" i="1"/>
  <c r="C8605" i="1"/>
  <c r="C8606" i="1"/>
  <c r="C8607" i="1"/>
  <c r="C8608" i="1"/>
  <c r="C8609" i="1"/>
  <c r="C8610" i="1"/>
  <c r="C8611" i="1"/>
  <c r="C8612" i="1"/>
  <c r="C8613" i="1"/>
  <c r="C8614" i="1"/>
  <c r="C8615" i="1"/>
  <c r="C8616" i="1"/>
  <c r="C8617" i="1"/>
  <c r="C8618" i="1"/>
  <c r="C8619" i="1"/>
  <c r="C8620" i="1"/>
  <c r="C8621" i="1"/>
  <c r="C8622" i="1"/>
  <c r="C8623" i="1"/>
  <c r="C8624" i="1"/>
  <c r="C8625" i="1"/>
  <c r="C8626" i="1"/>
  <c r="C8627" i="1"/>
  <c r="C8628" i="1"/>
  <c r="C8629" i="1"/>
  <c r="C8630" i="1"/>
  <c r="C8631" i="1"/>
  <c r="C8632" i="1"/>
  <c r="C8633" i="1"/>
  <c r="C8634" i="1"/>
  <c r="C8635" i="1"/>
  <c r="C8636" i="1"/>
  <c r="C8637" i="1"/>
  <c r="C8638" i="1"/>
  <c r="C8639" i="1"/>
  <c r="C8640" i="1"/>
  <c r="C8641" i="1"/>
  <c r="C8642" i="1"/>
  <c r="C8643" i="1"/>
  <c r="C8644" i="1"/>
  <c r="C8645" i="1"/>
  <c r="C8646" i="1"/>
  <c r="C8647" i="1"/>
  <c r="C8648" i="1"/>
  <c r="C8649" i="1"/>
  <c r="C8650" i="1"/>
  <c r="C8651" i="1"/>
  <c r="C8652" i="1"/>
  <c r="C8653" i="1"/>
  <c r="C8654" i="1"/>
  <c r="C8655" i="1"/>
  <c r="C8656" i="1"/>
  <c r="C8657" i="1"/>
  <c r="C8658" i="1"/>
  <c r="C8659" i="1"/>
  <c r="C8660" i="1"/>
  <c r="C8661" i="1"/>
  <c r="C8662" i="1"/>
  <c r="C8663" i="1"/>
  <c r="C8664" i="1"/>
  <c r="C8665" i="1"/>
  <c r="C8666" i="1"/>
  <c r="C8667" i="1"/>
  <c r="C8668" i="1"/>
  <c r="C8669" i="1"/>
  <c r="C8670" i="1"/>
  <c r="C8671" i="1"/>
  <c r="C8672" i="1"/>
  <c r="C8673" i="1"/>
  <c r="C8674" i="1"/>
  <c r="C8675" i="1"/>
  <c r="C8676" i="1"/>
  <c r="C8677" i="1"/>
  <c r="C8678" i="1"/>
  <c r="C8679" i="1"/>
  <c r="C8680" i="1"/>
  <c r="C8681" i="1"/>
  <c r="C8682" i="1"/>
  <c r="C8683" i="1"/>
  <c r="C8684" i="1"/>
  <c r="C8685" i="1"/>
  <c r="C8686" i="1"/>
  <c r="C8687" i="1"/>
  <c r="C8688" i="1"/>
  <c r="C8689" i="1"/>
  <c r="C8690" i="1"/>
  <c r="C8691" i="1"/>
  <c r="C8692" i="1"/>
  <c r="C8693" i="1"/>
  <c r="C8694" i="1"/>
  <c r="C8695" i="1"/>
  <c r="C8696" i="1"/>
  <c r="C8697" i="1"/>
  <c r="C8698" i="1"/>
  <c r="C8699" i="1"/>
  <c r="C8700" i="1"/>
  <c r="C8701" i="1"/>
  <c r="C8702" i="1"/>
  <c r="C8703" i="1"/>
  <c r="C8704" i="1"/>
  <c r="C8705" i="1"/>
  <c r="C8706" i="1"/>
  <c r="C8707" i="1"/>
  <c r="C8708" i="1"/>
  <c r="C8709" i="1"/>
  <c r="C8710" i="1"/>
  <c r="C8711" i="1"/>
  <c r="C8712" i="1"/>
  <c r="C8713" i="1"/>
  <c r="C8714" i="1"/>
  <c r="C8715" i="1"/>
  <c r="C8716" i="1"/>
  <c r="C8717" i="1"/>
  <c r="C8718" i="1"/>
  <c r="C8719" i="1"/>
  <c r="C8720" i="1"/>
  <c r="C8721" i="1"/>
  <c r="C8722" i="1"/>
  <c r="C8723" i="1"/>
  <c r="C8724" i="1"/>
  <c r="C8725" i="1"/>
  <c r="C8726" i="1"/>
  <c r="C8727" i="1"/>
  <c r="C8728" i="1"/>
  <c r="C8729" i="1"/>
  <c r="C8730" i="1"/>
  <c r="C8731" i="1"/>
  <c r="C8732" i="1"/>
  <c r="C8733" i="1"/>
  <c r="C8734" i="1"/>
  <c r="C8735" i="1"/>
  <c r="C8736" i="1"/>
  <c r="C8737" i="1"/>
  <c r="C8738" i="1"/>
  <c r="C8739" i="1"/>
  <c r="C8740" i="1"/>
  <c r="C8741" i="1"/>
  <c r="C8742" i="1"/>
  <c r="C8743" i="1"/>
  <c r="C8744" i="1"/>
  <c r="C8745" i="1"/>
  <c r="C8746" i="1"/>
  <c r="C8747" i="1"/>
  <c r="C8748" i="1"/>
  <c r="C8749" i="1"/>
  <c r="C8750" i="1"/>
  <c r="C8751" i="1"/>
  <c r="C8752" i="1"/>
  <c r="C8753" i="1"/>
  <c r="C8754" i="1"/>
  <c r="C8755" i="1"/>
  <c r="C8756" i="1"/>
  <c r="C8757" i="1"/>
  <c r="C8758" i="1"/>
  <c r="C8759" i="1"/>
  <c r="C8760" i="1"/>
  <c r="C8761" i="1"/>
  <c r="C8762" i="1"/>
  <c r="C8763" i="1"/>
  <c r="C8764" i="1"/>
  <c r="C8766" i="1"/>
  <c r="C8767" i="1"/>
  <c r="C8768" i="1"/>
  <c r="C8769" i="1"/>
  <c r="C8770" i="1"/>
  <c r="C8771" i="1"/>
  <c r="C8772" i="1"/>
  <c r="C8773" i="1"/>
  <c r="C8774" i="1"/>
  <c r="C8775" i="1"/>
  <c r="C8776" i="1"/>
  <c r="C8777" i="1"/>
  <c r="C8778" i="1"/>
  <c r="C8779" i="1"/>
  <c r="C8780" i="1"/>
  <c r="C8781" i="1"/>
  <c r="C8782" i="1"/>
  <c r="C8783" i="1"/>
  <c r="C8784" i="1"/>
  <c r="C8785" i="1"/>
  <c r="C8786" i="1"/>
  <c r="C8787" i="1"/>
  <c r="C8788" i="1"/>
  <c r="C8789" i="1"/>
  <c r="C8790" i="1"/>
  <c r="C8791" i="1"/>
  <c r="C8792" i="1"/>
  <c r="C8793" i="1"/>
  <c r="C8794" i="1"/>
  <c r="C8795" i="1"/>
  <c r="C8796" i="1"/>
  <c r="C8797" i="1"/>
  <c r="C8798" i="1"/>
  <c r="C8799" i="1"/>
  <c r="C8800" i="1"/>
  <c r="C8801" i="1"/>
  <c r="C8802" i="1"/>
  <c r="C8803" i="1"/>
  <c r="C8804" i="1"/>
  <c r="C8805" i="1"/>
  <c r="C8807" i="1"/>
  <c r="C8808" i="1"/>
  <c r="C8809" i="1"/>
  <c r="C8810" i="1"/>
  <c r="C8811" i="1"/>
  <c r="C8812" i="1"/>
  <c r="C8813" i="1"/>
  <c r="C8814" i="1"/>
  <c r="C8815" i="1"/>
  <c r="C8816" i="1"/>
  <c r="C8817" i="1"/>
  <c r="C8818" i="1"/>
  <c r="C8819" i="1"/>
  <c r="C8820" i="1"/>
  <c r="C8821" i="1"/>
  <c r="C8822" i="1"/>
  <c r="C8823" i="1"/>
  <c r="C8824" i="1"/>
  <c r="C8825" i="1"/>
  <c r="C8826" i="1"/>
  <c r="C8827" i="1"/>
  <c r="C8828" i="1"/>
  <c r="C8829" i="1"/>
  <c r="C8830" i="1"/>
  <c r="C8831" i="1"/>
  <c r="C8832" i="1"/>
  <c r="C8833" i="1"/>
  <c r="C8834" i="1"/>
  <c r="C8835" i="1"/>
  <c r="C8836" i="1"/>
  <c r="C8837" i="1"/>
  <c r="C8838" i="1"/>
  <c r="C8839" i="1"/>
  <c r="C8840" i="1"/>
  <c r="C8841" i="1"/>
  <c r="C8842" i="1"/>
  <c r="C8843" i="1"/>
  <c r="C8844" i="1"/>
  <c r="C8845" i="1"/>
  <c r="C8846" i="1"/>
  <c r="C8847" i="1"/>
  <c r="C8848" i="1"/>
  <c r="C8849" i="1"/>
  <c r="C8850" i="1"/>
  <c r="C8851" i="1"/>
  <c r="C8852" i="1"/>
  <c r="C8853" i="1"/>
  <c r="C8854" i="1"/>
  <c r="C8855" i="1"/>
  <c r="C8856" i="1"/>
  <c r="C8857" i="1"/>
  <c r="C8858" i="1"/>
  <c r="C8859" i="1"/>
  <c r="C8860" i="1"/>
  <c r="C8861" i="1"/>
  <c r="C8862" i="1"/>
  <c r="C8863" i="1"/>
  <c r="C8864" i="1"/>
  <c r="C8865" i="1"/>
  <c r="C8866" i="1"/>
  <c r="C8867" i="1"/>
  <c r="C8868" i="1"/>
  <c r="C8869" i="1"/>
  <c r="C8870" i="1"/>
  <c r="C8871" i="1"/>
  <c r="C8872" i="1"/>
  <c r="C8873" i="1"/>
  <c r="C8874" i="1"/>
  <c r="C8875" i="1"/>
  <c r="C8876" i="1"/>
  <c r="C8877" i="1"/>
  <c r="C8878" i="1"/>
  <c r="C8879" i="1"/>
  <c r="C8880" i="1"/>
  <c r="C8881" i="1"/>
  <c r="C8882" i="1"/>
  <c r="C8883" i="1"/>
  <c r="C8884" i="1"/>
  <c r="C8885" i="1"/>
  <c r="C8886" i="1"/>
  <c r="C8887" i="1"/>
  <c r="C8888" i="1"/>
  <c r="C8889" i="1"/>
  <c r="C8890" i="1"/>
  <c r="C8891" i="1"/>
  <c r="C8892" i="1"/>
  <c r="C8893" i="1"/>
  <c r="C8894" i="1"/>
  <c r="C8895" i="1"/>
  <c r="C8896" i="1"/>
  <c r="C8897" i="1"/>
  <c r="C8898" i="1"/>
  <c r="C8899" i="1"/>
  <c r="C8900" i="1"/>
  <c r="C8901" i="1"/>
  <c r="C8902" i="1"/>
  <c r="C8903" i="1"/>
  <c r="C8904" i="1"/>
  <c r="C8905" i="1"/>
  <c r="C8906" i="1"/>
  <c r="C8907" i="1"/>
  <c r="C8908" i="1"/>
  <c r="C8909" i="1"/>
  <c r="C8910" i="1"/>
  <c r="C8911" i="1"/>
  <c r="C8912" i="1"/>
  <c r="C8913" i="1"/>
  <c r="C8914" i="1"/>
  <c r="C8915" i="1"/>
  <c r="C8916" i="1"/>
  <c r="C8917" i="1"/>
  <c r="C8918" i="1"/>
  <c r="C8919" i="1"/>
  <c r="C8920" i="1"/>
  <c r="C8921" i="1"/>
  <c r="C8922" i="1"/>
  <c r="C8923" i="1"/>
  <c r="C8924" i="1"/>
  <c r="C8925" i="1"/>
  <c r="C8926" i="1"/>
  <c r="C8927" i="1"/>
  <c r="C8928" i="1"/>
  <c r="C8929" i="1"/>
  <c r="C8930" i="1"/>
  <c r="C8931" i="1"/>
  <c r="C8932" i="1"/>
  <c r="C8933" i="1"/>
  <c r="C8934" i="1"/>
  <c r="C8935" i="1"/>
  <c r="C8936" i="1"/>
  <c r="C8937" i="1"/>
  <c r="C8938" i="1"/>
  <c r="C8939" i="1"/>
  <c r="C8940" i="1"/>
  <c r="C8941" i="1"/>
  <c r="C8942" i="1"/>
  <c r="C8943" i="1"/>
  <c r="C8944" i="1"/>
  <c r="C8945" i="1"/>
  <c r="C8946" i="1"/>
  <c r="C8947" i="1"/>
  <c r="C8948" i="1"/>
  <c r="C8949" i="1"/>
  <c r="C8950" i="1"/>
  <c r="C8951" i="1"/>
  <c r="C8952" i="1"/>
  <c r="C8953" i="1"/>
  <c r="C8954" i="1"/>
  <c r="C8955" i="1"/>
  <c r="C8956" i="1"/>
  <c r="C8957" i="1"/>
  <c r="C8958" i="1"/>
  <c r="C8959" i="1"/>
  <c r="C8960" i="1"/>
  <c r="C8961" i="1"/>
  <c r="C8962" i="1"/>
  <c r="C8963" i="1"/>
  <c r="C8964" i="1"/>
  <c r="C8965" i="1"/>
  <c r="C8966" i="1"/>
  <c r="C8967" i="1"/>
  <c r="C8968" i="1"/>
  <c r="C8969" i="1"/>
  <c r="C8970" i="1"/>
  <c r="C8971" i="1"/>
  <c r="C8972" i="1"/>
  <c r="C8973" i="1"/>
  <c r="C8974" i="1"/>
  <c r="C8975" i="1"/>
  <c r="C8976" i="1"/>
  <c r="C8977" i="1"/>
  <c r="C8978" i="1"/>
  <c r="C8979" i="1"/>
  <c r="C8980" i="1"/>
  <c r="C8981" i="1"/>
  <c r="C8982" i="1"/>
  <c r="C8983" i="1"/>
  <c r="C8984" i="1"/>
  <c r="C8985" i="1"/>
  <c r="C8986" i="1"/>
  <c r="C8987" i="1"/>
  <c r="C8988" i="1"/>
  <c r="C8989" i="1"/>
  <c r="C8990" i="1"/>
  <c r="C8991" i="1"/>
  <c r="C8992" i="1"/>
  <c r="C8993" i="1"/>
  <c r="C8994" i="1"/>
  <c r="C8995" i="1"/>
  <c r="C8996" i="1"/>
  <c r="C8997" i="1"/>
  <c r="C8998" i="1"/>
  <c r="C8999" i="1"/>
  <c r="C9000" i="1"/>
  <c r="C9001" i="1"/>
  <c r="C9002" i="1"/>
  <c r="C9003" i="1"/>
  <c r="C9004" i="1"/>
  <c r="C9005" i="1"/>
  <c r="C9006" i="1"/>
  <c r="C9007" i="1"/>
  <c r="C9008" i="1"/>
  <c r="C9009" i="1"/>
  <c r="C9010" i="1"/>
  <c r="C9011" i="1"/>
  <c r="C9012" i="1"/>
  <c r="C9013" i="1"/>
  <c r="C9014" i="1"/>
  <c r="C9015" i="1"/>
  <c r="C9016" i="1"/>
  <c r="C9017" i="1"/>
  <c r="C9018" i="1"/>
  <c r="C9019" i="1"/>
  <c r="C9020" i="1"/>
  <c r="C9021" i="1"/>
  <c r="C9022" i="1"/>
  <c r="C9023" i="1"/>
  <c r="C9024" i="1"/>
  <c r="C9025" i="1"/>
  <c r="C9026" i="1"/>
  <c r="C9027" i="1"/>
  <c r="C9028" i="1"/>
  <c r="C9029" i="1"/>
  <c r="C9030" i="1"/>
  <c r="C9031" i="1"/>
  <c r="C9032" i="1"/>
  <c r="C9033" i="1"/>
  <c r="C9034" i="1"/>
  <c r="C9035" i="1"/>
  <c r="C9036" i="1"/>
  <c r="C9037" i="1"/>
  <c r="C9038" i="1"/>
  <c r="C9039" i="1"/>
  <c r="C9040" i="1"/>
  <c r="C9041" i="1"/>
  <c r="C9042" i="1"/>
  <c r="C9043" i="1"/>
  <c r="C9044" i="1"/>
  <c r="C9045" i="1"/>
  <c r="C9046" i="1"/>
  <c r="C9047" i="1"/>
  <c r="C9048" i="1"/>
  <c r="C9049" i="1"/>
  <c r="C9050" i="1"/>
  <c r="C9051" i="1"/>
  <c r="C9052" i="1"/>
  <c r="C9053" i="1"/>
  <c r="C9054" i="1"/>
  <c r="C9055" i="1"/>
  <c r="C9056" i="1"/>
  <c r="C9057" i="1"/>
  <c r="C9058" i="1"/>
  <c r="C9059" i="1"/>
  <c r="C9060" i="1"/>
  <c r="C9061" i="1"/>
  <c r="C9062" i="1"/>
  <c r="C9063" i="1"/>
  <c r="C9064" i="1"/>
  <c r="C9065" i="1"/>
  <c r="C9066" i="1"/>
  <c r="C9067" i="1"/>
  <c r="C9068" i="1"/>
  <c r="C9069" i="1"/>
  <c r="C9070" i="1"/>
  <c r="C9071" i="1"/>
  <c r="C9072" i="1"/>
  <c r="C9073" i="1"/>
  <c r="C9074" i="1"/>
  <c r="C9075" i="1"/>
  <c r="C9076" i="1"/>
  <c r="C9077" i="1"/>
  <c r="C9078" i="1"/>
  <c r="C9079" i="1"/>
  <c r="C9080" i="1"/>
  <c r="C9081" i="1"/>
  <c r="C9082" i="1"/>
  <c r="C9083" i="1"/>
  <c r="C9084" i="1"/>
  <c r="C9085" i="1"/>
  <c r="C9086" i="1"/>
  <c r="C9087" i="1"/>
  <c r="C9088" i="1"/>
  <c r="C9089" i="1"/>
  <c r="C9090" i="1"/>
  <c r="C9091" i="1"/>
  <c r="C9092" i="1"/>
  <c r="C9093" i="1"/>
  <c r="C9094" i="1"/>
  <c r="C9095" i="1"/>
  <c r="C9096" i="1"/>
  <c r="C9097" i="1"/>
  <c r="C9098" i="1"/>
  <c r="C9099" i="1"/>
  <c r="C9100" i="1"/>
  <c r="C9101" i="1"/>
  <c r="C9102" i="1"/>
  <c r="C9103" i="1"/>
  <c r="C9104" i="1"/>
  <c r="C9105" i="1"/>
  <c r="C9106" i="1"/>
  <c r="C9107" i="1"/>
  <c r="C9108" i="1"/>
  <c r="C9109" i="1"/>
  <c r="C9110" i="1"/>
  <c r="C9111" i="1"/>
  <c r="C9112" i="1"/>
  <c r="C9113" i="1"/>
  <c r="C9114" i="1"/>
  <c r="C9115" i="1"/>
  <c r="C9116" i="1"/>
  <c r="C9117" i="1"/>
  <c r="C9118" i="1"/>
  <c r="C9119" i="1"/>
  <c r="C9120" i="1"/>
  <c r="C9121" i="1"/>
  <c r="C9122" i="1"/>
  <c r="C9123" i="1"/>
  <c r="C9124" i="1"/>
  <c r="C9125" i="1"/>
  <c r="C9126" i="1"/>
  <c r="C9127" i="1"/>
  <c r="C9128" i="1"/>
  <c r="C9129" i="1"/>
  <c r="C9130" i="1"/>
  <c r="C9131" i="1"/>
  <c r="C9132" i="1"/>
  <c r="C9133" i="1"/>
  <c r="C9134" i="1"/>
  <c r="C9135" i="1"/>
  <c r="C9136" i="1"/>
  <c r="C9137" i="1"/>
  <c r="C9138" i="1"/>
  <c r="C9139" i="1"/>
  <c r="C9140" i="1"/>
  <c r="C9141" i="1"/>
  <c r="C9142" i="1"/>
  <c r="C9143" i="1"/>
  <c r="C9144" i="1"/>
  <c r="C9145" i="1"/>
  <c r="C9146" i="1"/>
  <c r="C9147" i="1"/>
  <c r="C9148" i="1"/>
  <c r="C9149" i="1"/>
  <c r="C9150" i="1"/>
  <c r="C9151" i="1"/>
  <c r="C9152" i="1"/>
  <c r="C9153" i="1"/>
  <c r="C9154" i="1"/>
  <c r="C9155" i="1"/>
  <c r="C9156" i="1"/>
  <c r="C9157" i="1"/>
  <c r="C9158" i="1"/>
  <c r="C9159" i="1"/>
  <c r="C9160" i="1"/>
  <c r="C9161" i="1"/>
  <c r="C9162" i="1"/>
  <c r="C9163" i="1"/>
  <c r="C9164" i="1"/>
  <c r="C9165" i="1"/>
  <c r="C9166" i="1"/>
  <c r="C9167" i="1"/>
  <c r="C9168" i="1"/>
  <c r="C9169" i="1"/>
  <c r="C9170" i="1"/>
  <c r="C9171" i="1"/>
  <c r="C9172" i="1"/>
  <c r="C9173" i="1"/>
  <c r="C9174" i="1"/>
  <c r="C9175" i="1"/>
  <c r="C9176" i="1"/>
  <c r="C9177" i="1"/>
  <c r="C9178" i="1"/>
  <c r="C9179" i="1"/>
  <c r="C9180" i="1"/>
  <c r="C9181" i="1"/>
  <c r="C9182" i="1"/>
  <c r="C9183" i="1"/>
  <c r="C9184" i="1"/>
  <c r="C9185" i="1"/>
  <c r="C9186" i="1"/>
  <c r="C9187" i="1"/>
  <c r="C9188" i="1"/>
  <c r="C9189" i="1"/>
  <c r="C9190" i="1"/>
  <c r="C9191" i="1"/>
  <c r="C9192" i="1"/>
  <c r="C9193" i="1"/>
  <c r="C9194" i="1"/>
  <c r="C9195" i="1"/>
  <c r="C9196" i="1"/>
  <c r="C9197" i="1"/>
  <c r="C9198" i="1"/>
  <c r="C9199" i="1"/>
  <c r="C9200" i="1"/>
  <c r="C9201" i="1"/>
  <c r="C9202" i="1"/>
  <c r="C9203" i="1"/>
  <c r="C9204" i="1"/>
  <c r="C9205" i="1"/>
  <c r="C9206" i="1"/>
  <c r="C9207" i="1"/>
  <c r="C9208" i="1"/>
  <c r="C9209" i="1"/>
  <c r="C9210" i="1"/>
  <c r="C9211" i="1"/>
  <c r="C9212" i="1"/>
  <c r="C9213" i="1"/>
  <c r="C9214" i="1"/>
  <c r="C9215" i="1"/>
  <c r="C9216" i="1"/>
  <c r="C9217" i="1"/>
  <c r="C9218" i="1"/>
  <c r="C9219" i="1"/>
  <c r="C9220" i="1"/>
  <c r="C9221" i="1"/>
  <c r="C9222" i="1"/>
  <c r="C9223" i="1"/>
  <c r="C9224" i="1"/>
  <c r="C9225" i="1"/>
  <c r="C9226" i="1"/>
  <c r="C9227" i="1"/>
  <c r="C9228" i="1"/>
  <c r="C9229" i="1"/>
  <c r="C9230" i="1"/>
  <c r="C9231" i="1"/>
  <c r="C9232" i="1"/>
  <c r="C9233" i="1"/>
  <c r="C9234" i="1"/>
  <c r="C9235" i="1"/>
  <c r="C9236" i="1"/>
  <c r="C9237" i="1"/>
  <c r="C9238" i="1"/>
  <c r="C9239" i="1"/>
  <c r="C9240" i="1"/>
  <c r="C9241" i="1"/>
  <c r="C9242" i="1"/>
  <c r="C9243" i="1"/>
  <c r="C9244" i="1"/>
  <c r="C9245" i="1"/>
  <c r="C9246" i="1"/>
  <c r="C9247" i="1"/>
  <c r="C9248" i="1"/>
  <c r="C9249" i="1"/>
  <c r="C9250" i="1"/>
  <c r="C9251" i="1"/>
  <c r="C9252" i="1"/>
  <c r="C9253" i="1"/>
  <c r="C9254" i="1"/>
  <c r="C9255" i="1"/>
  <c r="C9256" i="1"/>
  <c r="C9257" i="1"/>
  <c r="C9258" i="1"/>
  <c r="C9259" i="1"/>
  <c r="C9260" i="1"/>
  <c r="C9261" i="1"/>
  <c r="C9262" i="1"/>
  <c r="C9263" i="1"/>
  <c r="C9264" i="1"/>
  <c r="C9265" i="1"/>
  <c r="C9266" i="1"/>
  <c r="C9267" i="1"/>
  <c r="C9268" i="1"/>
  <c r="C9269" i="1"/>
  <c r="C9270" i="1"/>
  <c r="C9271" i="1"/>
  <c r="C9272" i="1"/>
  <c r="C9273" i="1"/>
  <c r="C9274" i="1"/>
  <c r="C9275" i="1"/>
  <c r="C9276" i="1"/>
  <c r="C9277" i="1"/>
  <c r="C9278" i="1"/>
  <c r="C9279" i="1"/>
  <c r="C9280" i="1"/>
  <c r="C9281" i="1"/>
  <c r="C9282" i="1"/>
  <c r="C9283" i="1"/>
  <c r="C9284" i="1"/>
  <c r="C9285" i="1"/>
  <c r="C9286" i="1"/>
  <c r="C9287" i="1"/>
  <c r="C9288" i="1"/>
  <c r="C9289" i="1"/>
  <c r="C9290" i="1"/>
  <c r="C9291" i="1"/>
  <c r="C9292" i="1"/>
  <c r="C9293" i="1"/>
  <c r="C9294" i="1"/>
  <c r="C9295" i="1"/>
  <c r="C9296" i="1"/>
  <c r="C9297" i="1"/>
  <c r="C9298" i="1"/>
  <c r="C9299" i="1"/>
  <c r="C9300" i="1"/>
  <c r="C9301" i="1"/>
  <c r="C9302" i="1"/>
  <c r="C9303" i="1"/>
  <c r="C9304" i="1"/>
  <c r="C9305" i="1"/>
  <c r="C9306" i="1"/>
  <c r="C9307" i="1"/>
  <c r="C9308" i="1"/>
  <c r="C9309" i="1"/>
  <c r="C9310" i="1"/>
  <c r="C9311" i="1"/>
  <c r="C9312" i="1"/>
  <c r="C9313" i="1"/>
  <c r="C9314" i="1"/>
  <c r="C9315" i="1"/>
  <c r="C9316" i="1"/>
  <c r="C9317" i="1"/>
  <c r="C9318" i="1"/>
  <c r="C9319" i="1"/>
  <c r="C9320" i="1"/>
  <c r="C9321" i="1"/>
  <c r="C9322" i="1"/>
  <c r="C9323" i="1"/>
  <c r="C9324" i="1"/>
  <c r="C9325" i="1"/>
  <c r="C9326" i="1"/>
  <c r="C9327" i="1"/>
  <c r="C9328" i="1"/>
  <c r="C9329" i="1"/>
  <c r="C9330" i="1"/>
  <c r="C9331" i="1"/>
  <c r="C9332" i="1"/>
  <c r="C9333" i="1"/>
  <c r="C9334" i="1"/>
  <c r="C9335" i="1"/>
  <c r="C9336" i="1"/>
  <c r="C9337" i="1"/>
  <c r="C9338" i="1"/>
  <c r="C9339" i="1"/>
  <c r="C9340" i="1"/>
  <c r="C9341" i="1"/>
  <c r="C9342" i="1"/>
  <c r="C9343" i="1"/>
  <c r="C9344" i="1"/>
  <c r="C9345" i="1"/>
  <c r="C9346" i="1"/>
  <c r="C9347" i="1"/>
  <c r="C9348" i="1"/>
  <c r="C9349" i="1"/>
  <c r="C9350" i="1"/>
  <c r="C9351" i="1"/>
  <c r="C9352" i="1"/>
  <c r="C9353" i="1"/>
  <c r="C9354" i="1"/>
  <c r="C9355" i="1"/>
  <c r="C9356" i="1"/>
  <c r="C9357" i="1"/>
  <c r="C9358" i="1"/>
  <c r="C9359" i="1"/>
  <c r="C9360" i="1"/>
  <c r="C9361" i="1"/>
  <c r="C9362" i="1"/>
  <c r="C9363" i="1"/>
  <c r="C9364" i="1"/>
  <c r="C9365" i="1"/>
  <c r="C9366" i="1"/>
  <c r="C9367" i="1"/>
  <c r="C9368" i="1"/>
  <c r="C9369" i="1"/>
  <c r="C9370" i="1"/>
  <c r="C9371" i="1"/>
  <c r="C9372" i="1"/>
  <c r="C9373" i="1"/>
  <c r="C9374" i="1"/>
  <c r="C9375" i="1"/>
  <c r="C9376" i="1"/>
  <c r="C9377" i="1"/>
  <c r="C9378" i="1"/>
  <c r="C9379" i="1"/>
  <c r="C9380" i="1"/>
  <c r="C9381" i="1"/>
  <c r="C9382" i="1"/>
  <c r="C9383" i="1"/>
  <c r="C9384" i="1"/>
  <c r="C9385" i="1"/>
  <c r="C9386" i="1"/>
  <c r="C9387" i="1"/>
  <c r="C9388" i="1"/>
  <c r="C9389" i="1"/>
  <c r="C9390" i="1"/>
  <c r="C9391" i="1"/>
  <c r="C9392" i="1"/>
  <c r="C9393" i="1"/>
  <c r="C9394" i="1"/>
  <c r="C9395" i="1"/>
  <c r="C9396" i="1"/>
  <c r="C9397" i="1"/>
  <c r="C9398" i="1"/>
  <c r="C9399" i="1"/>
  <c r="C9400" i="1"/>
  <c r="C9401" i="1"/>
  <c r="C9402" i="1"/>
  <c r="C9403" i="1"/>
  <c r="C9404" i="1"/>
  <c r="C9405" i="1"/>
  <c r="C9406" i="1"/>
  <c r="C9407" i="1"/>
  <c r="C9408" i="1"/>
  <c r="C9409" i="1"/>
  <c r="C9410" i="1"/>
  <c r="C9411" i="1"/>
  <c r="C9412" i="1"/>
  <c r="C9413" i="1"/>
  <c r="C9414" i="1"/>
  <c r="C9415" i="1"/>
  <c r="C9416" i="1"/>
  <c r="C9417" i="1"/>
  <c r="C9418" i="1"/>
  <c r="C9419" i="1"/>
  <c r="C9420" i="1"/>
  <c r="C9421" i="1"/>
  <c r="C9422" i="1"/>
  <c r="C9423" i="1"/>
  <c r="C9424" i="1"/>
  <c r="C9425" i="1"/>
  <c r="C9426" i="1"/>
  <c r="C9427" i="1"/>
  <c r="C9428" i="1"/>
  <c r="C9429" i="1"/>
  <c r="C9430" i="1"/>
  <c r="C9431" i="1"/>
  <c r="C9432" i="1"/>
  <c r="C9433" i="1"/>
  <c r="C9434" i="1"/>
  <c r="C9435" i="1"/>
  <c r="C9436" i="1"/>
  <c r="C9437" i="1"/>
  <c r="C9438" i="1"/>
  <c r="C9439" i="1"/>
  <c r="C9440" i="1"/>
  <c r="C9441" i="1"/>
  <c r="C9442" i="1"/>
  <c r="C9443" i="1"/>
  <c r="C9444" i="1"/>
  <c r="C9445" i="1"/>
  <c r="C9446" i="1"/>
  <c r="C9447" i="1"/>
  <c r="C9448" i="1"/>
  <c r="C9449" i="1"/>
  <c r="C9450" i="1"/>
  <c r="C9451" i="1"/>
  <c r="C9452" i="1"/>
  <c r="C9453" i="1"/>
  <c r="C9454" i="1"/>
  <c r="C9455" i="1"/>
  <c r="C9456" i="1"/>
  <c r="C9457" i="1"/>
  <c r="C9458" i="1"/>
  <c r="C9459" i="1"/>
  <c r="C9460" i="1"/>
  <c r="C9461" i="1"/>
  <c r="C9462" i="1"/>
  <c r="C9463" i="1"/>
  <c r="C9464" i="1"/>
  <c r="C9465" i="1"/>
  <c r="C9466" i="1"/>
  <c r="C9467" i="1"/>
  <c r="C9468" i="1"/>
  <c r="C9469" i="1"/>
  <c r="C9470" i="1"/>
  <c r="C9471" i="1"/>
  <c r="C9472" i="1"/>
  <c r="C9473" i="1"/>
  <c r="C9474" i="1"/>
  <c r="C9475" i="1"/>
  <c r="C9476" i="1"/>
  <c r="C9477" i="1"/>
  <c r="C9478" i="1"/>
  <c r="C9479" i="1"/>
  <c r="C9480" i="1"/>
  <c r="C9481" i="1"/>
  <c r="C9482" i="1"/>
  <c r="C9483" i="1"/>
  <c r="C9484" i="1"/>
  <c r="C9485" i="1"/>
  <c r="C9486" i="1"/>
  <c r="C9487" i="1"/>
  <c r="C9488" i="1"/>
  <c r="C9489" i="1"/>
  <c r="C9490" i="1"/>
  <c r="C9491" i="1"/>
  <c r="C9492" i="1"/>
  <c r="C9493" i="1"/>
  <c r="C9494" i="1"/>
  <c r="C9495" i="1"/>
  <c r="C9496" i="1"/>
  <c r="C9497" i="1"/>
  <c r="C9498" i="1"/>
  <c r="C9499" i="1"/>
  <c r="C9500" i="1"/>
  <c r="C9501" i="1"/>
  <c r="C9502" i="1"/>
  <c r="C9503" i="1"/>
  <c r="C9504" i="1"/>
  <c r="C9505" i="1"/>
  <c r="C9506" i="1"/>
  <c r="C9507" i="1"/>
  <c r="C9508" i="1"/>
  <c r="C9509" i="1"/>
  <c r="C9510" i="1"/>
  <c r="C9511" i="1"/>
  <c r="C9512" i="1"/>
  <c r="C9513" i="1"/>
  <c r="C9514" i="1"/>
  <c r="C9515" i="1"/>
  <c r="C9516" i="1"/>
  <c r="C9517" i="1"/>
  <c r="C9518" i="1"/>
  <c r="C9519" i="1"/>
  <c r="C9520" i="1"/>
  <c r="C9521" i="1"/>
  <c r="C9522" i="1"/>
  <c r="C9523" i="1"/>
  <c r="C9524" i="1"/>
  <c r="C9525" i="1"/>
  <c r="C9526" i="1"/>
  <c r="C9527" i="1"/>
  <c r="C9528" i="1"/>
  <c r="C9529" i="1"/>
  <c r="C9530" i="1"/>
  <c r="C9531" i="1"/>
  <c r="C9532" i="1"/>
  <c r="C9533" i="1"/>
  <c r="C9534" i="1"/>
  <c r="C9535" i="1"/>
  <c r="C9536" i="1"/>
  <c r="C9537" i="1"/>
  <c r="C9538" i="1"/>
  <c r="C9539" i="1"/>
  <c r="C9540" i="1"/>
  <c r="C9541" i="1"/>
  <c r="C9542" i="1"/>
  <c r="C9543" i="1"/>
  <c r="C9544" i="1"/>
  <c r="C9545" i="1"/>
  <c r="C9546" i="1"/>
  <c r="C9547" i="1"/>
  <c r="C9548" i="1"/>
  <c r="C9549" i="1"/>
  <c r="C9550" i="1"/>
  <c r="C9551" i="1"/>
  <c r="C9552" i="1"/>
  <c r="C9553" i="1"/>
  <c r="C9554" i="1"/>
  <c r="C9555" i="1"/>
  <c r="C9556" i="1"/>
  <c r="C9557" i="1"/>
  <c r="C9558" i="1"/>
  <c r="C9559" i="1"/>
  <c r="C9560" i="1"/>
  <c r="C9561" i="1"/>
  <c r="C9562" i="1"/>
  <c r="C9563" i="1"/>
  <c r="C9564" i="1"/>
  <c r="C9565" i="1"/>
  <c r="C9566" i="1"/>
  <c r="C9567" i="1"/>
  <c r="C9568" i="1"/>
  <c r="C9569" i="1"/>
  <c r="C9570" i="1"/>
  <c r="C9571" i="1"/>
  <c r="C9572" i="1"/>
  <c r="C9573" i="1"/>
  <c r="C9574" i="1"/>
  <c r="C9575" i="1"/>
  <c r="C9576" i="1"/>
  <c r="C9577" i="1"/>
  <c r="C9578" i="1"/>
  <c r="C9579" i="1"/>
  <c r="C9580" i="1"/>
  <c r="C9581" i="1"/>
  <c r="C9582" i="1"/>
  <c r="C9583" i="1"/>
  <c r="C9584" i="1"/>
  <c r="C9585" i="1"/>
  <c r="C9586" i="1"/>
  <c r="C9587" i="1"/>
  <c r="C9588" i="1"/>
  <c r="C9589" i="1"/>
  <c r="C9590" i="1"/>
  <c r="C9591" i="1"/>
  <c r="C9592" i="1"/>
  <c r="C9593" i="1"/>
  <c r="C9594" i="1"/>
  <c r="C9595" i="1"/>
  <c r="C9596" i="1"/>
  <c r="C9597" i="1"/>
  <c r="C9598" i="1"/>
  <c r="C9599" i="1"/>
  <c r="C9600" i="1"/>
  <c r="C9601" i="1"/>
  <c r="C9602" i="1"/>
  <c r="C9603" i="1"/>
  <c r="C9604" i="1"/>
  <c r="C9605" i="1"/>
  <c r="C9606" i="1"/>
  <c r="C9607" i="1"/>
  <c r="C9608" i="1"/>
  <c r="C9609" i="1"/>
  <c r="C9610" i="1"/>
  <c r="C9611" i="1"/>
  <c r="C9612" i="1"/>
  <c r="C9613" i="1"/>
  <c r="C9614" i="1"/>
  <c r="C9615" i="1"/>
  <c r="C9616" i="1"/>
  <c r="C9617" i="1"/>
  <c r="C9618" i="1"/>
  <c r="C9619" i="1"/>
  <c r="C9620" i="1"/>
  <c r="C9621" i="1"/>
  <c r="C9622" i="1"/>
  <c r="C9623" i="1"/>
  <c r="C9624" i="1"/>
  <c r="C9625" i="1"/>
  <c r="C9626" i="1"/>
  <c r="C9627" i="1"/>
  <c r="C9628" i="1"/>
  <c r="C9629" i="1"/>
  <c r="C9630" i="1"/>
  <c r="C9631" i="1"/>
  <c r="C9632" i="1"/>
  <c r="C9633" i="1"/>
  <c r="C9634" i="1"/>
  <c r="C9635" i="1"/>
  <c r="C9636" i="1"/>
  <c r="C9637" i="1"/>
  <c r="C9638" i="1"/>
  <c r="C9639" i="1"/>
  <c r="C9640" i="1"/>
  <c r="C9641" i="1"/>
  <c r="C9642" i="1"/>
  <c r="C9643" i="1"/>
  <c r="C9644" i="1"/>
  <c r="C9645" i="1"/>
  <c r="C9646" i="1"/>
  <c r="C9647" i="1"/>
  <c r="C9648" i="1"/>
  <c r="C9649" i="1"/>
  <c r="C9650" i="1"/>
  <c r="C9651" i="1"/>
  <c r="C9652" i="1"/>
  <c r="C9653" i="1"/>
  <c r="C9654" i="1"/>
  <c r="C9655" i="1"/>
  <c r="C9656" i="1"/>
  <c r="C9657" i="1"/>
  <c r="C9658" i="1"/>
  <c r="C9659" i="1"/>
  <c r="C9660" i="1"/>
  <c r="C9661" i="1"/>
  <c r="C9662" i="1"/>
  <c r="C9663" i="1"/>
  <c r="C9664" i="1"/>
  <c r="C9665" i="1"/>
  <c r="C9666" i="1"/>
  <c r="C9667" i="1"/>
  <c r="C9668" i="1"/>
  <c r="C9669" i="1"/>
  <c r="C9670" i="1"/>
  <c r="C9671" i="1"/>
  <c r="C9672" i="1"/>
  <c r="C9673" i="1"/>
  <c r="C9674" i="1"/>
  <c r="C9675" i="1"/>
  <c r="C9676" i="1"/>
  <c r="C9677" i="1"/>
  <c r="C9678" i="1"/>
  <c r="C9679" i="1"/>
  <c r="C9680" i="1"/>
  <c r="C9681" i="1"/>
  <c r="C9682" i="1"/>
  <c r="C9683" i="1"/>
  <c r="C9684" i="1"/>
  <c r="C9685" i="1"/>
  <c r="C9686" i="1"/>
  <c r="C9687" i="1"/>
  <c r="C9688" i="1"/>
  <c r="C9689" i="1"/>
  <c r="C9690" i="1"/>
  <c r="C9691" i="1"/>
  <c r="C9692" i="1"/>
  <c r="C9693" i="1"/>
  <c r="C9694" i="1"/>
  <c r="C9695" i="1"/>
  <c r="C9696" i="1"/>
  <c r="C9697" i="1"/>
  <c r="C9698" i="1"/>
  <c r="C9699" i="1"/>
  <c r="C9700" i="1"/>
  <c r="C9701" i="1"/>
  <c r="C9702" i="1"/>
  <c r="C9703" i="1"/>
  <c r="C9704" i="1"/>
  <c r="C9705" i="1"/>
  <c r="C9706" i="1"/>
  <c r="C9707" i="1"/>
  <c r="C9708" i="1"/>
  <c r="C9709" i="1"/>
  <c r="C9710" i="1"/>
  <c r="C9711" i="1"/>
  <c r="C9712" i="1"/>
  <c r="C9713" i="1"/>
  <c r="C9714" i="1"/>
  <c r="C9715" i="1"/>
  <c r="C9716" i="1"/>
  <c r="C9717" i="1"/>
  <c r="C9718" i="1"/>
  <c r="C9719" i="1"/>
  <c r="C9720" i="1"/>
  <c r="C9721" i="1"/>
  <c r="C9722" i="1"/>
  <c r="C9723" i="1"/>
  <c r="C9724" i="1"/>
  <c r="C9725" i="1"/>
  <c r="C9726" i="1"/>
  <c r="C9727" i="1"/>
  <c r="C9728" i="1"/>
  <c r="C9729" i="1"/>
  <c r="C9730" i="1"/>
  <c r="C9731" i="1"/>
  <c r="C9732" i="1"/>
  <c r="C9733" i="1"/>
  <c r="C9734" i="1"/>
  <c r="C9735" i="1"/>
  <c r="C9736" i="1"/>
  <c r="C9737" i="1"/>
  <c r="C9738" i="1"/>
  <c r="C9739" i="1"/>
  <c r="C9740" i="1"/>
  <c r="C9741" i="1"/>
  <c r="C9742" i="1"/>
  <c r="C9743" i="1"/>
  <c r="C9744" i="1"/>
  <c r="C9745" i="1"/>
  <c r="C9746" i="1"/>
  <c r="C9747" i="1"/>
  <c r="C9748" i="1"/>
  <c r="C9749" i="1"/>
  <c r="C9750" i="1"/>
  <c r="C9751" i="1"/>
  <c r="C9752" i="1"/>
  <c r="C9753" i="1"/>
  <c r="C9754" i="1"/>
  <c r="C9755" i="1"/>
  <c r="C9756" i="1"/>
  <c r="C9757" i="1"/>
  <c r="C9758" i="1"/>
  <c r="C9759" i="1"/>
  <c r="C9760" i="1"/>
  <c r="C9762" i="1"/>
  <c r="C9763" i="1"/>
  <c r="C9764" i="1"/>
  <c r="C9765" i="1"/>
  <c r="C9766" i="1"/>
  <c r="C9767" i="1"/>
  <c r="C9768" i="1"/>
  <c r="C9769" i="1"/>
  <c r="C9770" i="1"/>
  <c r="C9771" i="1"/>
  <c r="C9772" i="1"/>
  <c r="C9773" i="1"/>
  <c r="C9774" i="1"/>
  <c r="C9775" i="1"/>
  <c r="C9776" i="1"/>
  <c r="C9777" i="1"/>
  <c r="C9778" i="1"/>
  <c r="C9779" i="1"/>
  <c r="C9780" i="1"/>
  <c r="C9781" i="1"/>
  <c r="C9782" i="1"/>
  <c r="C9783" i="1"/>
  <c r="C9784" i="1"/>
  <c r="C9785" i="1"/>
  <c r="C9786" i="1"/>
  <c r="C9787" i="1"/>
  <c r="C9788" i="1"/>
  <c r="C9789" i="1"/>
  <c r="C9790" i="1"/>
  <c r="C9791" i="1"/>
  <c r="C9792" i="1"/>
  <c r="C9793" i="1"/>
  <c r="C9794" i="1"/>
  <c r="C9795" i="1"/>
  <c r="C9796" i="1"/>
  <c r="C9797" i="1"/>
  <c r="C9798" i="1"/>
  <c r="C9799" i="1"/>
  <c r="C9800" i="1"/>
  <c r="C9801" i="1"/>
  <c r="C9802" i="1"/>
  <c r="C9803" i="1"/>
  <c r="C9804" i="1"/>
  <c r="C9805" i="1"/>
  <c r="C9806" i="1"/>
  <c r="C9807" i="1"/>
  <c r="C9808" i="1"/>
  <c r="C9809" i="1"/>
  <c r="C9810" i="1"/>
  <c r="C9811" i="1"/>
  <c r="C9812" i="1"/>
  <c r="C9813" i="1"/>
  <c r="C9814" i="1"/>
  <c r="C9815" i="1"/>
  <c r="C9816" i="1"/>
  <c r="C9817" i="1"/>
  <c r="C9818" i="1"/>
  <c r="C9819" i="1"/>
  <c r="C9820" i="1"/>
  <c r="C9821" i="1"/>
  <c r="C9822" i="1"/>
  <c r="C9823" i="1"/>
  <c r="C9824" i="1"/>
  <c r="C9825" i="1"/>
  <c r="C9826" i="1"/>
  <c r="C9827" i="1"/>
  <c r="C9828" i="1"/>
  <c r="C9829" i="1"/>
  <c r="C9830" i="1"/>
  <c r="C9831" i="1"/>
  <c r="C9832" i="1"/>
  <c r="C9833" i="1"/>
  <c r="C9834" i="1"/>
  <c r="C9835" i="1"/>
  <c r="C9836" i="1"/>
  <c r="C9837" i="1"/>
  <c r="C9838" i="1"/>
  <c r="C9839" i="1"/>
  <c r="C9840" i="1"/>
  <c r="C9841" i="1"/>
  <c r="C9842" i="1"/>
  <c r="C9843" i="1"/>
  <c r="C9844" i="1"/>
  <c r="C9845" i="1"/>
  <c r="C9846" i="1"/>
  <c r="C9847" i="1"/>
  <c r="C9848" i="1"/>
  <c r="C9849" i="1"/>
  <c r="C9850" i="1"/>
  <c r="C9851" i="1"/>
  <c r="C9852" i="1"/>
  <c r="C9853" i="1"/>
  <c r="C9854" i="1"/>
  <c r="C9855" i="1"/>
  <c r="C9856" i="1"/>
  <c r="C9857" i="1"/>
  <c r="C9858" i="1"/>
  <c r="C9859" i="1"/>
  <c r="C9860" i="1"/>
  <c r="C9861" i="1"/>
  <c r="C9862" i="1"/>
  <c r="C9863" i="1"/>
  <c r="C9864" i="1"/>
  <c r="C9865" i="1"/>
  <c r="C9866" i="1"/>
  <c r="C9867" i="1"/>
  <c r="C9868" i="1"/>
  <c r="C9869" i="1"/>
  <c r="C9870" i="1"/>
  <c r="C9871" i="1"/>
  <c r="C9872" i="1"/>
  <c r="C9873" i="1"/>
  <c r="C9874" i="1"/>
  <c r="C9875" i="1"/>
  <c r="C9876" i="1"/>
  <c r="C9877" i="1"/>
  <c r="C9878" i="1"/>
  <c r="C9879" i="1"/>
  <c r="C9880" i="1"/>
  <c r="C9881" i="1"/>
  <c r="C9882" i="1"/>
  <c r="C9883" i="1"/>
  <c r="C9884" i="1"/>
  <c r="C9885" i="1"/>
  <c r="C9886" i="1"/>
  <c r="C9887" i="1"/>
  <c r="C9888" i="1"/>
  <c r="C9889" i="1"/>
  <c r="C9890" i="1"/>
  <c r="C9891" i="1"/>
  <c r="C9892" i="1"/>
  <c r="C9893" i="1"/>
  <c r="C9894" i="1"/>
  <c r="C9895" i="1"/>
  <c r="C9896" i="1"/>
  <c r="C9897" i="1"/>
  <c r="C9898" i="1"/>
  <c r="C9899" i="1"/>
  <c r="C9900" i="1"/>
  <c r="C9901" i="1"/>
  <c r="C9902" i="1"/>
  <c r="C9903" i="1"/>
  <c r="C9904" i="1"/>
  <c r="C9905" i="1"/>
  <c r="C9906" i="1"/>
  <c r="C9907" i="1"/>
  <c r="C9908" i="1"/>
  <c r="C9909" i="1"/>
  <c r="C9910" i="1"/>
  <c r="C9911" i="1"/>
  <c r="C9912" i="1"/>
  <c r="C9913" i="1"/>
  <c r="C9914" i="1"/>
  <c r="C9915" i="1"/>
  <c r="C9916" i="1"/>
  <c r="C9917" i="1"/>
  <c r="C9918" i="1"/>
  <c r="C9919" i="1"/>
  <c r="C9920" i="1"/>
  <c r="C9921" i="1"/>
  <c r="C9922" i="1"/>
  <c r="C9923" i="1"/>
  <c r="C9924" i="1"/>
  <c r="C9925" i="1"/>
  <c r="C9926" i="1"/>
  <c r="C9927" i="1"/>
  <c r="C9928" i="1"/>
  <c r="C9929" i="1"/>
  <c r="C9930" i="1"/>
  <c r="C9931" i="1"/>
  <c r="C9932" i="1"/>
  <c r="C9933" i="1"/>
  <c r="C9934" i="1"/>
  <c r="C9935" i="1"/>
  <c r="C9936" i="1"/>
  <c r="C9937" i="1"/>
  <c r="C9938" i="1"/>
  <c r="C9939" i="1"/>
  <c r="C9940" i="1"/>
  <c r="C9941" i="1"/>
  <c r="C9942" i="1"/>
  <c r="C9943" i="1"/>
  <c r="C9944" i="1"/>
  <c r="C9945" i="1"/>
  <c r="C9946" i="1"/>
  <c r="C9947" i="1"/>
  <c r="C9948" i="1"/>
  <c r="C9949" i="1"/>
  <c r="C9950" i="1"/>
  <c r="C9951" i="1"/>
  <c r="C9952" i="1"/>
  <c r="C9953" i="1"/>
  <c r="C9954" i="1"/>
  <c r="C9955" i="1"/>
  <c r="C9956" i="1"/>
  <c r="C9957" i="1"/>
  <c r="C9958" i="1"/>
  <c r="C9959" i="1"/>
  <c r="C9960" i="1"/>
  <c r="C9961" i="1"/>
  <c r="C9962" i="1"/>
  <c r="C9963" i="1"/>
  <c r="C9964" i="1"/>
  <c r="C9965" i="1"/>
  <c r="C9966" i="1"/>
  <c r="C9967" i="1"/>
  <c r="C9968" i="1"/>
  <c r="C9969" i="1"/>
  <c r="C9970" i="1"/>
  <c r="C9971" i="1"/>
  <c r="C9972" i="1"/>
  <c r="C9973" i="1"/>
  <c r="C9974" i="1"/>
  <c r="C9975" i="1"/>
  <c r="C9976" i="1"/>
  <c r="C9977" i="1"/>
  <c r="C9978" i="1"/>
  <c r="C9979" i="1"/>
  <c r="C9980" i="1"/>
  <c r="C9981" i="1"/>
  <c r="C9982" i="1"/>
  <c r="C9983" i="1"/>
  <c r="C9984" i="1"/>
  <c r="C9985" i="1"/>
  <c r="C9986" i="1"/>
  <c r="C9987" i="1"/>
  <c r="C9988" i="1"/>
  <c r="C9989" i="1"/>
  <c r="C9990" i="1"/>
  <c r="C9991" i="1"/>
  <c r="C9992" i="1"/>
  <c r="C9993" i="1"/>
  <c r="C9994" i="1"/>
  <c r="C9995" i="1"/>
  <c r="C9996" i="1"/>
  <c r="C9997" i="1"/>
  <c r="C9998" i="1"/>
  <c r="C9999" i="1"/>
  <c r="C10000" i="1"/>
  <c r="C10001" i="1"/>
  <c r="C10002" i="1"/>
  <c r="C10003" i="1"/>
  <c r="C10004" i="1"/>
  <c r="C10005" i="1"/>
  <c r="C10006" i="1"/>
  <c r="C10007" i="1"/>
  <c r="C10008" i="1"/>
  <c r="C10009" i="1"/>
  <c r="C10010" i="1"/>
  <c r="C10011" i="1"/>
  <c r="C10012" i="1"/>
  <c r="C10013" i="1"/>
  <c r="C10014" i="1"/>
  <c r="C10015" i="1"/>
  <c r="C10016" i="1"/>
  <c r="C10017" i="1"/>
  <c r="C10018" i="1"/>
  <c r="C10019" i="1"/>
  <c r="C10020" i="1"/>
  <c r="C10021" i="1"/>
  <c r="C10022" i="1"/>
  <c r="C10023" i="1"/>
  <c r="C10024" i="1"/>
  <c r="C10025" i="1"/>
  <c r="C10026" i="1"/>
  <c r="C10027" i="1"/>
  <c r="C10028" i="1"/>
  <c r="C10029" i="1"/>
  <c r="C10030" i="1"/>
  <c r="C10031" i="1"/>
  <c r="C10032" i="1"/>
  <c r="C10033" i="1"/>
  <c r="C10034" i="1"/>
  <c r="C10035" i="1"/>
  <c r="C10036" i="1"/>
  <c r="C10037" i="1"/>
  <c r="C10038" i="1"/>
  <c r="C10039" i="1"/>
  <c r="C10040" i="1"/>
  <c r="C10041" i="1"/>
  <c r="C10042" i="1"/>
  <c r="C10043" i="1"/>
  <c r="C10044" i="1"/>
  <c r="C10045" i="1"/>
  <c r="C10046" i="1"/>
  <c r="C10047" i="1"/>
  <c r="C10048" i="1"/>
  <c r="C10049" i="1"/>
  <c r="C10050" i="1"/>
  <c r="C10051" i="1"/>
  <c r="C10052" i="1"/>
  <c r="C10053" i="1"/>
  <c r="C10054" i="1"/>
  <c r="C10055" i="1"/>
  <c r="C10056" i="1"/>
  <c r="C10057" i="1"/>
  <c r="C10058" i="1"/>
  <c r="C10059" i="1"/>
  <c r="C10060" i="1"/>
  <c r="C10061" i="1"/>
  <c r="C10062" i="1"/>
  <c r="C10063" i="1"/>
  <c r="C10064" i="1"/>
  <c r="C10065" i="1"/>
  <c r="C10066" i="1"/>
  <c r="C10067" i="1"/>
  <c r="C10068" i="1"/>
  <c r="C10069" i="1"/>
  <c r="C10070" i="1"/>
  <c r="C10071" i="1"/>
  <c r="C10072" i="1"/>
  <c r="C10073" i="1"/>
  <c r="C10074" i="1"/>
  <c r="C10075" i="1"/>
  <c r="C10076" i="1"/>
  <c r="C10077" i="1"/>
  <c r="C10078" i="1"/>
  <c r="C10079" i="1"/>
  <c r="C10080" i="1"/>
  <c r="C10081" i="1"/>
  <c r="C10082" i="1"/>
  <c r="C10083" i="1"/>
  <c r="C10084" i="1"/>
  <c r="C10085" i="1"/>
  <c r="C10086" i="1"/>
  <c r="C10087" i="1"/>
  <c r="C10088" i="1"/>
  <c r="C10089" i="1"/>
  <c r="C10090" i="1"/>
  <c r="C10091" i="1"/>
  <c r="C10092" i="1"/>
  <c r="C10093" i="1"/>
  <c r="C10094" i="1"/>
  <c r="C10095" i="1"/>
  <c r="C10096" i="1"/>
  <c r="C10097" i="1"/>
  <c r="C10098" i="1"/>
  <c r="C10099" i="1"/>
  <c r="C10100" i="1"/>
  <c r="C10101" i="1"/>
  <c r="C10102" i="1"/>
  <c r="C10103" i="1"/>
  <c r="C10104" i="1"/>
  <c r="C10105" i="1"/>
  <c r="C10106" i="1"/>
  <c r="C10107" i="1"/>
  <c r="C10108" i="1"/>
  <c r="C10109" i="1"/>
  <c r="C10110" i="1"/>
  <c r="C10111" i="1"/>
  <c r="C10112" i="1"/>
  <c r="C10113" i="1"/>
  <c r="C10114" i="1"/>
  <c r="C10115" i="1"/>
  <c r="C10116" i="1"/>
  <c r="C10117" i="1"/>
  <c r="C10118" i="1"/>
  <c r="C10119" i="1"/>
  <c r="C10120" i="1"/>
  <c r="C10121" i="1"/>
  <c r="C10122" i="1"/>
  <c r="C10123" i="1"/>
  <c r="C10124" i="1"/>
  <c r="C10125" i="1"/>
  <c r="C10126" i="1"/>
  <c r="C10127" i="1"/>
  <c r="C10128" i="1"/>
  <c r="C10129" i="1"/>
  <c r="C10130" i="1"/>
  <c r="C10131" i="1"/>
  <c r="C10132" i="1"/>
  <c r="C10133" i="1"/>
  <c r="C10134" i="1"/>
  <c r="C10135" i="1"/>
  <c r="C10136" i="1"/>
  <c r="C10137" i="1"/>
  <c r="C10138" i="1"/>
  <c r="C10139" i="1"/>
  <c r="C10140" i="1"/>
  <c r="C10141" i="1"/>
  <c r="C10142" i="1"/>
  <c r="C10143" i="1"/>
  <c r="C10144" i="1"/>
  <c r="C10145" i="1"/>
  <c r="C10146" i="1"/>
  <c r="C10147" i="1"/>
  <c r="C10148" i="1"/>
  <c r="C10149" i="1"/>
  <c r="C10150" i="1"/>
  <c r="C10151" i="1"/>
  <c r="C10152" i="1"/>
  <c r="C10153" i="1"/>
  <c r="C10154" i="1"/>
  <c r="C10155" i="1"/>
  <c r="C10156" i="1"/>
  <c r="C10157" i="1"/>
  <c r="C10158" i="1"/>
  <c r="C10159" i="1"/>
  <c r="C10160" i="1"/>
  <c r="C10161" i="1"/>
  <c r="C10162" i="1"/>
  <c r="C10163" i="1"/>
  <c r="C10164" i="1"/>
  <c r="C10165" i="1"/>
  <c r="C10166" i="1"/>
  <c r="C10167" i="1"/>
  <c r="C10168" i="1"/>
  <c r="C10169" i="1"/>
  <c r="C10170" i="1"/>
  <c r="C10171" i="1"/>
  <c r="C10172" i="1"/>
  <c r="C10173" i="1"/>
  <c r="C10174" i="1"/>
  <c r="C10175" i="1"/>
  <c r="C10176" i="1"/>
  <c r="C10177" i="1"/>
  <c r="C10178" i="1"/>
  <c r="C10179" i="1"/>
  <c r="C10180" i="1"/>
  <c r="C10181" i="1"/>
  <c r="C10182" i="1"/>
  <c r="C10183" i="1"/>
  <c r="C10184" i="1"/>
  <c r="C10185" i="1"/>
  <c r="C10186" i="1"/>
  <c r="C10187" i="1"/>
  <c r="C10188" i="1"/>
  <c r="C10189" i="1"/>
  <c r="C10190" i="1"/>
  <c r="C10191" i="1"/>
  <c r="C10192" i="1"/>
  <c r="C10193" i="1"/>
  <c r="C10194" i="1"/>
  <c r="C10195" i="1"/>
  <c r="C10196" i="1"/>
  <c r="C10197" i="1"/>
  <c r="C10198" i="1"/>
  <c r="C10199" i="1"/>
  <c r="C10200" i="1"/>
  <c r="C10201" i="1"/>
  <c r="C10202" i="1"/>
  <c r="C10203" i="1"/>
  <c r="C10204" i="1"/>
  <c r="C10205" i="1"/>
  <c r="C10206" i="1"/>
  <c r="C10207" i="1"/>
  <c r="C10208" i="1"/>
  <c r="C10209" i="1"/>
  <c r="C10210" i="1"/>
  <c r="C10211" i="1"/>
  <c r="C10212" i="1"/>
  <c r="C10213" i="1"/>
  <c r="C10214" i="1"/>
  <c r="C10215" i="1"/>
  <c r="C10216" i="1"/>
  <c r="C10217" i="1"/>
  <c r="C10218" i="1"/>
  <c r="C10219" i="1"/>
  <c r="C10220" i="1"/>
  <c r="C10221" i="1"/>
  <c r="C10222" i="1"/>
  <c r="C10223" i="1"/>
  <c r="C10224" i="1"/>
  <c r="C10225" i="1"/>
  <c r="C10226" i="1"/>
  <c r="C10227" i="1"/>
  <c r="C10228" i="1"/>
  <c r="C10229" i="1"/>
  <c r="C10230" i="1"/>
  <c r="C10231" i="1"/>
  <c r="C10232" i="1"/>
  <c r="C10233" i="1"/>
  <c r="C10234" i="1"/>
  <c r="C10235" i="1"/>
  <c r="C10236" i="1"/>
  <c r="C10237" i="1"/>
  <c r="C10238" i="1"/>
  <c r="C10239" i="1"/>
  <c r="C10240" i="1"/>
  <c r="C10241" i="1"/>
  <c r="C10242" i="1"/>
  <c r="C10243" i="1"/>
  <c r="C10244" i="1"/>
  <c r="C10245" i="1"/>
  <c r="C10246" i="1"/>
  <c r="C10247" i="1"/>
  <c r="C10248" i="1"/>
  <c r="C10249" i="1"/>
  <c r="C10250" i="1"/>
  <c r="C10251" i="1"/>
  <c r="C10252" i="1"/>
  <c r="C10253" i="1"/>
  <c r="C10254" i="1"/>
  <c r="C10255" i="1"/>
  <c r="C10256" i="1"/>
  <c r="C10257" i="1"/>
  <c r="C10258" i="1"/>
  <c r="C10259" i="1"/>
  <c r="C10260" i="1"/>
  <c r="C10261" i="1"/>
  <c r="C10262" i="1"/>
  <c r="C10263" i="1"/>
  <c r="C10264" i="1"/>
  <c r="C10265" i="1"/>
  <c r="C10266" i="1"/>
  <c r="C10267" i="1"/>
  <c r="C10268" i="1"/>
  <c r="C10269" i="1"/>
  <c r="C10270" i="1"/>
  <c r="C10271" i="1"/>
  <c r="C10272" i="1"/>
  <c r="C10273" i="1"/>
  <c r="C10274" i="1"/>
  <c r="C10275" i="1"/>
  <c r="C10276" i="1"/>
  <c r="C10277" i="1"/>
  <c r="C10278" i="1"/>
  <c r="C10279" i="1"/>
  <c r="C10280" i="1"/>
  <c r="C10281" i="1"/>
  <c r="C10282" i="1"/>
  <c r="C10283" i="1"/>
  <c r="C10284" i="1"/>
  <c r="C10285" i="1"/>
  <c r="C10286" i="1"/>
  <c r="C10287" i="1"/>
  <c r="C10288" i="1"/>
  <c r="C10289" i="1"/>
  <c r="C10290" i="1"/>
  <c r="C10291" i="1"/>
  <c r="C10292" i="1"/>
  <c r="C10293" i="1"/>
  <c r="C10294" i="1"/>
  <c r="C10295" i="1"/>
  <c r="C10296" i="1"/>
  <c r="C10297" i="1"/>
  <c r="C10298" i="1"/>
  <c r="C10299" i="1"/>
  <c r="C10300" i="1"/>
  <c r="C10301" i="1"/>
  <c r="C10302" i="1"/>
  <c r="C10303" i="1"/>
  <c r="C10304" i="1"/>
  <c r="C10305" i="1"/>
  <c r="C10306" i="1"/>
  <c r="C10307" i="1"/>
  <c r="C10308" i="1"/>
  <c r="C10309" i="1"/>
  <c r="C10310" i="1"/>
  <c r="C10311" i="1"/>
  <c r="C10312" i="1"/>
  <c r="C10313" i="1"/>
  <c r="C10314" i="1"/>
  <c r="C10315" i="1"/>
  <c r="C10316" i="1"/>
  <c r="C10317" i="1"/>
  <c r="C10318" i="1"/>
  <c r="C10319" i="1"/>
  <c r="C10320" i="1"/>
  <c r="C10321" i="1"/>
  <c r="C10322" i="1"/>
  <c r="C10323" i="1"/>
  <c r="C10324" i="1"/>
  <c r="C10325" i="1"/>
  <c r="C10326" i="1"/>
  <c r="C10327" i="1"/>
  <c r="C10328" i="1"/>
  <c r="C10329" i="1"/>
  <c r="C10330" i="1"/>
  <c r="C10331" i="1"/>
  <c r="C10332" i="1"/>
  <c r="C10333" i="1"/>
  <c r="C10334" i="1"/>
  <c r="C10335" i="1"/>
  <c r="C10336" i="1"/>
  <c r="C10337" i="1"/>
  <c r="C10338" i="1"/>
  <c r="C10339" i="1"/>
  <c r="C10340" i="1"/>
  <c r="C10341" i="1"/>
  <c r="C10342" i="1"/>
  <c r="C10343" i="1"/>
  <c r="C10344" i="1"/>
  <c r="C10345" i="1"/>
  <c r="C10346" i="1"/>
  <c r="C10347" i="1"/>
  <c r="C10348" i="1"/>
  <c r="C10349" i="1"/>
  <c r="C10350" i="1"/>
  <c r="C10351" i="1"/>
  <c r="C10352" i="1"/>
  <c r="C10353" i="1"/>
  <c r="C10354" i="1"/>
  <c r="C10355" i="1"/>
  <c r="C10356" i="1"/>
  <c r="C10357" i="1"/>
  <c r="C10358" i="1"/>
  <c r="C10359" i="1"/>
  <c r="C10360" i="1"/>
  <c r="C10361" i="1"/>
  <c r="C10362" i="1"/>
  <c r="C10363" i="1"/>
  <c r="C10364" i="1"/>
  <c r="C10365" i="1"/>
  <c r="C10366" i="1"/>
  <c r="C10367" i="1"/>
  <c r="C10368" i="1"/>
  <c r="C10369" i="1"/>
  <c r="C10370" i="1"/>
  <c r="C10371" i="1"/>
  <c r="C10372" i="1"/>
  <c r="C10373" i="1"/>
  <c r="C10374" i="1"/>
  <c r="C10375" i="1"/>
  <c r="C10376" i="1"/>
  <c r="C10377" i="1"/>
  <c r="C10378" i="1"/>
  <c r="C10379" i="1"/>
  <c r="C10380" i="1"/>
  <c r="C10381" i="1"/>
  <c r="C10382" i="1"/>
  <c r="C10383" i="1"/>
  <c r="C10384" i="1"/>
  <c r="C10385" i="1"/>
  <c r="C10386" i="1"/>
  <c r="C10387" i="1"/>
  <c r="C10388" i="1"/>
  <c r="C10389" i="1"/>
  <c r="C10390" i="1"/>
  <c r="C10391" i="1"/>
  <c r="C10392" i="1"/>
  <c r="C10393" i="1"/>
  <c r="C10394" i="1"/>
  <c r="C10395" i="1"/>
  <c r="C10396" i="1"/>
  <c r="C10397" i="1"/>
  <c r="C10398" i="1"/>
  <c r="C10399" i="1"/>
  <c r="C10400" i="1"/>
  <c r="C10401" i="1"/>
  <c r="C10402" i="1"/>
  <c r="C10403" i="1"/>
  <c r="C10404" i="1"/>
  <c r="C10405" i="1"/>
  <c r="C10406" i="1"/>
  <c r="C10407" i="1"/>
  <c r="C10408" i="1"/>
  <c r="C10409" i="1"/>
  <c r="C10410" i="1"/>
  <c r="C10411" i="1"/>
  <c r="C10412" i="1"/>
  <c r="C10413" i="1"/>
  <c r="C10414" i="1"/>
  <c r="C10415" i="1"/>
  <c r="C10416" i="1"/>
  <c r="C10417" i="1"/>
  <c r="C10418" i="1"/>
  <c r="C10419" i="1"/>
  <c r="C10420" i="1"/>
  <c r="C10421" i="1"/>
  <c r="C10422" i="1"/>
  <c r="C10423" i="1"/>
  <c r="C10424" i="1"/>
  <c r="C10425" i="1"/>
  <c r="C10426" i="1"/>
  <c r="C10427" i="1"/>
  <c r="C10428" i="1"/>
  <c r="C10429" i="1"/>
  <c r="C10430" i="1"/>
  <c r="C10431" i="1"/>
  <c r="C10432" i="1"/>
  <c r="C10433" i="1"/>
  <c r="C10434" i="1"/>
  <c r="C10435" i="1"/>
  <c r="C10436" i="1"/>
  <c r="C10437" i="1"/>
  <c r="C10438" i="1"/>
  <c r="C10439" i="1"/>
  <c r="C10440" i="1"/>
  <c r="C10441" i="1"/>
  <c r="C10442" i="1"/>
  <c r="C10443" i="1"/>
  <c r="C10444" i="1"/>
  <c r="C10445" i="1"/>
  <c r="C10446" i="1"/>
  <c r="C10447" i="1"/>
  <c r="C10448" i="1"/>
  <c r="C10449" i="1"/>
  <c r="C10450" i="1"/>
  <c r="C10451" i="1"/>
  <c r="C10452" i="1"/>
  <c r="C10453" i="1"/>
  <c r="C10454" i="1"/>
  <c r="C10455" i="1"/>
  <c r="C10456" i="1"/>
  <c r="C10457" i="1"/>
  <c r="C10458" i="1"/>
  <c r="C10459" i="1"/>
  <c r="C10460" i="1"/>
  <c r="C10461" i="1"/>
  <c r="C10462" i="1"/>
  <c r="C10463" i="1"/>
  <c r="C10464" i="1"/>
  <c r="C10465" i="1"/>
  <c r="C10466" i="1"/>
  <c r="C10467" i="1"/>
  <c r="C10468" i="1"/>
  <c r="C10469" i="1"/>
  <c r="C10470" i="1"/>
  <c r="C10471" i="1"/>
  <c r="C10472" i="1"/>
  <c r="C10473" i="1"/>
  <c r="C10474" i="1"/>
  <c r="C10475" i="1"/>
  <c r="C10476" i="1"/>
  <c r="C10477" i="1"/>
  <c r="C10478" i="1"/>
  <c r="C10479" i="1"/>
  <c r="C10480" i="1"/>
  <c r="C10481" i="1"/>
  <c r="C10482" i="1"/>
  <c r="C10483" i="1"/>
  <c r="C10484" i="1"/>
  <c r="C10485" i="1"/>
  <c r="C10486" i="1"/>
  <c r="C10487" i="1"/>
  <c r="C10488" i="1"/>
  <c r="C10489" i="1"/>
  <c r="C10490" i="1"/>
  <c r="C10491" i="1"/>
  <c r="C10492" i="1"/>
  <c r="C10493" i="1"/>
  <c r="C10494" i="1"/>
  <c r="C10495" i="1"/>
  <c r="C10496" i="1"/>
  <c r="C10497" i="1"/>
  <c r="C10498" i="1"/>
  <c r="C10499" i="1"/>
  <c r="C10500" i="1"/>
  <c r="C10501" i="1"/>
  <c r="C10502" i="1"/>
  <c r="C10503" i="1"/>
  <c r="C10504" i="1"/>
  <c r="C10505" i="1"/>
  <c r="C10506" i="1"/>
  <c r="C10507" i="1"/>
  <c r="C10508" i="1"/>
  <c r="C10509" i="1"/>
  <c r="C10510" i="1"/>
  <c r="C10511" i="1"/>
  <c r="C10512" i="1"/>
  <c r="C10513" i="1"/>
  <c r="C10514" i="1"/>
  <c r="C10515" i="1"/>
  <c r="C10516" i="1"/>
  <c r="C10517" i="1"/>
  <c r="C10518" i="1"/>
  <c r="C10519" i="1"/>
  <c r="C10520" i="1"/>
  <c r="C10521" i="1"/>
  <c r="C10522" i="1"/>
  <c r="C10523" i="1"/>
  <c r="C10524" i="1"/>
  <c r="C10525" i="1"/>
  <c r="C10526" i="1"/>
  <c r="C10527" i="1"/>
  <c r="C10528" i="1"/>
  <c r="C10529" i="1"/>
  <c r="C10530" i="1"/>
  <c r="C10531" i="1"/>
  <c r="C10532" i="1"/>
  <c r="C10533" i="1"/>
  <c r="C10534" i="1"/>
  <c r="C10535" i="1"/>
  <c r="C10536" i="1"/>
  <c r="C10537" i="1"/>
  <c r="C10538" i="1"/>
  <c r="C10539" i="1"/>
  <c r="C10540" i="1"/>
  <c r="C10541" i="1"/>
  <c r="C10542" i="1"/>
  <c r="C10543" i="1"/>
  <c r="C10544" i="1"/>
  <c r="C10545" i="1"/>
  <c r="C10546" i="1"/>
  <c r="C10547" i="1"/>
  <c r="C10548" i="1"/>
  <c r="C10549" i="1"/>
  <c r="C10550" i="1"/>
  <c r="C10551" i="1"/>
  <c r="C10552" i="1"/>
  <c r="C10553" i="1"/>
  <c r="C10554" i="1"/>
  <c r="C10555" i="1"/>
  <c r="C10556" i="1"/>
  <c r="C10557" i="1"/>
  <c r="C10558" i="1"/>
  <c r="C10559" i="1"/>
  <c r="C10560" i="1"/>
  <c r="C10561" i="1"/>
  <c r="C10562" i="1"/>
  <c r="C10563" i="1"/>
  <c r="C10564" i="1"/>
  <c r="C10565" i="1"/>
  <c r="C10566" i="1"/>
  <c r="C10568" i="1"/>
  <c r="C10569" i="1"/>
  <c r="C10570" i="1"/>
  <c r="C10571" i="1"/>
  <c r="C10572" i="1"/>
  <c r="C10573" i="1"/>
  <c r="C10574" i="1"/>
  <c r="C10575" i="1"/>
  <c r="C10576" i="1"/>
  <c r="C10577" i="1"/>
  <c r="C10578" i="1"/>
  <c r="C10579" i="1"/>
  <c r="C10580" i="1"/>
  <c r="C10581" i="1"/>
  <c r="C10582" i="1"/>
  <c r="C10583" i="1"/>
  <c r="C10584" i="1"/>
  <c r="C10585" i="1"/>
  <c r="C10586" i="1"/>
  <c r="C10587" i="1"/>
  <c r="C10588" i="1"/>
  <c r="C10589" i="1"/>
  <c r="C10590" i="1"/>
  <c r="C10591" i="1"/>
  <c r="C10592" i="1"/>
  <c r="C10593" i="1"/>
  <c r="C10594" i="1"/>
  <c r="C10595" i="1"/>
  <c r="C10596" i="1"/>
  <c r="C10597" i="1"/>
  <c r="C10598" i="1"/>
  <c r="C10599" i="1"/>
  <c r="C10600" i="1"/>
  <c r="C10601" i="1"/>
  <c r="C10602" i="1"/>
  <c r="C10603" i="1"/>
  <c r="C10604" i="1"/>
  <c r="C10605" i="1"/>
  <c r="C10606" i="1"/>
  <c r="C10607" i="1"/>
  <c r="C10608" i="1"/>
  <c r="C10609" i="1"/>
  <c r="C10610" i="1"/>
  <c r="C10611" i="1"/>
  <c r="C10612" i="1"/>
  <c r="C10613" i="1"/>
  <c r="C10614" i="1"/>
  <c r="C10615" i="1"/>
  <c r="C10616" i="1"/>
  <c r="C10617" i="1"/>
  <c r="C10618" i="1"/>
  <c r="C10619" i="1"/>
  <c r="C10620" i="1"/>
  <c r="C10621" i="1"/>
  <c r="C10622" i="1"/>
  <c r="C10623" i="1"/>
  <c r="C10624" i="1"/>
  <c r="C10625" i="1"/>
  <c r="C10626" i="1"/>
  <c r="C10627" i="1"/>
  <c r="C10628" i="1"/>
  <c r="C10629" i="1"/>
  <c r="C10630" i="1"/>
  <c r="C10631" i="1"/>
  <c r="C10632" i="1"/>
  <c r="C10633" i="1"/>
  <c r="C10634" i="1"/>
  <c r="C10635" i="1"/>
  <c r="C10636" i="1"/>
  <c r="C10637" i="1"/>
  <c r="C10638" i="1"/>
  <c r="C10639" i="1"/>
  <c r="C10640" i="1"/>
  <c r="C10641" i="1"/>
  <c r="C10642" i="1"/>
  <c r="C10643" i="1"/>
  <c r="C10644" i="1"/>
  <c r="C10645" i="1"/>
  <c r="C10646" i="1"/>
  <c r="C10647" i="1"/>
  <c r="C10648" i="1"/>
  <c r="C10649" i="1"/>
  <c r="C10650" i="1"/>
  <c r="C10651" i="1"/>
  <c r="C10652" i="1"/>
  <c r="C10653" i="1"/>
  <c r="C10654" i="1"/>
  <c r="C10655" i="1"/>
  <c r="C10656" i="1"/>
  <c r="C10657" i="1"/>
  <c r="C10658" i="1"/>
  <c r="C10659" i="1"/>
  <c r="C10660" i="1"/>
  <c r="C10661" i="1"/>
  <c r="C10662" i="1"/>
  <c r="C10663" i="1"/>
  <c r="C10664" i="1"/>
  <c r="C10665" i="1"/>
  <c r="C10666" i="1"/>
  <c r="C10667" i="1"/>
  <c r="C10668" i="1"/>
  <c r="C10669" i="1"/>
  <c r="C10670" i="1"/>
  <c r="C10671" i="1"/>
  <c r="C10672" i="1"/>
  <c r="C10673" i="1"/>
  <c r="C10674" i="1"/>
  <c r="C10675" i="1"/>
  <c r="C10676" i="1"/>
  <c r="C10677" i="1"/>
  <c r="C10678" i="1"/>
  <c r="C10679" i="1"/>
  <c r="C10680" i="1"/>
  <c r="C10681" i="1"/>
  <c r="C10682" i="1"/>
  <c r="C10683" i="1"/>
  <c r="C10684" i="1"/>
  <c r="C10685" i="1"/>
  <c r="C10686" i="1"/>
  <c r="C10687" i="1"/>
  <c r="C10688" i="1"/>
  <c r="C10689" i="1"/>
  <c r="C10690" i="1"/>
  <c r="C10691" i="1"/>
  <c r="C10692" i="1"/>
  <c r="C10693" i="1"/>
  <c r="C10694" i="1"/>
  <c r="C10695" i="1"/>
  <c r="C10696" i="1"/>
  <c r="C10697" i="1"/>
  <c r="C10698" i="1"/>
  <c r="C10699" i="1"/>
  <c r="C10700" i="1"/>
  <c r="C10701" i="1"/>
  <c r="C10702" i="1"/>
  <c r="C10703" i="1"/>
  <c r="C10704" i="1"/>
  <c r="C10705" i="1"/>
  <c r="C10706" i="1"/>
  <c r="C10707" i="1"/>
  <c r="C10708" i="1"/>
  <c r="C10709" i="1"/>
  <c r="C10710" i="1"/>
  <c r="C10711" i="1"/>
  <c r="C10712" i="1"/>
  <c r="C10713" i="1"/>
  <c r="C10714" i="1"/>
  <c r="C10715" i="1"/>
  <c r="C10716" i="1"/>
  <c r="C10717" i="1"/>
  <c r="C10718" i="1"/>
  <c r="C10719" i="1"/>
  <c r="C10720" i="1"/>
  <c r="C10721" i="1"/>
  <c r="C10722" i="1"/>
  <c r="C10723" i="1"/>
  <c r="C10724" i="1"/>
  <c r="C10725" i="1"/>
  <c r="C10726" i="1"/>
  <c r="C10727" i="1"/>
  <c r="C10728" i="1"/>
  <c r="C10729" i="1"/>
  <c r="C10730" i="1"/>
  <c r="C10731" i="1"/>
  <c r="C10732" i="1"/>
  <c r="C10733" i="1"/>
  <c r="C10734" i="1"/>
  <c r="C10735" i="1"/>
  <c r="C10736" i="1"/>
  <c r="C10737" i="1"/>
  <c r="C10738" i="1"/>
  <c r="C10739" i="1"/>
  <c r="C10740" i="1"/>
  <c r="C10741" i="1"/>
  <c r="C10742" i="1"/>
  <c r="C10743" i="1"/>
  <c r="C10744" i="1"/>
  <c r="C10745" i="1"/>
  <c r="C10746" i="1"/>
  <c r="C10747" i="1"/>
  <c r="C10748" i="1"/>
  <c r="C10750" i="1"/>
  <c r="C10751" i="1"/>
  <c r="C10752" i="1"/>
  <c r="C10753" i="1"/>
  <c r="C10754" i="1"/>
  <c r="C10755" i="1"/>
  <c r="C10756" i="1"/>
  <c r="C10757" i="1"/>
  <c r="C10758" i="1"/>
  <c r="C10759" i="1"/>
  <c r="C10760" i="1"/>
  <c r="C10761" i="1"/>
  <c r="C10762" i="1"/>
  <c r="C10763" i="1"/>
  <c r="C10764" i="1"/>
  <c r="C10765" i="1"/>
  <c r="C10766" i="1"/>
  <c r="C10767" i="1"/>
  <c r="C10768" i="1"/>
  <c r="C10769" i="1"/>
  <c r="C10770" i="1"/>
  <c r="C10771" i="1"/>
  <c r="C10772" i="1"/>
  <c r="C10773" i="1"/>
  <c r="C10774" i="1"/>
  <c r="C10775" i="1"/>
  <c r="C10776" i="1"/>
  <c r="C10777" i="1"/>
  <c r="C10778" i="1"/>
  <c r="C10779" i="1"/>
  <c r="C10780" i="1"/>
  <c r="C10781" i="1"/>
  <c r="C10782" i="1"/>
  <c r="C10783" i="1"/>
  <c r="C10784" i="1"/>
  <c r="C10785" i="1"/>
  <c r="C10786" i="1"/>
  <c r="C10787" i="1"/>
  <c r="C10788" i="1"/>
  <c r="C10789" i="1"/>
  <c r="C10790" i="1"/>
  <c r="C10791" i="1"/>
  <c r="C10792" i="1"/>
  <c r="C10793" i="1"/>
  <c r="C10794" i="1"/>
  <c r="C10795" i="1"/>
  <c r="C10796" i="1"/>
  <c r="C10797" i="1"/>
  <c r="C10798" i="1"/>
  <c r="C10799" i="1"/>
  <c r="C10800" i="1"/>
  <c r="C10801" i="1"/>
  <c r="C10802" i="1"/>
  <c r="C10803" i="1"/>
  <c r="C10804" i="1"/>
  <c r="C10805" i="1"/>
  <c r="C10806" i="1"/>
  <c r="C10807" i="1"/>
  <c r="C10808" i="1"/>
  <c r="C10809" i="1"/>
  <c r="C10810" i="1"/>
  <c r="C10811" i="1"/>
  <c r="C10812" i="1"/>
  <c r="C10813" i="1"/>
  <c r="C10814" i="1"/>
  <c r="C10815" i="1"/>
  <c r="C10816" i="1"/>
  <c r="C10817" i="1"/>
  <c r="C10818" i="1"/>
  <c r="C10819" i="1"/>
  <c r="C10820" i="1"/>
  <c r="C10821" i="1"/>
  <c r="C10822" i="1"/>
  <c r="C10823" i="1"/>
  <c r="C10824" i="1"/>
  <c r="C10825" i="1"/>
  <c r="C10826" i="1"/>
  <c r="C10827" i="1"/>
  <c r="C10828" i="1"/>
  <c r="C10829" i="1"/>
  <c r="C10830" i="1"/>
  <c r="C10831" i="1"/>
  <c r="C10832" i="1"/>
  <c r="C10833" i="1"/>
  <c r="C10834" i="1"/>
  <c r="C10835" i="1"/>
  <c r="C10836" i="1"/>
  <c r="C10837" i="1"/>
  <c r="C10838" i="1"/>
  <c r="C10839" i="1"/>
  <c r="C10840" i="1"/>
  <c r="C10841" i="1"/>
  <c r="C10842" i="1"/>
  <c r="C10843" i="1"/>
  <c r="C10844" i="1"/>
  <c r="C10845" i="1"/>
  <c r="C10846" i="1"/>
  <c r="C10847" i="1"/>
  <c r="C10848" i="1"/>
  <c r="C10849" i="1"/>
  <c r="C10850" i="1"/>
  <c r="C10851" i="1"/>
  <c r="C10852" i="1"/>
  <c r="C10853" i="1"/>
  <c r="C10854" i="1"/>
  <c r="C10855" i="1"/>
  <c r="C10856" i="1"/>
  <c r="C10857" i="1"/>
  <c r="C10858" i="1"/>
  <c r="C10859" i="1"/>
  <c r="C10860" i="1"/>
  <c r="C10861" i="1"/>
  <c r="C10862" i="1"/>
  <c r="C10863" i="1"/>
  <c r="C10864" i="1"/>
  <c r="C10865" i="1"/>
  <c r="C10866" i="1"/>
  <c r="C10867" i="1"/>
  <c r="C10868" i="1"/>
  <c r="C10869" i="1"/>
  <c r="C10870" i="1"/>
  <c r="C10871" i="1"/>
  <c r="C10872" i="1"/>
  <c r="C10873" i="1"/>
  <c r="C10874" i="1"/>
  <c r="C10875" i="1"/>
  <c r="C10876" i="1"/>
  <c r="C10877" i="1"/>
  <c r="C10878" i="1"/>
  <c r="C10879" i="1"/>
  <c r="C10880" i="1"/>
  <c r="C10881" i="1"/>
  <c r="C10882" i="1"/>
  <c r="C10883" i="1"/>
  <c r="C10884" i="1"/>
  <c r="C10885" i="1"/>
  <c r="C10886" i="1"/>
  <c r="C10887" i="1"/>
  <c r="C10888" i="1"/>
  <c r="C10889" i="1"/>
  <c r="C10890" i="1"/>
  <c r="C10891" i="1"/>
  <c r="C10892" i="1"/>
  <c r="C10893" i="1"/>
  <c r="C10894" i="1"/>
  <c r="C10895" i="1"/>
  <c r="C10896" i="1"/>
  <c r="C10897" i="1"/>
  <c r="C10898" i="1"/>
  <c r="C10899" i="1"/>
  <c r="C10900" i="1"/>
  <c r="C10901" i="1"/>
  <c r="C10902" i="1"/>
  <c r="C10903" i="1"/>
  <c r="C10904" i="1"/>
  <c r="C10905" i="1"/>
  <c r="C10906" i="1"/>
  <c r="C10907" i="1"/>
  <c r="C10908" i="1"/>
  <c r="C10909" i="1"/>
  <c r="C10910" i="1"/>
  <c r="C10911" i="1"/>
  <c r="C10912" i="1"/>
  <c r="C10913" i="1"/>
  <c r="C10914" i="1"/>
  <c r="C10915" i="1"/>
  <c r="C10916" i="1"/>
  <c r="C10917" i="1"/>
  <c r="C10918" i="1"/>
  <c r="C10919" i="1"/>
  <c r="C10920" i="1"/>
  <c r="C10921" i="1"/>
  <c r="C10922" i="1"/>
  <c r="C10923" i="1"/>
  <c r="C10924" i="1"/>
  <c r="C10925" i="1"/>
  <c r="C10926" i="1"/>
  <c r="C10927" i="1"/>
  <c r="C10928" i="1"/>
  <c r="C10929" i="1"/>
  <c r="C10930" i="1"/>
  <c r="C10931" i="1"/>
  <c r="C10932" i="1"/>
  <c r="C10933" i="1"/>
  <c r="C10934" i="1"/>
  <c r="C10935" i="1"/>
  <c r="C10936" i="1"/>
  <c r="C10937" i="1"/>
  <c r="C10938" i="1"/>
  <c r="C10939" i="1"/>
  <c r="C10940" i="1"/>
  <c r="C10941" i="1"/>
  <c r="C10942" i="1"/>
  <c r="C10943" i="1"/>
  <c r="C10944" i="1"/>
  <c r="C10945" i="1"/>
  <c r="C10946" i="1"/>
  <c r="C10947" i="1"/>
  <c r="C10948" i="1"/>
  <c r="C10949" i="1"/>
  <c r="C10950" i="1"/>
  <c r="C10951" i="1"/>
  <c r="C10952" i="1"/>
  <c r="C10953" i="1"/>
  <c r="C10954" i="1"/>
  <c r="C10955" i="1"/>
  <c r="C10956" i="1"/>
  <c r="C10957" i="1"/>
  <c r="C10958" i="1"/>
  <c r="C10959" i="1"/>
  <c r="C10960" i="1"/>
  <c r="C10961" i="1"/>
  <c r="C10962" i="1"/>
  <c r="C10963" i="1"/>
  <c r="C10964" i="1"/>
  <c r="C10965" i="1"/>
  <c r="C10966" i="1"/>
  <c r="C10967" i="1"/>
  <c r="C10968" i="1"/>
  <c r="C10969" i="1"/>
  <c r="C10970" i="1"/>
  <c r="C10971" i="1"/>
  <c r="C10972" i="1"/>
  <c r="C10973" i="1"/>
  <c r="C10974" i="1"/>
  <c r="C10975" i="1"/>
  <c r="C10976" i="1"/>
  <c r="C10977" i="1"/>
  <c r="C10978" i="1"/>
  <c r="C10979" i="1"/>
  <c r="C10980" i="1"/>
  <c r="C10981" i="1"/>
  <c r="C10982" i="1"/>
  <c r="C10983" i="1"/>
  <c r="C10984" i="1"/>
  <c r="C10985" i="1"/>
  <c r="C10986" i="1"/>
  <c r="C10987" i="1"/>
  <c r="C10988" i="1"/>
  <c r="C10989" i="1"/>
  <c r="C10990" i="1"/>
  <c r="C10991" i="1"/>
  <c r="C10992" i="1"/>
  <c r="C10993" i="1"/>
  <c r="C10994" i="1"/>
  <c r="C10995" i="1"/>
  <c r="C10996" i="1"/>
  <c r="C10997" i="1"/>
  <c r="C10998" i="1"/>
  <c r="C10999" i="1"/>
  <c r="C11000" i="1"/>
  <c r="C11001" i="1"/>
  <c r="C11002" i="1"/>
  <c r="C11003" i="1"/>
  <c r="C11004" i="1"/>
  <c r="C11005" i="1"/>
  <c r="C11006" i="1"/>
  <c r="C11007" i="1"/>
  <c r="C11008" i="1"/>
  <c r="C11009" i="1"/>
  <c r="C11010" i="1"/>
  <c r="C11011" i="1"/>
  <c r="C11012" i="1"/>
  <c r="C11013" i="1"/>
  <c r="C11014" i="1"/>
  <c r="C11015" i="1"/>
  <c r="C11016" i="1"/>
  <c r="C11017" i="1"/>
  <c r="C11018" i="1"/>
  <c r="C11019" i="1"/>
  <c r="C11020" i="1"/>
  <c r="C11021" i="1"/>
  <c r="C11022" i="1"/>
  <c r="C11023" i="1"/>
  <c r="C11024" i="1"/>
  <c r="C11025" i="1"/>
  <c r="C11026" i="1"/>
  <c r="C11027" i="1"/>
  <c r="C11028" i="1"/>
  <c r="C11029" i="1"/>
  <c r="C11030" i="1"/>
  <c r="C11031" i="1"/>
  <c r="C11032" i="1"/>
  <c r="C11033" i="1"/>
  <c r="C11034" i="1"/>
  <c r="C11035" i="1"/>
  <c r="C11036" i="1"/>
  <c r="C11037" i="1"/>
  <c r="C11038" i="1"/>
  <c r="C11039" i="1"/>
  <c r="C11040" i="1"/>
  <c r="C11041" i="1"/>
  <c r="C11042" i="1"/>
  <c r="C11043" i="1"/>
  <c r="C11044" i="1"/>
  <c r="C11045" i="1"/>
  <c r="C11046" i="1"/>
  <c r="C11047" i="1"/>
  <c r="C11048" i="1"/>
  <c r="C11049" i="1"/>
  <c r="C11050" i="1"/>
  <c r="C11051" i="1"/>
  <c r="C11052" i="1"/>
  <c r="C11053" i="1"/>
  <c r="C11054" i="1"/>
  <c r="C11055" i="1"/>
  <c r="C11056" i="1"/>
  <c r="C11057" i="1"/>
  <c r="C11058" i="1"/>
  <c r="C11059" i="1"/>
  <c r="C11060" i="1"/>
  <c r="C11061" i="1"/>
  <c r="C11062" i="1"/>
  <c r="C11063" i="1"/>
  <c r="C11064" i="1"/>
  <c r="C11065" i="1"/>
  <c r="C11066" i="1"/>
  <c r="C11067" i="1"/>
  <c r="C11068" i="1"/>
  <c r="C11069" i="1"/>
  <c r="C11070" i="1"/>
  <c r="C11071" i="1"/>
  <c r="C11072" i="1"/>
  <c r="C11073" i="1"/>
  <c r="C11074" i="1"/>
  <c r="C11075" i="1"/>
  <c r="C11076" i="1"/>
  <c r="C11077" i="1"/>
  <c r="C11078" i="1"/>
  <c r="C11079" i="1"/>
  <c r="C11080" i="1"/>
  <c r="C11081" i="1"/>
  <c r="C11082" i="1"/>
  <c r="C11083" i="1"/>
  <c r="C11084" i="1"/>
  <c r="C11085" i="1"/>
  <c r="C11086" i="1"/>
  <c r="C11087" i="1"/>
  <c r="C11088" i="1"/>
  <c r="C11089" i="1"/>
  <c r="C11090" i="1"/>
  <c r="C11091" i="1"/>
  <c r="C11092" i="1"/>
  <c r="C11093" i="1"/>
  <c r="C11094" i="1"/>
  <c r="C11095" i="1"/>
  <c r="C11096" i="1"/>
  <c r="C11097" i="1"/>
  <c r="C11098" i="1"/>
  <c r="C11099" i="1"/>
  <c r="C11100" i="1"/>
  <c r="C11101" i="1"/>
  <c r="C11102" i="1"/>
  <c r="C11103" i="1"/>
  <c r="C11104" i="1"/>
  <c r="C11105" i="1"/>
  <c r="C11106" i="1"/>
  <c r="C11107" i="1"/>
  <c r="C11108" i="1"/>
  <c r="C11109" i="1"/>
  <c r="C11110" i="1"/>
  <c r="C11111" i="1"/>
  <c r="C11112" i="1"/>
  <c r="C11113" i="1"/>
  <c r="C11114" i="1"/>
  <c r="C11115" i="1"/>
  <c r="C11116" i="1"/>
  <c r="C11117" i="1"/>
  <c r="C11118" i="1"/>
  <c r="C11119" i="1"/>
  <c r="C11120" i="1"/>
  <c r="C11121" i="1"/>
  <c r="C11122" i="1"/>
  <c r="C11123" i="1"/>
  <c r="C11124" i="1"/>
  <c r="C11125" i="1"/>
  <c r="C11126" i="1"/>
  <c r="C11127" i="1"/>
  <c r="C11128" i="1"/>
  <c r="C11129" i="1"/>
  <c r="C11130" i="1"/>
  <c r="C11131" i="1"/>
  <c r="C11132" i="1"/>
  <c r="C11133" i="1"/>
  <c r="C11134" i="1"/>
  <c r="C11135" i="1"/>
  <c r="C11136" i="1"/>
  <c r="C11137" i="1"/>
  <c r="C11138" i="1"/>
  <c r="C11139" i="1"/>
  <c r="C11140" i="1"/>
  <c r="C11141" i="1"/>
  <c r="C11142" i="1"/>
  <c r="C11143" i="1"/>
  <c r="C11144" i="1"/>
  <c r="C11145" i="1"/>
  <c r="C11146" i="1"/>
  <c r="C11147" i="1"/>
  <c r="C11148" i="1"/>
  <c r="C11149" i="1"/>
  <c r="C11150" i="1"/>
  <c r="C11151" i="1"/>
  <c r="C11152" i="1"/>
  <c r="C11153" i="1"/>
  <c r="C11154" i="1"/>
  <c r="C11155" i="1"/>
  <c r="C11156" i="1"/>
  <c r="C11157" i="1"/>
  <c r="C11158" i="1"/>
  <c r="C11159" i="1"/>
  <c r="C11160" i="1"/>
  <c r="C11161" i="1"/>
  <c r="C11162" i="1"/>
  <c r="C11163" i="1"/>
  <c r="C11164" i="1"/>
  <c r="C11165" i="1"/>
  <c r="C11166" i="1"/>
  <c r="C11167" i="1"/>
  <c r="C11168" i="1"/>
  <c r="C11169" i="1"/>
  <c r="C11170" i="1"/>
  <c r="C11171" i="1"/>
  <c r="C11172" i="1"/>
  <c r="C11173" i="1"/>
  <c r="C11174" i="1"/>
  <c r="C11175" i="1"/>
  <c r="C11176" i="1"/>
  <c r="C11177" i="1"/>
  <c r="C11178" i="1"/>
  <c r="C11179" i="1"/>
  <c r="C11180" i="1"/>
  <c r="C11181" i="1"/>
  <c r="C11182" i="1"/>
  <c r="C11183" i="1"/>
  <c r="C11184" i="1"/>
  <c r="C11185" i="1"/>
  <c r="C11186" i="1"/>
  <c r="C11187" i="1"/>
  <c r="C11188" i="1"/>
  <c r="C11189" i="1"/>
  <c r="C11190" i="1"/>
  <c r="C11191" i="1"/>
  <c r="C11192" i="1"/>
  <c r="C11193" i="1"/>
  <c r="C11194" i="1"/>
  <c r="C11195" i="1"/>
  <c r="C11196" i="1"/>
  <c r="C11197" i="1"/>
  <c r="C11198" i="1"/>
  <c r="C11199" i="1"/>
  <c r="C11200" i="1"/>
  <c r="C11201" i="1"/>
  <c r="C11202" i="1"/>
  <c r="C11203" i="1"/>
  <c r="C11204" i="1"/>
  <c r="C11205" i="1"/>
  <c r="C11206" i="1"/>
  <c r="C11207" i="1"/>
  <c r="C11208" i="1"/>
  <c r="C11209" i="1"/>
  <c r="C11210" i="1"/>
  <c r="C11211" i="1"/>
  <c r="C11212" i="1"/>
  <c r="C11213" i="1"/>
  <c r="C11214" i="1"/>
  <c r="C11215" i="1"/>
  <c r="C11216" i="1"/>
  <c r="C11217" i="1"/>
  <c r="C11218" i="1"/>
  <c r="C11219" i="1"/>
  <c r="C11220" i="1"/>
  <c r="C11221" i="1"/>
  <c r="C11222" i="1"/>
  <c r="C11223" i="1"/>
  <c r="C11224" i="1"/>
  <c r="C11225" i="1"/>
  <c r="C11226" i="1"/>
  <c r="C11227" i="1"/>
  <c r="C11228" i="1"/>
  <c r="C11229" i="1"/>
  <c r="C11230" i="1"/>
  <c r="C11231" i="1"/>
  <c r="C11232" i="1"/>
  <c r="C11233" i="1"/>
  <c r="C11234" i="1"/>
  <c r="C11235" i="1"/>
  <c r="C11236" i="1"/>
  <c r="C11237" i="1"/>
  <c r="C11238" i="1"/>
  <c r="C11239" i="1"/>
  <c r="C11240" i="1"/>
  <c r="C11241" i="1"/>
  <c r="C11242" i="1"/>
  <c r="C11243" i="1"/>
  <c r="C11244" i="1"/>
  <c r="C11245" i="1"/>
  <c r="C11246" i="1"/>
  <c r="C11247" i="1"/>
  <c r="C11248" i="1"/>
  <c r="C11249" i="1"/>
  <c r="C11250" i="1"/>
  <c r="C11251" i="1"/>
  <c r="C11252" i="1"/>
  <c r="C11253" i="1"/>
  <c r="C11254" i="1"/>
  <c r="C11255" i="1"/>
  <c r="C11256" i="1"/>
  <c r="C11257" i="1"/>
  <c r="C11258" i="1"/>
  <c r="C11259" i="1"/>
  <c r="C11260" i="1"/>
  <c r="C11261" i="1"/>
  <c r="C11262" i="1"/>
  <c r="C11263" i="1"/>
  <c r="C11264" i="1"/>
  <c r="C11265" i="1"/>
  <c r="C11266" i="1"/>
  <c r="C11267" i="1"/>
  <c r="C11268" i="1"/>
  <c r="C11269" i="1"/>
  <c r="C11270" i="1"/>
  <c r="C11271" i="1"/>
  <c r="C11272" i="1"/>
  <c r="C11273" i="1"/>
  <c r="C11274" i="1"/>
  <c r="C11275" i="1"/>
  <c r="C11276" i="1"/>
  <c r="C11277" i="1"/>
  <c r="C11278" i="1"/>
  <c r="C11279" i="1"/>
  <c r="C11280" i="1"/>
  <c r="C11281" i="1"/>
  <c r="C11282" i="1"/>
  <c r="C11283" i="1"/>
  <c r="C11284" i="1"/>
  <c r="C11285" i="1"/>
  <c r="C11286" i="1"/>
  <c r="C11287" i="1"/>
  <c r="C11288" i="1"/>
  <c r="C11289" i="1"/>
  <c r="C11290" i="1"/>
  <c r="C11291" i="1"/>
  <c r="C11292" i="1"/>
  <c r="C11293" i="1"/>
  <c r="C11294" i="1"/>
  <c r="C11295" i="1"/>
  <c r="C11296" i="1"/>
  <c r="C11297" i="1"/>
  <c r="C11298" i="1"/>
  <c r="C11299" i="1"/>
  <c r="C11300" i="1"/>
  <c r="C11301" i="1"/>
  <c r="C11302" i="1"/>
  <c r="C11303" i="1"/>
  <c r="C11304" i="1"/>
  <c r="C11305" i="1"/>
  <c r="C11306" i="1"/>
  <c r="C11307" i="1"/>
  <c r="C11308" i="1"/>
  <c r="C11309" i="1"/>
  <c r="C11310" i="1"/>
  <c r="C11311" i="1"/>
  <c r="C11312" i="1"/>
  <c r="C11313" i="1"/>
  <c r="C11314" i="1"/>
  <c r="C11315" i="1"/>
  <c r="C11316" i="1"/>
  <c r="C11317" i="1"/>
  <c r="C11318" i="1"/>
  <c r="C11319" i="1"/>
  <c r="C11320" i="1"/>
  <c r="C11321" i="1"/>
  <c r="C11322" i="1"/>
  <c r="C11323" i="1"/>
  <c r="C11324" i="1"/>
  <c r="C11325" i="1"/>
  <c r="C11326" i="1"/>
  <c r="C11327" i="1"/>
  <c r="C11328" i="1"/>
  <c r="C11329" i="1"/>
  <c r="C11330" i="1"/>
  <c r="C11331" i="1"/>
  <c r="C11332" i="1"/>
  <c r="C11333" i="1"/>
  <c r="C11334" i="1"/>
  <c r="C11335" i="1"/>
  <c r="C11336" i="1"/>
  <c r="C11337" i="1"/>
  <c r="C11338" i="1"/>
  <c r="C11339" i="1"/>
  <c r="C11340" i="1"/>
  <c r="C11341" i="1"/>
  <c r="C11342" i="1"/>
  <c r="C11343" i="1"/>
  <c r="C11344" i="1"/>
  <c r="C11345" i="1"/>
  <c r="C11346" i="1"/>
  <c r="C11347" i="1"/>
  <c r="C11348" i="1"/>
  <c r="C11349" i="1"/>
  <c r="C11350" i="1"/>
  <c r="C11351" i="1"/>
  <c r="C11352" i="1"/>
  <c r="C11353" i="1"/>
  <c r="C11354" i="1"/>
  <c r="C11355" i="1"/>
  <c r="C11356" i="1"/>
  <c r="C11357" i="1"/>
  <c r="C11358" i="1"/>
  <c r="C11359" i="1"/>
  <c r="C11360" i="1"/>
  <c r="C11361" i="1"/>
  <c r="C11362" i="1"/>
  <c r="C11363" i="1"/>
  <c r="C11364" i="1"/>
  <c r="C11365" i="1"/>
  <c r="C11366" i="1"/>
  <c r="C11367" i="1"/>
  <c r="C11368" i="1"/>
  <c r="C11369" i="1"/>
  <c r="C11370" i="1"/>
  <c r="C11371" i="1"/>
  <c r="C11372" i="1"/>
  <c r="C11373" i="1"/>
  <c r="C11374" i="1"/>
  <c r="C11375" i="1"/>
  <c r="C11376" i="1"/>
  <c r="C11377" i="1"/>
  <c r="C11378" i="1"/>
  <c r="C11379" i="1"/>
  <c r="C11380" i="1"/>
  <c r="C11381" i="1"/>
  <c r="C11382" i="1"/>
  <c r="C11383" i="1"/>
  <c r="C11384" i="1"/>
  <c r="C11385" i="1"/>
  <c r="C11386" i="1"/>
  <c r="C11387" i="1"/>
  <c r="C11388" i="1"/>
  <c r="C11389" i="1"/>
  <c r="C11390" i="1"/>
  <c r="C11391" i="1"/>
  <c r="C11392" i="1"/>
  <c r="C11393" i="1"/>
  <c r="C11394" i="1"/>
  <c r="C11395" i="1"/>
  <c r="C11396" i="1"/>
  <c r="C11397" i="1"/>
  <c r="C11398" i="1"/>
  <c r="C11399" i="1"/>
  <c r="C11400" i="1"/>
  <c r="C11401" i="1"/>
  <c r="C11402" i="1"/>
  <c r="C11403" i="1"/>
  <c r="C11404" i="1"/>
  <c r="C11405" i="1"/>
  <c r="C11406" i="1"/>
  <c r="C11407" i="1"/>
  <c r="C11408" i="1"/>
  <c r="C11409" i="1"/>
  <c r="C11410" i="1"/>
  <c r="C11411" i="1"/>
  <c r="C11412" i="1"/>
  <c r="C11413" i="1"/>
  <c r="C11414" i="1"/>
  <c r="C11415" i="1"/>
  <c r="C11416" i="1"/>
  <c r="C11417" i="1"/>
  <c r="C11418" i="1"/>
  <c r="C11419" i="1"/>
  <c r="C11420" i="1"/>
  <c r="C11421" i="1"/>
  <c r="C11422" i="1"/>
  <c r="C11423" i="1"/>
  <c r="C11424" i="1"/>
  <c r="C11425" i="1"/>
  <c r="C11426" i="1"/>
  <c r="C11427" i="1"/>
  <c r="C11428" i="1"/>
  <c r="C11429" i="1"/>
  <c r="C11430" i="1"/>
  <c r="C11431" i="1"/>
  <c r="C11432" i="1"/>
  <c r="C11433" i="1"/>
  <c r="C11434" i="1"/>
  <c r="C11435" i="1"/>
  <c r="C11436" i="1"/>
  <c r="C11437" i="1"/>
  <c r="C11438" i="1"/>
  <c r="C11439" i="1"/>
  <c r="C11440" i="1"/>
  <c r="C11441" i="1"/>
  <c r="C11442" i="1"/>
  <c r="C11443" i="1"/>
  <c r="C11444" i="1"/>
  <c r="C11445" i="1"/>
  <c r="C11446" i="1"/>
  <c r="C11447" i="1"/>
  <c r="C11448" i="1"/>
  <c r="C11449" i="1"/>
  <c r="C11450" i="1"/>
  <c r="C11451" i="1"/>
  <c r="C11452" i="1"/>
  <c r="C11453" i="1"/>
  <c r="C11454" i="1"/>
  <c r="C11455" i="1"/>
  <c r="C11456" i="1"/>
  <c r="C11457" i="1"/>
  <c r="C11458" i="1"/>
  <c r="C11459" i="1"/>
  <c r="C11460" i="1"/>
  <c r="C11461" i="1"/>
  <c r="C11462" i="1"/>
  <c r="C11463" i="1"/>
  <c r="C11464" i="1"/>
  <c r="C11465" i="1"/>
  <c r="C11466" i="1"/>
  <c r="C11467" i="1"/>
  <c r="C11468" i="1"/>
  <c r="C11469" i="1"/>
  <c r="C11470" i="1"/>
  <c r="C11471" i="1"/>
  <c r="C11472" i="1"/>
  <c r="C11473" i="1"/>
  <c r="C11474" i="1"/>
  <c r="C11475" i="1"/>
  <c r="C11476" i="1"/>
  <c r="C11477" i="1"/>
  <c r="C11478" i="1"/>
  <c r="C11479" i="1"/>
  <c r="C11480" i="1"/>
  <c r="C11481" i="1"/>
  <c r="C11482" i="1"/>
  <c r="C11483" i="1"/>
  <c r="C11484" i="1"/>
  <c r="C11485" i="1"/>
  <c r="C11486" i="1"/>
  <c r="C11487" i="1"/>
  <c r="C11488" i="1"/>
  <c r="C11489" i="1"/>
  <c r="C11490" i="1"/>
  <c r="C11491" i="1"/>
  <c r="C11492" i="1"/>
  <c r="C11493" i="1"/>
  <c r="C11494" i="1"/>
  <c r="C11495" i="1"/>
  <c r="C11496" i="1"/>
  <c r="C11497" i="1"/>
  <c r="C11498" i="1"/>
  <c r="C11499" i="1"/>
  <c r="C11500" i="1"/>
  <c r="C11501" i="1"/>
  <c r="C11502" i="1"/>
  <c r="C11503" i="1"/>
  <c r="C11504" i="1"/>
  <c r="C11505" i="1"/>
  <c r="C11506" i="1"/>
  <c r="C11507" i="1"/>
  <c r="C11508" i="1"/>
  <c r="C11509" i="1"/>
  <c r="C11510" i="1"/>
  <c r="C11511" i="1"/>
  <c r="C11512" i="1"/>
  <c r="C11513" i="1"/>
  <c r="C11514" i="1"/>
  <c r="C11515" i="1"/>
  <c r="C11516" i="1"/>
  <c r="C11517" i="1"/>
  <c r="C11518" i="1"/>
  <c r="C11519" i="1"/>
  <c r="C11520" i="1"/>
  <c r="C11521" i="1"/>
  <c r="C11522" i="1"/>
  <c r="C11523" i="1"/>
  <c r="C11524" i="1"/>
  <c r="C11525" i="1"/>
  <c r="C11526" i="1"/>
  <c r="C11527" i="1"/>
  <c r="C11528" i="1"/>
  <c r="C11529" i="1"/>
  <c r="C11530" i="1"/>
  <c r="C11531" i="1"/>
  <c r="C11532" i="1"/>
  <c r="C11533" i="1"/>
  <c r="C11534" i="1"/>
  <c r="C11535" i="1"/>
  <c r="C11536" i="1"/>
  <c r="C11537" i="1"/>
  <c r="C11538" i="1"/>
  <c r="C11539" i="1"/>
  <c r="C11540" i="1"/>
  <c r="C11541" i="1"/>
  <c r="C11542" i="1"/>
  <c r="C11543" i="1"/>
  <c r="C11544" i="1"/>
  <c r="C11545" i="1"/>
  <c r="C11546" i="1"/>
  <c r="C11547" i="1"/>
  <c r="C11548" i="1"/>
  <c r="C11549" i="1"/>
  <c r="C11550" i="1"/>
  <c r="C11551" i="1"/>
  <c r="C11552" i="1"/>
  <c r="C11553" i="1"/>
  <c r="C11554" i="1"/>
  <c r="C11555" i="1"/>
  <c r="C11556" i="1"/>
  <c r="C11557" i="1"/>
  <c r="C11558" i="1"/>
  <c r="C11559" i="1"/>
  <c r="C11560" i="1"/>
  <c r="C11561" i="1"/>
  <c r="C11562" i="1"/>
  <c r="C11563" i="1"/>
  <c r="C11564" i="1"/>
  <c r="C11565" i="1"/>
  <c r="C11566" i="1"/>
  <c r="C11567" i="1"/>
  <c r="C11568" i="1"/>
  <c r="C11569" i="1"/>
  <c r="C11570" i="1"/>
  <c r="C11571" i="1"/>
  <c r="C11572" i="1"/>
  <c r="C11573" i="1"/>
  <c r="C11574" i="1"/>
  <c r="C11575" i="1"/>
  <c r="C11576" i="1"/>
  <c r="C11577" i="1"/>
  <c r="C11578" i="1"/>
  <c r="C11579" i="1"/>
  <c r="C11580" i="1"/>
  <c r="C11581" i="1"/>
  <c r="C11582" i="1"/>
  <c r="C11583" i="1"/>
  <c r="C11584" i="1"/>
  <c r="C11585" i="1"/>
  <c r="C11586" i="1"/>
  <c r="C11587" i="1"/>
  <c r="C11588" i="1"/>
  <c r="C11589" i="1"/>
  <c r="C11590" i="1"/>
  <c r="C11591" i="1"/>
  <c r="C11592" i="1"/>
  <c r="C11593" i="1"/>
  <c r="C11594" i="1"/>
  <c r="C11595" i="1"/>
  <c r="C11596" i="1"/>
  <c r="C11597" i="1"/>
  <c r="C11598" i="1"/>
  <c r="C11599" i="1"/>
  <c r="C11600" i="1"/>
  <c r="C11601" i="1"/>
  <c r="C11602" i="1"/>
  <c r="C11603" i="1"/>
  <c r="C11604" i="1"/>
  <c r="C11605" i="1"/>
  <c r="C11606" i="1"/>
  <c r="C11607" i="1"/>
  <c r="C11608" i="1"/>
  <c r="C11609" i="1"/>
  <c r="C11610" i="1"/>
  <c r="C11611" i="1"/>
  <c r="C11612" i="1"/>
  <c r="C11613" i="1"/>
  <c r="C11614" i="1"/>
  <c r="C11615" i="1"/>
  <c r="C11616" i="1"/>
  <c r="C11617" i="1"/>
  <c r="C11618" i="1"/>
  <c r="C11619" i="1"/>
  <c r="C11620" i="1"/>
  <c r="C11621" i="1"/>
  <c r="C11622" i="1"/>
  <c r="C11623" i="1"/>
  <c r="C11624" i="1"/>
  <c r="C11625" i="1"/>
  <c r="C11626" i="1"/>
  <c r="C11627" i="1"/>
  <c r="C11628" i="1"/>
  <c r="C11629" i="1"/>
  <c r="C11630" i="1"/>
  <c r="C11631" i="1"/>
  <c r="C11632" i="1"/>
  <c r="C11633" i="1"/>
  <c r="C11634" i="1"/>
  <c r="C11635" i="1"/>
  <c r="C11636" i="1"/>
  <c r="C11637" i="1"/>
  <c r="C11638" i="1"/>
  <c r="C11639" i="1"/>
  <c r="C11640" i="1"/>
  <c r="C11641" i="1"/>
  <c r="C11642" i="1"/>
  <c r="C11643" i="1"/>
  <c r="C11644" i="1"/>
  <c r="C11645" i="1"/>
  <c r="C11646" i="1"/>
  <c r="C11647" i="1"/>
  <c r="C11648" i="1"/>
  <c r="C11649" i="1"/>
  <c r="C11650" i="1"/>
  <c r="C11651" i="1"/>
  <c r="C11652" i="1"/>
  <c r="C11653" i="1"/>
  <c r="C11654" i="1"/>
  <c r="C11655" i="1"/>
  <c r="C11656" i="1"/>
  <c r="C11657" i="1"/>
  <c r="C11658" i="1"/>
  <c r="C11659" i="1"/>
  <c r="C11660" i="1"/>
  <c r="C11661" i="1"/>
  <c r="C11662" i="1"/>
  <c r="C11663" i="1"/>
  <c r="C11664" i="1"/>
  <c r="C11665" i="1"/>
  <c r="C11666" i="1"/>
  <c r="C11667" i="1"/>
  <c r="C11668" i="1"/>
  <c r="C11669" i="1"/>
  <c r="C11670" i="1"/>
  <c r="C11671" i="1"/>
  <c r="C11672" i="1"/>
  <c r="C11673" i="1"/>
  <c r="C11674" i="1"/>
  <c r="C11675" i="1"/>
  <c r="C11676" i="1"/>
  <c r="C11677" i="1"/>
  <c r="C11678" i="1"/>
  <c r="C11679" i="1"/>
  <c r="C11680" i="1"/>
  <c r="C11681" i="1"/>
  <c r="C11682" i="1"/>
  <c r="C11683" i="1"/>
  <c r="C11684" i="1"/>
  <c r="C11685" i="1"/>
  <c r="C11686" i="1"/>
  <c r="C11687" i="1"/>
  <c r="C11688" i="1"/>
  <c r="C11689" i="1"/>
  <c r="C11690" i="1"/>
  <c r="C11691" i="1"/>
  <c r="C11692" i="1"/>
  <c r="C11693" i="1"/>
  <c r="C11694" i="1"/>
  <c r="C11695" i="1"/>
  <c r="C11696" i="1"/>
  <c r="C11697" i="1"/>
  <c r="C11698" i="1"/>
  <c r="C11699" i="1"/>
  <c r="C11700" i="1"/>
  <c r="C11701" i="1"/>
  <c r="C11702" i="1"/>
  <c r="C11703" i="1"/>
  <c r="C11704" i="1"/>
  <c r="C11705" i="1"/>
  <c r="C11706" i="1"/>
  <c r="C11707" i="1"/>
  <c r="C11708" i="1"/>
  <c r="C11709" i="1"/>
  <c r="C11710" i="1"/>
  <c r="C11711" i="1"/>
  <c r="C11712" i="1"/>
  <c r="C11713" i="1"/>
  <c r="C11714" i="1"/>
  <c r="C11715" i="1"/>
  <c r="C11716" i="1"/>
  <c r="C11717" i="1"/>
  <c r="C11718" i="1"/>
  <c r="C11719" i="1"/>
  <c r="C11720" i="1"/>
  <c r="C11721" i="1"/>
  <c r="C11722" i="1"/>
  <c r="C11723" i="1"/>
  <c r="C11724" i="1"/>
  <c r="C11725" i="1"/>
  <c r="C11726" i="1"/>
  <c r="C11727" i="1"/>
  <c r="C11728" i="1"/>
  <c r="C11729" i="1"/>
  <c r="C11730" i="1"/>
  <c r="C11731" i="1"/>
  <c r="C11732" i="1"/>
  <c r="C11733" i="1"/>
  <c r="C11734" i="1"/>
  <c r="C11735" i="1"/>
  <c r="C11736" i="1"/>
  <c r="C11737" i="1"/>
  <c r="C11738" i="1"/>
  <c r="C11739" i="1"/>
  <c r="C11740" i="1"/>
  <c r="C11741" i="1"/>
  <c r="C11742" i="1"/>
  <c r="C11743" i="1"/>
  <c r="C11744" i="1"/>
  <c r="C11745" i="1"/>
  <c r="C11746" i="1"/>
  <c r="C11747" i="1"/>
  <c r="C11748" i="1"/>
  <c r="C11749" i="1"/>
  <c r="C11750" i="1"/>
  <c r="C11751" i="1"/>
  <c r="C11752" i="1"/>
  <c r="C11753" i="1"/>
  <c r="C11754" i="1"/>
  <c r="C11755" i="1"/>
  <c r="C11756" i="1"/>
  <c r="C11757" i="1"/>
  <c r="C11758" i="1"/>
  <c r="C11759" i="1"/>
  <c r="C11760" i="1"/>
  <c r="C11761" i="1"/>
  <c r="C11762" i="1"/>
  <c r="C11763" i="1"/>
  <c r="C11764" i="1"/>
  <c r="C11765" i="1"/>
  <c r="C11766" i="1"/>
  <c r="C11767" i="1"/>
  <c r="C11768" i="1"/>
  <c r="C11769" i="1"/>
  <c r="C11770" i="1"/>
  <c r="C11771" i="1"/>
  <c r="C11772" i="1"/>
  <c r="C11773" i="1"/>
  <c r="C11774" i="1"/>
  <c r="C11775" i="1"/>
  <c r="C11776" i="1"/>
  <c r="C11777" i="1"/>
  <c r="C11778" i="1"/>
  <c r="C11779" i="1"/>
  <c r="C11780" i="1"/>
  <c r="C11781" i="1"/>
  <c r="C11782" i="1"/>
  <c r="C11783" i="1"/>
  <c r="C11784" i="1"/>
  <c r="C11785" i="1"/>
  <c r="C11786" i="1"/>
  <c r="C11787" i="1"/>
  <c r="C11788" i="1"/>
  <c r="C11789" i="1"/>
  <c r="C11790" i="1"/>
  <c r="C11791" i="1"/>
  <c r="C11792" i="1"/>
  <c r="C11793" i="1"/>
  <c r="C11794" i="1"/>
  <c r="C11795" i="1"/>
  <c r="C11796" i="1"/>
  <c r="C11797" i="1"/>
  <c r="C11798" i="1"/>
  <c r="C11799" i="1"/>
  <c r="C11800" i="1"/>
  <c r="C11801" i="1"/>
  <c r="C11802" i="1"/>
  <c r="C11803" i="1"/>
  <c r="C11804" i="1"/>
  <c r="C11805" i="1"/>
  <c r="C11806" i="1"/>
  <c r="C11807" i="1"/>
  <c r="C11808" i="1"/>
  <c r="C11809" i="1"/>
  <c r="C11810" i="1"/>
  <c r="C11811" i="1"/>
  <c r="C11812" i="1"/>
  <c r="C11813" i="1"/>
  <c r="C11814" i="1"/>
  <c r="C11815" i="1"/>
  <c r="C11816" i="1"/>
  <c r="C11817" i="1"/>
  <c r="C11818" i="1"/>
  <c r="C11819" i="1"/>
  <c r="C11820" i="1"/>
  <c r="C11821" i="1"/>
  <c r="C11822" i="1"/>
  <c r="C11823" i="1"/>
  <c r="C11824" i="1"/>
  <c r="C11825" i="1"/>
  <c r="C11826" i="1"/>
  <c r="C11827" i="1"/>
  <c r="C11828" i="1"/>
  <c r="C11829" i="1"/>
  <c r="C11830" i="1"/>
  <c r="C11831" i="1"/>
  <c r="C11832" i="1"/>
  <c r="C11833" i="1"/>
  <c r="C11834" i="1"/>
  <c r="C11835" i="1"/>
  <c r="C11836" i="1"/>
  <c r="C11837" i="1"/>
  <c r="C11838" i="1"/>
  <c r="C11839" i="1"/>
  <c r="C11840" i="1"/>
  <c r="C11841" i="1"/>
  <c r="C11842" i="1"/>
  <c r="C11843" i="1"/>
  <c r="C11844" i="1"/>
  <c r="C11845" i="1"/>
  <c r="C11846" i="1"/>
  <c r="C11847" i="1"/>
  <c r="C11848" i="1"/>
  <c r="C11849" i="1"/>
  <c r="C11850" i="1"/>
  <c r="C11851" i="1"/>
  <c r="C11852" i="1"/>
  <c r="C11853" i="1"/>
  <c r="C11854" i="1"/>
  <c r="C11855" i="1"/>
  <c r="C11856" i="1"/>
  <c r="C11857" i="1"/>
  <c r="C11858" i="1"/>
  <c r="C11859" i="1"/>
  <c r="C11860" i="1"/>
  <c r="C11861" i="1"/>
  <c r="C11862" i="1"/>
  <c r="C11863" i="1"/>
  <c r="C11864" i="1"/>
  <c r="C11865" i="1"/>
  <c r="C11866" i="1"/>
  <c r="C11867" i="1"/>
  <c r="C11868" i="1"/>
  <c r="C11869" i="1"/>
  <c r="C11870" i="1"/>
  <c r="C11871" i="1"/>
  <c r="C11872" i="1"/>
  <c r="C11873" i="1"/>
  <c r="C11874" i="1"/>
  <c r="C11875" i="1"/>
  <c r="C11876" i="1"/>
  <c r="C11877" i="1"/>
  <c r="C11878" i="1"/>
  <c r="C11879" i="1"/>
  <c r="C11880" i="1"/>
  <c r="C11881" i="1"/>
  <c r="C11882" i="1"/>
  <c r="C11883" i="1"/>
  <c r="C11884" i="1"/>
  <c r="C11885" i="1"/>
  <c r="C11886" i="1"/>
  <c r="C11887" i="1"/>
  <c r="C11888" i="1"/>
  <c r="C11889" i="1"/>
  <c r="C11890" i="1"/>
  <c r="C11891" i="1"/>
  <c r="C11892" i="1"/>
  <c r="C11893" i="1"/>
  <c r="C11894" i="1"/>
  <c r="C11895" i="1"/>
  <c r="C11896" i="1"/>
  <c r="C11897" i="1"/>
  <c r="C11898" i="1"/>
  <c r="C11899" i="1"/>
  <c r="C11900" i="1"/>
  <c r="C11901" i="1"/>
  <c r="C11902" i="1"/>
  <c r="C11903" i="1"/>
  <c r="C11904" i="1"/>
  <c r="C11905" i="1"/>
  <c r="C11906" i="1"/>
  <c r="C11907" i="1"/>
  <c r="C11908" i="1"/>
  <c r="C11909" i="1"/>
  <c r="C11910" i="1"/>
  <c r="C11911" i="1"/>
  <c r="C11912" i="1"/>
  <c r="C11913" i="1"/>
  <c r="C11914" i="1"/>
  <c r="C11915" i="1"/>
  <c r="C11916" i="1"/>
  <c r="C11917" i="1"/>
  <c r="C11918" i="1"/>
  <c r="C11919" i="1"/>
  <c r="C11920" i="1"/>
  <c r="C11921" i="1"/>
  <c r="C11922" i="1"/>
  <c r="C11923" i="1"/>
  <c r="C11924" i="1"/>
  <c r="C11925" i="1"/>
  <c r="C11926" i="1"/>
  <c r="C11927" i="1"/>
  <c r="C11928" i="1"/>
  <c r="C11929" i="1"/>
  <c r="C11930" i="1"/>
  <c r="C11931" i="1"/>
  <c r="C11932" i="1"/>
  <c r="C11933" i="1"/>
  <c r="C11934" i="1"/>
  <c r="C11935" i="1"/>
  <c r="C11936" i="1"/>
  <c r="C11937" i="1"/>
  <c r="C11938" i="1"/>
  <c r="C11939" i="1"/>
  <c r="C11940" i="1"/>
  <c r="C11941" i="1"/>
  <c r="C11942" i="1"/>
  <c r="C11943" i="1"/>
  <c r="C11944" i="1"/>
  <c r="C11945" i="1"/>
  <c r="C11946" i="1"/>
  <c r="C11947" i="1"/>
  <c r="C11948" i="1"/>
  <c r="C11949" i="1"/>
  <c r="C11950" i="1"/>
  <c r="C11951" i="1"/>
  <c r="C11952" i="1"/>
  <c r="C11953" i="1"/>
  <c r="C11954" i="1"/>
  <c r="C11955" i="1"/>
  <c r="C11956" i="1"/>
  <c r="C11957" i="1"/>
  <c r="C11958" i="1"/>
  <c r="C11959" i="1"/>
  <c r="C11960" i="1"/>
  <c r="C11961" i="1"/>
  <c r="C11962" i="1"/>
  <c r="C11963" i="1"/>
  <c r="C11964" i="1"/>
  <c r="C11965" i="1"/>
  <c r="C11966" i="1"/>
  <c r="C11967" i="1"/>
  <c r="C11968" i="1"/>
  <c r="C11969" i="1"/>
  <c r="C11970" i="1"/>
  <c r="C11971" i="1"/>
  <c r="C11972" i="1"/>
  <c r="C11973" i="1"/>
  <c r="C11974" i="1"/>
  <c r="C11975" i="1"/>
  <c r="C11976" i="1"/>
  <c r="C11977" i="1"/>
  <c r="C11978" i="1"/>
  <c r="C11979" i="1"/>
  <c r="C11980" i="1"/>
  <c r="C11981" i="1"/>
  <c r="C11982" i="1"/>
  <c r="C11983" i="1"/>
  <c r="C11984" i="1"/>
  <c r="C11985" i="1"/>
  <c r="C11986" i="1"/>
  <c r="C11987" i="1"/>
  <c r="C11988" i="1"/>
  <c r="C11989" i="1"/>
  <c r="C11990" i="1"/>
  <c r="C11991" i="1"/>
  <c r="C11992" i="1"/>
  <c r="C11993" i="1"/>
  <c r="C11994" i="1"/>
  <c r="C11995" i="1"/>
  <c r="C11996" i="1"/>
  <c r="C11997" i="1"/>
  <c r="C11998" i="1"/>
  <c r="C11999" i="1"/>
  <c r="C12000" i="1"/>
  <c r="C12001" i="1"/>
  <c r="C12002" i="1"/>
  <c r="C12003" i="1"/>
  <c r="C12004" i="1"/>
  <c r="C12005" i="1"/>
  <c r="C12006" i="1"/>
  <c r="C12007" i="1"/>
  <c r="C12008" i="1"/>
  <c r="C12009" i="1"/>
  <c r="C12010" i="1"/>
  <c r="C12011" i="1"/>
  <c r="C12012" i="1"/>
  <c r="C12013" i="1"/>
  <c r="C12014" i="1"/>
  <c r="C12015" i="1"/>
  <c r="C12016" i="1"/>
  <c r="C12017" i="1"/>
  <c r="C12018" i="1"/>
  <c r="C12019" i="1"/>
  <c r="C12020" i="1"/>
  <c r="C12021" i="1"/>
  <c r="C12022" i="1"/>
  <c r="C12023" i="1"/>
  <c r="C12024" i="1"/>
  <c r="C12025" i="1"/>
  <c r="C12027" i="1"/>
  <c r="C12028" i="1"/>
  <c r="C12029" i="1"/>
  <c r="C12030" i="1"/>
  <c r="C12031" i="1"/>
  <c r="C12032" i="1"/>
  <c r="C12033" i="1"/>
  <c r="C12034" i="1"/>
  <c r="C12035" i="1"/>
  <c r="C12037" i="1"/>
  <c r="C12038" i="1"/>
  <c r="C12039" i="1"/>
  <c r="C12040" i="1"/>
  <c r="C12041" i="1"/>
  <c r="C12042" i="1"/>
  <c r="C12043" i="1"/>
  <c r="C12044" i="1"/>
  <c r="C12045" i="1"/>
  <c r="C12046" i="1"/>
  <c r="C12047" i="1"/>
  <c r="C12048" i="1"/>
  <c r="C12049" i="1"/>
  <c r="C12050" i="1"/>
  <c r="C12051" i="1"/>
  <c r="C12052" i="1"/>
  <c r="C12053" i="1"/>
  <c r="C12054" i="1"/>
  <c r="C12055" i="1"/>
  <c r="C12056" i="1"/>
  <c r="C12057" i="1"/>
  <c r="C12058" i="1"/>
  <c r="C12059" i="1"/>
  <c r="C12060" i="1"/>
  <c r="C12061" i="1"/>
  <c r="C12062" i="1"/>
  <c r="C12063" i="1"/>
  <c r="C12064" i="1"/>
  <c r="C12065" i="1"/>
  <c r="C12066" i="1"/>
  <c r="C12067" i="1"/>
  <c r="C12068" i="1"/>
  <c r="C12069" i="1"/>
  <c r="C12070" i="1"/>
  <c r="C12071" i="1"/>
  <c r="C12072" i="1"/>
  <c r="C12073" i="1"/>
  <c r="C12074" i="1"/>
  <c r="C12075" i="1"/>
  <c r="C12076" i="1"/>
  <c r="C12077" i="1"/>
  <c r="C12078" i="1"/>
  <c r="C12079" i="1"/>
  <c r="C12080" i="1"/>
  <c r="C12081" i="1"/>
  <c r="C12082" i="1"/>
  <c r="C12083" i="1"/>
  <c r="C12084" i="1"/>
  <c r="C12085" i="1"/>
  <c r="C12086" i="1"/>
  <c r="C12087" i="1"/>
  <c r="C12088" i="1"/>
  <c r="C12089" i="1"/>
  <c r="C12090" i="1"/>
  <c r="C12091" i="1"/>
  <c r="C12092" i="1"/>
  <c r="C12093" i="1"/>
  <c r="C12094" i="1"/>
  <c r="C12095" i="1"/>
  <c r="C12096" i="1"/>
  <c r="C12097" i="1"/>
  <c r="C12098" i="1"/>
  <c r="C12099" i="1"/>
  <c r="C12100" i="1"/>
  <c r="C12101" i="1"/>
  <c r="C12102" i="1"/>
  <c r="C12103" i="1"/>
  <c r="C12104" i="1"/>
  <c r="C12105" i="1"/>
  <c r="C12106" i="1"/>
  <c r="C12107" i="1"/>
  <c r="C12108" i="1"/>
  <c r="C12109" i="1"/>
  <c r="C12110" i="1"/>
  <c r="C12111" i="1"/>
  <c r="C12112" i="1"/>
  <c r="C12113" i="1"/>
  <c r="C12114" i="1"/>
  <c r="C12115" i="1"/>
  <c r="C12116" i="1"/>
  <c r="C12117" i="1"/>
  <c r="C12118" i="1"/>
  <c r="C12119" i="1"/>
  <c r="C12120" i="1"/>
  <c r="C12121" i="1"/>
  <c r="C12122" i="1"/>
  <c r="C12123" i="1"/>
  <c r="C12124" i="1"/>
  <c r="C12125" i="1"/>
  <c r="C12126" i="1"/>
  <c r="C12127" i="1"/>
  <c r="C12128" i="1"/>
  <c r="C12129" i="1"/>
  <c r="C12130" i="1"/>
  <c r="C12131" i="1"/>
  <c r="C12132" i="1"/>
  <c r="C12133" i="1"/>
  <c r="C12134" i="1"/>
  <c r="C12135" i="1"/>
  <c r="C12136" i="1"/>
  <c r="C12137" i="1"/>
  <c r="C12138" i="1"/>
  <c r="C12139" i="1"/>
  <c r="C12140" i="1"/>
  <c r="C12141" i="1"/>
  <c r="C12142" i="1"/>
  <c r="C12143" i="1"/>
  <c r="C12144" i="1"/>
  <c r="C12145" i="1"/>
  <c r="C12146" i="1"/>
  <c r="C12147" i="1"/>
  <c r="C12148" i="1"/>
  <c r="C12149" i="1"/>
  <c r="C12150" i="1"/>
  <c r="C12151" i="1"/>
  <c r="C12152" i="1"/>
  <c r="C12153" i="1"/>
  <c r="C12154" i="1"/>
  <c r="C12155" i="1"/>
  <c r="C12156" i="1"/>
  <c r="C12157" i="1"/>
  <c r="C12158" i="1"/>
  <c r="C12159" i="1"/>
  <c r="C12160" i="1"/>
  <c r="C12161" i="1"/>
  <c r="C12162" i="1"/>
  <c r="C12163" i="1"/>
  <c r="C12164" i="1"/>
  <c r="C12165" i="1"/>
  <c r="C12166" i="1"/>
  <c r="C12167" i="1"/>
  <c r="C12168" i="1"/>
  <c r="C12169" i="1"/>
  <c r="C12170" i="1"/>
  <c r="C12171" i="1"/>
  <c r="C12172" i="1"/>
  <c r="C12173" i="1"/>
  <c r="C12174" i="1"/>
  <c r="C12175" i="1"/>
  <c r="C12176" i="1"/>
  <c r="C12177" i="1"/>
  <c r="C12178" i="1"/>
  <c r="C12179" i="1"/>
  <c r="C12180" i="1"/>
  <c r="C12181" i="1"/>
  <c r="C12182" i="1"/>
  <c r="C12183" i="1"/>
  <c r="C12184" i="1"/>
  <c r="C12185" i="1"/>
  <c r="C12186" i="1"/>
  <c r="C12187" i="1"/>
  <c r="C12188" i="1"/>
  <c r="C12189" i="1"/>
  <c r="C12190" i="1"/>
  <c r="C12191" i="1"/>
  <c r="C12192" i="1"/>
  <c r="C12193" i="1"/>
  <c r="C12194" i="1"/>
  <c r="C12195" i="1"/>
  <c r="C12196" i="1"/>
  <c r="C12197" i="1"/>
  <c r="C12198" i="1"/>
  <c r="C12199" i="1"/>
  <c r="C12200" i="1"/>
  <c r="C12201" i="1"/>
  <c r="C12202" i="1"/>
  <c r="C12203" i="1"/>
  <c r="C12204" i="1"/>
  <c r="C12205" i="1"/>
  <c r="C12206" i="1"/>
  <c r="C12207" i="1"/>
  <c r="C12208" i="1"/>
  <c r="C12209" i="1"/>
  <c r="C12210" i="1"/>
  <c r="C12211" i="1"/>
  <c r="C12212" i="1"/>
  <c r="C12213" i="1"/>
  <c r="C12214" i="1"/>
  <c r="C12215" i="1"/>
  <c r="C12216" i="1"/>
  <c r="C12217" i="1"/>
  <c r="C12218" i="1"/>
  <c r="C12219" i="1"/>
  <c r="C12220" i="1"/>
  <c r="C12221" i="1"/>
  <c r="C12222" i="1"/>
  <c r="C12223" i="1"/>
  <c r="C12224" i="1"/>
  <c r="C12225" i="1"/>
  <c r="C12226" i="1"/>
  <c r="C12227" i="1"/>
  <c r="C12228" i="1"/>
  <c r="C12229" i="1"/>
  <c r="C12230" i="1"/>
  <c r="C12231" i="1"/>
  <c r="C12232" i="1"/>
  <c r="C12233" i="1"/>
  <c r="C12234" i="1"/>
  <c r="C12235" i="1"/>
  <c r="C12236" i="1"/>
  <c r="C12237" i="1"/>
  <c r="C12238" i="1"/>
  <c r="C12239" i="1"/>
  <c r="C12240" i="1"/>
  <c r="C12241" i="1"/>
  <c r="C12242" i="1"/>
  <c r="C12243" i="1"/>
  <c r="C12244" i="1"/>
  <c r="C12245" i="1"/>
  <c r="C12246" i="1"/>
  <c r="C12247" i="1"/>
  <c r="C12248" i="1"/>
  <c r="C12249" i="1"/>
  <c r="C12250" i="1"/>
  <c r="C12251" i="1"/>
  <c r="C12252" i="1"/>
  <c r="C12253" i="1"/>
  <c r="C12254" i="1"/>
  <c r="C12255" i="1"/>
  <c r="C12256" i="1"/>
  <c r="C12257" i="1"/>
  <c r="C12258" i="1"/>
  <c r="C12259" i="1"/>
  <c r="C12260" i="1"/>
  <c r="C12261" i="1"/>
  <c r="C12262" i="1"/>
  <c r="C12263" i="1"/>
  <c r="C12264" i="1"/>
  <c r="C12265" i="1"/>
  <c r="C12266" i="1"/>
  <c r="C12267" i="1"/>
  <c r="C12268" i="1"/>
  <c r="C12269" i="1"/>
  <c r="C12270" i="1"/>
  <c r="C12271" i="1"/>
  <c r="C12272" i="1"/>
  <c r="C12273" i="1"/>
  <c r="C12274" i="1"/>
  <c r="C12275" i="1"/>
  <c r="C12276" i="1"/>
  <c r="C12277" i="1"/>
  <c r="C12278" i="1"/>
  <c r="C12279" i="1"/>
  <c r="C12280" i="1"/>
  <c r="C12281" i="1"/>
  <c r="C12282" i="1"/>
  <c r="C12283" i="1"/>
  <c r="C12284" i="1"/>
  <c r="C12285" i="1"/>
  <c r="C12286" i="1"/>
  <c r="C12287" i="1"/>
  <c r="C12288" i="1"/>
  <c r="C12289" i="1"/>
  <c r="C12290" i="1"/>
  <c r="C12291" i="1"/>
  <c r="C12292" i="1"/>
  <c r="C12293" i="1"/>
  <c r="C12294" i="1"/>
  <c r="C12295" i="1"/>
  <c r="C12296" i="1"/>
  <c r="C12297" i="1"/>
  <c r="C12298" i="1"/>
  <c r="C12299" i="1"/>
  <c r="C12300" i="1"/>
  <c r="C12301" i="1"/>
  <c r="C12302" i="1"/>
  <c r="C12303" i="1"/>
  <c r="C12304" i="1"/>
  <c r="C12305" i="1"/>
  <c r="C12306" i="1"/>
  <c r="C12307" i="1"/>
  <c r="C12308" i="1"/>
  <c r="C12309" i="1"/>
  <c r="C12310" i="1"/>
  <c r="C12311" i="1"/>
  <c r="C12312" i="1"/>
  <c r="C12313" i="1"/>
  <c r="C12314" i="1"/>
  <c r="C12315" i="1"/>
  <c r="C12316" i="1"/>
  <c r="C12317" i="1"/>
  <c r="C12318" i="1"/>
  <c r="C12319" i="1"/>
  <c r="C12320" i="1"/>
  <c r="C12321" i="1"/>
  <c r="C12322" i="1"/>
  <c r="C12323" i="1"/>
  <c r="C12324" i="1"/>
  <c r="C12325" i="1"/>
  <c r="C12326" i="1"/>
  <c r="C12327" i="1"/>
  <c r="C12328" i="1"/>
  <c r="C12329" i="1"/>
  <c r="C12330" i="1"/>
  <c r="C12331" i="1"/>
  <c r="C12332" i="1"/>
  <c r="C12333" i="1"/>
  <c r="C12334" i="1"/>
  <c r="C12335" i="1"/>
  <c r="C12336" i="1"/>
  <c r="C12337" i="1"/>
  <c r="C12338" i="1"/>
  <c r="C12339" i="1"/>
  <c r="C12340" i="1"/>
  <c r="C12341" i="1"/>
  <c r="C12342" i="1"/>
  <c r="C12343" i="1"/>
  <c r="C12344" i="1"/>
  <c r="C12345" i="1"/>
  <c r="C12346" i="1"/>
  <c r="C12347" i="1"/>
  <c r="C12348" i="1"/>
  <c r="C12349" i="1"/>
  <c r="C12350" i="1"/>
  <c r="C12351" i="1"/>
  <c r="C12352" i="1"/>
  <c r="C12353" i="1"/>
  <c r="C12354" i="1"/>
  <c r="C12355" i="1"/>
  <c r="C12356" i="1"/>
  <c r="C12357" i="1"/>
  <c r="C12358" i="1"/>
  <c r="C12359" i="1"/>
  <c r="C12360" i="1"/>
  <c r="C12361" i="1"/>
  <c r="C12362" i="1"/>
  <c r="C12363" i="1"/>
  <c r="C12364" i="1"/>
  <c r="C12365" i="1"/>
  <c r="C12366" i="1"/>
  <c r="C12367" i="1"/>
  <c r="C12368" i="1"/>
  <c r="C12369" i="1"/>
  <c r="C12370" i="1"/>
  <c r="C12371" i="1"/>
  <c r="C12372" i="1"/>
  <c r="C12373" i="1"/>
  <c r="C12374" i="1"/>
  <c r="C12375" i="1"/>
  <c r="C12376" i="1"/>
  <c r="C12377" i="1"/>
  <c r="C12378" i="1"/>
  <c r="C12379" i="1"/>
  <c r="C12380" i="1"/>
  <c r="C12381" i="1"/>
  <c r="C12382" i="1"/>
  <c r="C12383" i="1"/>
  <c r="C12384" i="1"/>
  <c r="C12385" i="1"/>
  <c r="C12386" i="1"/>
  <c r="C12387" i="1"/>
  <c r="C12388" i="1"/>
  <c r="C12389" i="1"/>
  <c r="C12390" i="1"/>
  <c r="C12391" i="1"/>
  <c r="C12392" i="1"/>
  <c r="C12393" i="1"/>
  <c r="C12394" i="1"/>
  <c r="C12395" i="1"/>
  <c r="C12396" i="1"/>
  <c r="C12397" i="1"/>
  <c r="C12398" i="1"/>
  <c r="C12399" i="1"/>
  <c r="C12400" i="1"/>
  <c r="C12401" i="1"/>
  <c r="C12402" i="1"/>
  <c r="C12403" i="1"/>
  <c r="C12404" i="1"/>
  <c r="C12405" i="1"/>
  <c r="C12406" i="1"/>
  <c r="C12407" i="1"/>
  <c r="C12408" i="1"/>
  <c r="C12409" i="1"/>
  <c r="C12410" i="1"/>
  <c r="C12411" i="1"/>
  <c r="C12412" i="1"/>
  <c r="C12413" i="1"/>
  <c r="C12414" i="1"/>
  <c r="C12415" i="1"/>
  <c r="C12416" i="1"/>
  <c r="C12417" i="1"/>
  <c r="C12418" i="1"/>
  <c r="C12419" i="1"/>
  <c r="C12420" i="1"/>
  <c r="C12421" i="1"/>
  <c r="C12422" i="1"/>
  <c r="C12423" i="1"/>
  <c r="C12424" i="1"/>
  <c r="C12425" i="1"/>
  <c r="C12426" i="1"/>
  <c r="C12427" i="1"/>
  <c r="C12428" i="1"/>
  <c r="C12429" i="1"/>
  <c r="C12430" i="1"/>
  <c r="C12431" i="1"/>
  <c r="C12432" i="1"/>
  <c r="C12433" i="1"/>
  <c r="C12434" i="1"/>
  <c r="C12435" i="1"/>
  <c r="C12436" i="1"/>
  <c r="C12437" i="1"/>
  <c r="C12438" i="1"/>
  <c r="C12439" i="1"/>
  <c r="C12440" i="1"/>
  <c r="C12441" i="1"/>
  <c r="C12442" i="1"/>
  <c r="C12443" i="1"/>
  <c r="C12444" i="1"/>
  <c r="C12445" i="1"/>
  <c r="C12446" i="1"/>
  <c r="C12447" i="1"/>
  <c r="C12448" i="1"/>
  <c r="C12449" i="1"/>
  <c r="C12450" i="1"/>
  <c r="C12451" i="1"/>
  <c r="C12452" i="1"/>
  <c r="C12453" i="1"/>
  <c r="C12454" i="1"/>
  <c r="C12455" i="1"/>
  <c r="C12456" i="1"/>
  <c r="C12457" i="1"/>
  <c r="C12458" i="1"/>
  <c r="C12459" i="1"/>
  <c r="C12460" i="1"/>
  <c r="C12461" i="1"/>
  <c r="C12462" i="1"/>
  <c r="C12463" i="1"/>
  <c r="C12464" i="1"/>
  <c r="C12465" i="1"/>
  <c r="C12466" i="1"/>
  <c r="C12467" i="1"/>
  <c r="C12468" i="1"/>
  <c r="C12469" i="1"/>
  <c r="C12470" i="1"/>
  <c r="C12471" i="1"/>
  <c r="C12472" i="1"/>
  <c r="C12473" i="1"/>
  <c r="C12474" i="1"/>
  <c r="C12475" i="1"/>
  <c r="C12476" i="1"/>
  <c r="C12477" i="1"/>
  <c r="C12478" i="1"/>
  <c r="C12479" i="1"/>
  <c r="C12480" i="1"/>
  <c r="C12481" i="1"/>
  <c r="C12482" i="1"/>
  <c r="C12483" i="1"/>
  <c r="C12484" i="1"/>
  <c r="C12485" i="1"/>
  <c r="C12486" i="1"/>
  <c r="C12487" i="1"/>
  <c r="C12488" i="1"/>
  <c r="C12489" i="1"/>
  <c r="C12490" i="1"/>
  <c r="C12491" i="1"/>
  <c r="C12492" i="1"/>
  <c r="C12493" i="1"/>
  <c r="C12494" i="1"/>
  <c r="C12495" i="1"/>
  <c r="C12496" i="1"/>
  <c r="C12497" i="1"/>
  <c r="C12498" i="1"/>
  <c r="C12499" i="1"/>
  <c r="C12500" i="1"/>
  <c r="C12501" i="1"/>
  <c r="C12502" i="1"/>
  <c r="C12503" i="1"/>
  <c r="C12504" i="1"/>
  <c r="C12505" i="1"/>
  <c r="C12506" i="1"/>
  <c r="C12507" i="1"/>
  <c r="C12508" i="1"/>
  <c r="C12509" i="1"/>
  <c r="C12510" i="1"/>
  <c r="C12511" i="1"/>
  <c r="C12512" i="1"/>
  <c r="C12513" i="1"/>
  <c r="C12514" i="1"/>
  <c r="C12515" i="1"/>
  <c r="C12516" i="1"/>
  <c r="C12517" i="1"/>
  <c r="C12518" i="1"/>
  <c r="C12519" i="1"/>
  <c r="C12520" i="1"/>
  <c r="C12521" i="1"/>
  <c r="C12522" i="1"/>
  <c r="C12523" i="1"/>
  <c r="C12524" i="1"/>
  <c r="C12525" i="1"/>
  <c r="C12526" i="1"/>
  <c r="C12527" i="1"/>
  <c r="C12528" i="1"/>
  <c r="C12529" i="1"/>
  <c r="C12530" i="1"/>
  <c r="C12531" i="1"/>
  <c r="C12532" i="1"/>
  <c r="C12533" i="1"/>
  <c r="C12534" i="1"/>
  <c r="C12535" i="1"/>
  <c r="C12536" i="1"/>
  <c r="C12537" i="1"/>
  <c r="C12538" i="1"/>
  <c r="C12539" i="1"/>
  <c r="C12540" i="1"/>
  <c r="C12541" i="1"/>
  <c r="C12542" i="1"/>
  <c r="C12543" i="1"/>
  <c r="C12544" i="1"/>
  <c r="C12545" i="1"/>
  <c r="C12546" i="1"/>
  <c r="C12547" i="1"/>
  <c r="C12548" i="1"/>
  <c r="C12549" i="1"/>
  <c r="C12550" i="1"/>
  <c r="C12551" i="1"/>
  <c r="C12552" i="1"/>
  <c r="C12553" i="1"/>
  <c r="C12554" i="1"/>
  <c r="C12555" i="1"/>
  <c r="C12556" i="1"/>
  <c r="C12557" i="1"/>
  <c r="C12558" i="1"/>
  <c r="C12559" i="1"/>
  <c r="C12560" i="1"/>
  <c r="C12561" i="1"/>
  <c r="C12562" i="1"/>
  <c r="C12563" i="1"/>
  <c r="C12564" i="1"/>
  <c r="C12565" i="1"/>
  <c r="C12566" i="1"/>
  <c r="C12567" i="1"/>
  <c r="C12568" i="1"/>
  <c r="C12569" i="1"/>
  <c r="C12570" i="1"/>
  <c r="C12571" i="1"/>
  <c r="C12572" i="1"/>
  <c r="C12573" i="1"/>
  <c r="C12574" i="1"/>
  <c r="C12575" i="1"/>
  <c r="C12576" i="1"/>
  <c r="C12577" i="1"/>
  <c r="C12578" i="1"/>
  <c r="C12579" i="1"/>
  <c r="C12580" i="1"/>
  <c r="C12581" i="1"/>
  <c r="C12582" i="1"/>
  <c r="C12583" i="1"/>
  <c r="C12584" i="1"/>
  <c r="C12585" i="1"/>
  <c r="C12586" i="1"/>
  <c r="C12587" i="1"/>
  <c r="C12588" i="1"/>
  <c r="C12589" i="1"/>
  <c r="C12590" i="1"/>
  <c r="C12591" i="1"/>
  <c r="C12592" i="1"/>
  <c r="C12593" i="1"/>
  <c r="C12594" i="1"/>
  <c r="C12595" i="1"/>
  <c r="C12596" i="1"/>
  <c r="C12597" i="1"/>
  <c r="C12598" i="1"/>
  <c r="C12599" i="1"/>
  <c r="C12600" i="1"/>
  <c r="C12601" i="1"/>
  <c r="C12602" i="1"/>
  <c r="C12603" i="1"/>
  <c r="C12604" i="1"/>
  <c r="C12605" i="1"/>
  <c r="C12606" i="1"/>
  <c r="C12607" i="1"/>
  <c r="C12608" i="1"/>
  <c r="C12609" i="1"/>
  <c r="C12610" i="1"/>
  <c r="C12611" i="1"/>
  <c r="C12612" i="1"/>
  <c r="C12613" i="1"/>
  <c r="C12614" i="1"/>
  <c r="C12615" i="1"/>
  <c r="C12616" i="1"/>
  <c r="C12617" i="1"/>
  <c r="C12618" i="1"/>
  <c r="C12619" i="1"/>
  <c r="C12620" i="1"/>
  <c r="C12621" i="1"/>
  <c r="C12622" i="1"/>
  <c r="C12623" i="1"/>
  <c r="C12624" i="1"/>
  <c r="C12625" i="1"/>
  <c r="C12626" i="1"/>
  <c r="C12627" i="1"/>
  <c r="C12628" i="1"/>
  <c r="C12629" i="1"/>
  <c r="C12630" i="1"/>
  <c r="C12631" i="1"/>
  <c r="C12632" i="1"/>
  <c r="C12633" i="1"/>
  <c r="C12634" i="1"/>
  <c r="C12635" i="1"/>
  <c r="C12636" i="1"/>
  <c r="C12637" i="1"/>
  <c r="C12638" i="1"/>
  <c r="C12639" i="1"/>
  <c r="C12640" i="1"/>
  <c r="C12641" i="1"/>
  <c r="C12642" i="1"/>
  <c r="C12643" i="1"/>
  <c r="C12644" i="1"/>
  <c r="C12645" i="1"/>
  <c r="C12646" i="1"/>
  <c r="C12647" i="1"/>
  <c r="C12648" i="1"/>
  <c r="C12649" i="1"/>
  <c r="C12650" i="1"/>
  <c r="C12651" i="1"/>
  <c r="C12653" i="1"/>
  <c r="C12654" i="1"/>
  <c r="C12655" i="1"/>
  <c r="C12656" i="1"/>
  <c r="C12657" i="1"/>
  <c r="C12658" i="1"/>
  <c r="C12659" i="1"/>
  <c r="C12660" i="1"/>
  <c r="C12661" i="1"/>
  <c r="C12662" i="1"/>
  <c r="C12663" i="1"/>
  <c r="C12664" i="1"/>
  <c r="C12665" i="1"/>
  <c r="C12666" i="1"/>
  <c r="C12667" i="1"/>
  <c r="C12668" i="1"/>
  <c r="C12669" i="1"/>
  <c r="C12670" i="1"/>
  <c r="C12671" i="1"/>
  <c r="C12672" i="1"/>
  <c r="C12673" i="1"/>
  <c r="C12674" i="1"/>
  <c r="C12675" i="1"/>
  <c r="C12676" i="1"/>
  <c r="C12677" i="1"/>
  <c r="C12678" i="1"/>
  <c r="C12679" i="1"/>
  <c r="C12680" i="1"/>
  <c r="C12681" i="1"/>
  <c r="C12682" i="1"/>
  <c r="C12683" i="1"/>
  <c r="C12684" i="1"/>
  <c r="C12685" i="1"/>
  <c r="C12686" i="1"/>
  <c r="C12687" i="1"/>
  <c r="C12688" i="1"/>
  <c r="C12689" i="1"/>
  <c r="C12690" i="1"/>
  <c r="C12691" i="1"/>
  <c r="C12692" i="1"/>
  <c r="C12693" i="1"/>
  <c r="C12694" i="1"/>
  <c r="C12695" i="1"/>
  <c r="C12696" i="1"/>
  <c r="C12697" i="1"/>
  <c r="C12698" i="1"/>
  <c r="C12699" i="1"/>
  <c r="C12700" i="1"/>
  <c r="C12701" i="1"/>
  <c r="C12702" i="1"/>
  <c r="C12703" i="1"/>
  <c r="C12704" i="1"/>
  <c r="C12705" i="1"/>
  <c r="C12706" i="1"/>
  <c r="C12707" i="1"/>
  <c r="C12708" i="1"/>
  <c r="C12709" i="1"/>
  <c r="C12710" i="1"/>
  <c r="C12711" i="1"/>
  <c r="C12712" i="1"/>
  <c r="C12713" i="1"/>
  <c r="C12714" i="1"/>
  <c r="C12715" i="1"/>
  <c r="C12716" i="1"/>
  <c r="C12717" i="1"/>
  <c r="C12718" i="1"/>
  <c r="C12719" i="1"/>
  <c r="C12720" i="1"/>
  <c r="C12721" i="1"/>
  <c r="C12722" i="1"/>
  <c r="C12723" i="1"/>
  <c r="C12724" i="1"/>
  <c r="C12725" i="1"/>
  <c r="C12726" i="1"/>
  <c r="C12727" i="1"/>
  <c r="C12728" i="1"/>
  <c r="C12729" i="1"/>
  <c r="C12730" i="1"/>
  <c r="C12731" i="1"/>
  <c r="C12732" i="1"/>
  <c r="C12733" i="1"/>
  <c r="C12734" i="1"/>
  <c r="C12735" i="1"/>
  <c r="C12736" i="1"/>
  <c r="C12737" i="1"/>
  <c r="C12738" i="1"/>
  <c r="C12739" i="1"/>
  <c r="C12740" i="1"/>
  <c r="C12741" i="1"/>
  <c r="C12742" i="1"/>
  <c r="C12743" i="1"/>
  <c r="C12744" i="1"/>
  <c r="C12745" i="1"/>
  <c r="C12746" i="1"/>
  <c r="C12747" i="1"/>
  <c r="C12748" i="1"/>
  <c r="C12749" i="1"/>
  <c r="C12750" i="1"/>
  <c r="C12751" i="1"/>
  <c r="C12752" i="1"/>
  <c r="C12753" i="1"/>
  <c r="C12754" i="1"/>
  <c r="C12755" i="1"/>
  <c r="C12756" i="1"/>
  <c r="C12757" i="1"/>
  <c r="C12758" i="1"/>
  <c r="C12759" i="1"/>
  <c r="C12760" i="1"/>
  <c r="C12761" i="1"/>
  <c r="C12762" i="1"/>
  <c r="C12763" i="1"/>
  <c r="C12764" i="1"/>
  <c r="C12765" i="1"/>
  <c r="C12766" i="1"/>
  <c r="C12767" i="1"/>
  <c r="C12768" i="1"/>
  <c r="C12769" i="1"/>
  <c r="C12770" i="1"/>
  <c r="C12771" i="1"/>
  <c r="C12772" i="1"/>
  <c r="C12773" i="1"/>
  <c r="C12774" i="1"/>
  <c r="C12775" i="1"/>
  <c r="C12776" i="1"/>
  <c r="C12777" i="1"/>
  <c r="C12778" i="1"/>
  <c r="C12779" i="1"/>
  <c r="C12780" i="1"/>
  <c r="C12781" i="1"/>
  <c r="C12782" i="1"/>
  <c r="C12783" i="1"/>
  <c r="C12784" i="1"/>
  <c r="C12785" i="1"/>
  <c r="C12786" i="1"/>
  <c r="C12787" i="1"/>
  <c r="C12788" i="1"/>
  <c r="C12789" i="1"/>
  <c r="C12790" i="1"/>
  <c r="C12791" i="1"/>
  <c r="C12792" i="1"/>
  <c r="C12793" i="1"/>
  <c r="C12794" i="1"/>
  <c r="C12795" i="1"/>
  <c r="C12796" i="1"/>
  <c r="C12797" i="1"/>
  <c r="C12798" i="1"/>
  <c r="C12799" i="1"/>
  <c r="C12800" i="1"/>
  <c r="C12801" i="1"/>
  <c r="C12802" i="1"/>
  <c r="C12803" i="1"/>
  <c r="C12804" i="1"/>
  <c r="C12805" i="1"/>
  <c r="C12806" i="1"/>
  <c r="C12807" i="1"/>
  <c r="C12808" i="1"/>
  <c r="C12809" i="1"/>
  <c r="C12810" i="1"/>
  <c r="C12811" i="1"/>
  <c r="C12812" i="1"/>
  <c r="C12813" i="1"/>
  <c r="C12814" i="1"/>
  <c r="C12815" i="1"/>
  <c r="C12816" i="1"/>
  <c r="C12817" i="1"/>
  <c r="C12818" i="1"/>
  <c r="C12819" i="1"/>
  <c r="C12820" i="1"/>
  <c r="C12821" i="1"/>
  <c r="C12822" i="1"/>
  <c r="C12823" i="1"/>
  <c r="C12824" i="1"/>
  <c r="C12825" i="1"/>
  <c r="C12826" i="1"/>
  <c r="C12827" i="1"/>
  <c r="C12828" i="1"/>
  <c r="C12829" i="1"/>
  <c r="C12830" i="1"/>
  <c r="C12831" i="1"/>
  <c r="C12832" i="1"/>
  <c r="C12833" i="1"/>
  <c r="C12834" i="1"/>
  <c r="C12835" i="1"/>
  <c r="C12836" i="1"/>
  <c r="C12837" i="1"/>
  <c r="C12838" i="1"/>
  <c r="C12839" i="1"/>
  <c r="C12840" i="1"/>
  <c r="C12841" i="1"/>
  <c r="C12842" i="1"/>
  <c r="C12843" i="1"/>
  <c r="C12844" i="1"/>
  <c r="C12845" i="1"/>
  <c r="C12846" i="1"/>
  <c r="C12847" i="1"/>
  <c r="C12848" i="1"/>
  <c r="C12849" i="1"/>
  <c r="C12850" i="1"/>
  <c r="C12851" i="1"/>
  <c r="C12852" i="1"/>
  <c r="C12853" i="1"/>
  <c r="C12854" i="1"/>
  <c r="C12855" i="1"/>
  <c r="C12856" i="1"/>
  <c r="C12857" i="1"/>
  <c r="C12858" i="1"/>
  <c r="C12859" i="1"/>
  <c r="C12860" i="1"/>
  <c r="C12861" i="1"/>
  <c r="C12862" i="1"/>
  <c r="C12863" i="1"/>
  <c r="C12864" i="1"/>
  <c r="C12865" i="1"/>
  <c r="C12866" i="1"/>
  <c r="C12867" i="1"/>
  <c r="C12868" i="1"/>
  <c r="C12869" i="1"/>
  <c r="C12870" i="1"/>
  <c r="C12871" i="1"/>
  <c r="C12872" i="1"/>
  <c r="C12873" i="1"/>
  <c r="C12874" i="1"/>
  <c r="C12875" i="1"/>
  <c r="C12876" i="1"/>
  <c r="C12877" i="1"/>
  <c r="C12878" i="1"/>
  <c r="C12879" i="1"/>
  <c r="C12880" i="1"/>
  <c r="C12881" i="1"/>
  <c r="C12882" i="1"/>
  <c r="C12883" i="1"/>
  <c r="C12884" i="1"/>
  <c r="C12885" i="1"/>
  <c r="C12886" i="1"/>
  <c r="C12887" i="1"/>
  <c r="C12888" i="1"/>
  <c r="C12889" i="1"/>
  <c r="C12890" i="1"/>
  <c r="C12891" i="1"/>
  <c r="C12893" i="1"/>
  <c r="C12894" i="1"/>
  <c r="C12895" i="1"/>
  <c r="C12896" i="1"/>
  <c r="C12897" i="1"/>
  <c r="C12898" i="1"/>
  <c r="C12899" i="1"/>
  <c r="C12900" i="1"/>
  <c r="C12901" i="1"/>
  <c r="C12902" i="1"/>
  <c r="C12903" i="1"/>
  <c r="C12904" i="1"/>
  <c r="C12905" i="1"/>
  <c r="C12906" i="1"/>
  <c r="C12907" i="1"/>
  <c r="C12908" i="1"/>
  <c r="C12909" i="1"/>
  <c r="C12910" i="1"/>
  <c r="C12911" i="1"/>
  <c r="C12912" i="1"/>
  <c r="C12913" i="1"/>
  <c r="C12914" i="1"/>
  <c r="C12915" i="1"/>
  <c r="C12916" i="1"/>
  <c r="C12917" i="1"/>
  <c r="C12918" i="1"/>
  <c r="C12919" i="1"/>
  <c r="C12920" i="1"/>
  <c r="C12921" i="1"/>
  <c r="C12922" i="1"/>
  <c r="C12923" i="1"/>
  <c r="C12924" i="1"/>
  <c r="C12925" i="1"/>
  <c r="C12926" i="1"/>
  <c r="C12927" i="1"/>
  <c r="C12928" i="1"/>
  <c r="C12929" i="1"/>
  <c r="C12930" i="1"/>
  <c r="C12931" i="1"/>
  <c r="C12932" i="1"/>
  <c r="C12933" i="1"/>
  <c r="C12934" i="1"/>
  <c r="C12935" i="1"/>
  <c r="C12936" i="1"/>
  <c r="C12937" i="1"/>
  <c r="C12938" i="1"/>
  <c r="C12939" i="1"/>
  <c r="C12940" i="1"/>
  <c r="C12941" i="1"/>
  <c r="C12942" i="1"/>
  <c r="C12943" i="1"/>
  <c r="C12944" i="1"/>
  <c r="C12945" i="1"/>
  <c r="C12946" i="1"/>
  <c r="C12947" i="1"/>
  <c r="C12948" i="1"/>
  <c r="C12949" i="1"/>
  <c r="C12950" i="1"/>
  <c r="C12951" i="1"/>
  <c r="C12952" i="1"/>
  <c r="C12953" i="1"/>
  <c r="C12954" i="1"/>
  <c r="C12955" i="1"/>
  <c r="C12956" i="1"/>
  <c r="C12957" i="1"/>
  <c r="C12958" i="1"/>
  <c r="C12959" i="1"/>
  <c r="C12960" i="1"/>
  <c r="C12961" i="1"/>
  <c r="C12962" i="1"/>
  <c r="C12963" i="1"/>
  <c r="C12964" i="1"/>
  <c r="C12965" i="1"/>
  <c r="C12966" i="1"/>
  <c r="C12967" i="1"/>
  <c r="C12968" i="1"/>
  <c r="C12969" i="1"/>
  <c r="C12970" i="1"/>
  <c r="C12971" i="1"/>
  <c r="C12972" i="1"/>
  <c r="C12973" i="1"/>
  <c r="C12974" i="1"/>
  <c r="C12975" i="1"/>
  <c r="C12976" i="1"/>
  <c r="C12977" i="1"/>
  <c r="C12978" i="1"/>
  <c r="C12979" i="1"/>
  <c r="C12980" i="1"/>
  <c r="C12981" i="1"/>
  <c r="C12982" i="1"/>
  <c r="C12983" i="1"/>
  <c r="C12984" i="1"/>
  <c r="C12986" i="1"/>
  <c r="C12987" i="1"/>
  <c r="C12988" i="1"/>
  <c r="C12989" i="1"/>
  <c r="C12990" i="1"/>
  <c r="C12991" i="1"/>
  <c r="C12992" i="1"/>
  <c r="C12993" i="1"/>
  <c r="C12994" i="1"/>
  <c r="C12995" i="1"/>
  <c r="C12996" i="1"/>
  <c r="C12997" i="1"/>
  <c r="C12998" i="1"/>
  <c r="C12999" i="1"/>
  <c r="C13000" i="1"/>
  <c r="C13001" i="1"/>
  <c r="C13002" i="1"/>
  <c r="C13003" i="1"/>
  <c r="C13004" i="1"/>
  <c r="C13005" i="1"/>
  <c r="C13006" i="1"/>
  <c r="C13007" i="1"/>
  <c r="C13008" i="1"/>
  <c r="C13009" i="1"/>
  <c r="C13010" i="1"/>
  <c r="C13011" i="1"/>
  <c r="C13012" i="1"/>
  <c r="C13013" i="1"/>
  <c r="C13014" i="1"/>
  <c r="C13015" i="1"/>
  <c r="C13016" i="1"/>
  <c r="C13017" i="1"/>
  <c r="C13018" i="1"/>
  <c r="C13019" i="1"/>
  <c r="C13020" i="1"/>
  <c r="C13021" i="1"/>
  <c r="C13022" i="1"/>
  <c r="C13023" i="1"/>
  <c r="C13024" i="1"/>
  <c r="C13025" i="1"/>
  <c r="C13026" i="1"/>
  <c r="C13027" i="1"/>
  <c r="C13028" i="1"/>
  <c r="C13029" i="1"/>
  <c r="C13030" i="1"/>
  <c r="C13031" i="1"/>
  <c r="C13032" i="1"/>
  <c r="C13033" i="1"/>
  <c r="C13035" i="1"/>
  <c r="C13036" i="1"/>
  <c r="C13037" i="1"/>
  <c r="C13038" i="1"/>
  <c r="C13039" i="1"/>
  <c r="C13040" i="1"/>
  <c r="C13041" i="1"/>
  <c r="C13042" i="1"/>
  <c r="C13043" i="1"/>
  <c r="C13044" i="1"/>
  <c r="C13045" i="1"/>
  <c r="C13046" i="1"/>
  <c r="C13047" i="1"/>
  <c r="C13048" i="1"/>
  <c r="C13049" i="1"/>
  <c r="C13050" i="1"/>
  <c r="C13051" i="1"/>
  <c r="C13052" i="1"/>
  <c r="C13053" i="1"/>
  <c r="C13054" i="1"/>
  <c r="C13055" i="1"/>
  <c r="C13056" i="1"/>
  <c r="C13057" i="1"/>
  <c r="C13058" i="1"/>
  <c r="C13059" i="1"/>
  <c r="C13060" i="1"/>
  <c r="C13061" i="1"/>
  <c r="C13062" i="1"/>
  <c r="C13063" i="1"/>
  <c r="C13064" i="1"/>
  <c r="C13065" i="1"/>
  <c r="C13066" i="1"/>
  <c r="C13067" i="1"/>
  <c r="C13068" i="1"/>
  <c r="C13069" i="1"/>
  <c r="C13070" i="1"/>
  <c r="C13071" i="1"/>
  <c r="C13072" i="1"/>
  <c r="C13073" i="1"/>
  <c r="C13074" i="1"/>
  <c r="C13075" i="1"/>
  <c r="C13076" i="1"/>
  <c r="C13077" i="1"/>
  <c r="C13078" i="1"/>
  <c r="C13080" i="1"/>
  <c r="C13081" i="1"/>
  <c r="C13082" i="1"/>
  <c r="C13083" i="1"/>
  <c r="C13084" i="1"/>
  <c r="C13085" i="1"/>
  <c r="C13086" i="1"/>
  <c r="C13087" i="1"/>
  <c r="C13088" i="1"/>
  <c r="C13089" i="1"/>
  <c r="C13090" i="1"/>
  <c r="C13091" i="1"/>
  <c r="C13092" i="1"/>
  <c r="C13093" i="1"/>
  <c r="C13094" i="1"/>
  <c r="C13095" i="1"/>
  <c r="C13096" i="1"/>
  <c r="C13097" i="1"/>
  <c r="C13098" i="1"/>
  <c r="C13099" i="1"/>
  <c r="C13100" i="1"/>
  <c r="C13101" i="1"/>
  <c r="C13102" i="1"/>
  <c r="C13103" i="1"/>
  <c r="C13104" i="1"/>
  <c r="C13105" i="1"/>
  <c r="C13106" i="1"/>
  <c r="C13107" i="1"/>
  <c r="C13108" i="1"/>
  <c r="C13109" i="1"/>
  <c r="C13110" i="1"/>
  <c r="C13111" i="1"/>
  <c r="C13112" i="1"/>
  <c r="C13113" i="1"/>
  <c r="C13114" i="1"/>
  <c r="C13115" i="1"/>
  <c r="C13116" i="1"/>
  <c r="C13117" i="1"/>
  <c r="C13118" i="1"/>
  <c r="C13119" i="1"/>
  <c r="C13120" i="1"/>
  <c r="C13121" i="1"/>
  <c r="C13122" i="1"/>
  <c r="C13123" i="1"/>
  <c r="C13124" i="1"/>
  <c r="C13125" i="1"/>
  <c r="C13126" i="1"/>
  <c r="C13127" i="1"/>
  <c r="C13128" i="1"/>
  <c r="C13129" i="1"/>
  <c r="C13130" i="1"/>
  <c r="C13131" i="1"/>
  <c r="C13132" i="1"/>
  <c r="C13133" i="1"/>
  <c r="C13134" i="1"/>
  <c r="C13135" i="1"/>
  <c r="C13136" i="1"/>
  <c r="C13137" i="1"/>
  <c r="C13138" i="1"/>
  <c r="C13139" i="1"/>
  <c r="C13140" i="1"/>
  <c r="C13141" i="1"/>
  <c r="C13142" i="1"/>
  <c r="C13143" i="1"/>
  <c r="C13144" i="1"/>
  <c r="C13145" i="1"/>
  <c r="C13146" i="1"/>
  <c r="C13147" i="1"/>
  <c r="C13148" i="1"/>
  <c r="C13149" i="1"/>
  <c r="C13150" i="1"/>
  <c r="C13151" i="1"/>
  <c r="C13152" i="1"/>
  <c r="C13153" i="1"/>
  <c r="C13154" i="1"/>
  <c r="C13155" i="1"/>
  <c r="C13156" i="1"/>
  <c r="C13157" i="1"/>
  <c r="C13158" i="1"/>
  <c r="C13159" i="1"/>
  <c r="C13160" i="1"/>
  <c r="C13161" i="1"/>
  <c r="C13162" i="1"/>
  <c r="C13163" i="1"/>
  <c r="C13164" i="1"/>
  <c r="C13165" i="1"/>
  <c r="C13166" i="1"/>
  <c r="C13167" i="1"/>
  <c r="C13168" i="1"/>
  <c r="C13169" i="1"/>
  <c r="C13170" i="1"/>
  <c r="C13171" i="1"/>
  <c r="C13172" i="1"/>
  <c r="C13173" i="1"/>
  <c r="C13174" i="1"/>
  <c r="C13175" i="1"/>
  <c r="C13176" i="1"/>
  <c r="C13177" i="1"/>
  <c r="C13178" i="1"/>
  <c r="C13179" i="1"/>
  <c r="C13180" i="1"/>
  <c r="C13181" i="1"/>
  <c r="C13182" i="1"/>
  <c r="C13183" i="1"/>
  <c r="C13184" i="1"/>
  <c r="C13185" i="1"/>
  <c r="C13186" i="1"/>
  <c r="C13187" i="1"/>
  <c r="C13188" i="1"/>
  <c r="C13189" i="1"/>
  <c r="C13190" i="1"/>
  <c r="C13191" i="1"/>
  <c r="C13192" i="1"/>
  <c r="C13193" i="1"/>
  <c r="C13194" i="1"/>
  <c r="C13195" i="1"/>
  <c r="C13196" i="1"/>
  <c r="C13197" i="1"/>
  <c r="C13198" i="1"/>
  <c r="C13199" i="1"/>
  <c r="C13200" i="1"/>
  <c r="C13201" i="1"/>
  <c r="C13202" i="1"/>
  <c r="C13203" i="1"/>
  <c r="C13204" i="1"/>
  <c r="C13205" i="1"/>
  <c r="C13206" i="1"/>
  <c r="C13207" i="1"/>
  <c r="C13208" i="1"/>
  <c r="C13209" i="1"/>
  <c r="C13210" i="1"/>
  <c r="C13211" i="1"/>
  <c r="C13212" i="1"/>
  <c r="C13213" i="1"/>
  <c r="C13214" i="1"/>
  <c r="C13215" i="1"/>
  <c r="C13216" i="1"/>
  <c r="C13217" i="1"/>
  <c r="C13218" i="1"/>
  <c r="C13219" i="1"/>
  <c r="C13220" i="1"/>
  <c r="C13221" i="1"/>
  <c r="C13222" i="1"/>
  <c r="C13223" i="1"/>
  <c r="C13224" i="1"/>
  <c r="C13225" i="1"/>
  <c r="C13226" i="1"/>
  <c r="C13227" i="1"/>
  <c r="C13228" i="1"/>
  <c r="C13229" i="1"/>
  <c r="C13230" i="1"/>
  <c r="C13231" i="1"/>
  <c r="C13232" i="1"/>
  <c r="C13233" i="1"/>
  <c r="C13234" i="1"/>
  <c r="C13235" i="1"/>
  <c r="C13236" i="1"/>
  <c r="C13237" i="1"/>
  <c r="C13238" i="1"/>
  <c r="C13239" i="1"/>
  <c r="C13240" i="1"/>
  <c r="C13241" i="1"/>
  <c r="C13242" i="1"/>
  <c r="C13243" i="1"/>
  <c r="C13244" i="1"/>
  <c r="C13245" i="1"/>
  <c r="C13246" i="1"/>
  <c r="C13247" i="1"/>
  <c r="C13248" i="1"/>
  <c r="C13249" i="1"/>
  <c r="C13250" i="1"/>
  <c r="C13251" i="1"/>
  <c r="C13252" i="1"/>
  <c r="C13253" i="1"/>
  <c r="C13254" i="1"/>
  <c r="C13255" i="1"/>
  <c r="C13256" i="1"/>
  <c r="C13257" i="1"/>
  <c r="C13258" i="1"/>
  <c r="C13259" i="1"/>
  <c r="C13260" i="1"/>
  <c r="C13261" i="1"/>
  <c r="C13262" i="1"/>
  <c r="C13263" i="1"/>
  <c r="C13264" i="1"/>
  <c r="C13265" i="1"/>
  <c r="C13266" i="1"/>
  <c r="C13267" i="1"/>
  <c r="C13268" i="1"/>
  <c r="C13269" i="1"/>
  <c r="C13270" i="1"/>
  <c r="C13271" i="1"/>
  <c r="C13272" i="1"/>
  <c r="C13273" i="1"/>
  <c r="C13274" i="1"/>
  <c r="C13275" i="1"/>
  <c r="C13276" i="1"/>
  <c r="C13277" i="1"/>
  <c r="C13278" i="1"/>
  <c r="C13279" i="1"/>
  <c r="C13280" i="1"/>
  <c r="C13281" i="1"/>
  <c r="C13282" i="1"/>
  <c r="C13283" i="1"/>
  <c r="C13284" i="1"/>
  <c r="C13285" i="1"/>
  <c r="C13286" i="1"/>
  <c r="C13287" i="1"/>
  <c r="C13288" i="1"/>
  <c r="C13289" i="1"/>
  <c r="C13290" i="1"/>
  <c r="C13291" i="1"/>
  <c r="C13292" i="1"/>
  <c r="C13293" i="1"/>
  <c r="C13294" i="1"/>
  <c r="C13295" i="1"/>
  <c r="C13296" i="1"/>
  <c r="C13297" i="1"/>
  <c r="C13298" i="1"/>
  <c r="C13299" i="1"/>
  <c r="C13300" i="1"/>
  <c r="C13301" i="1"/>
  <c r="C13302" i="1"/>
  <c r="C13303" i="1"/>
  <c r="C13304" i="1"/>
  <c r="C13305" i="1"/>
  <c r="C13306" i="1"/>
  <c r="C13307" i="1"/>
  <c r="C13308" i="1"/>
  <c r="C13309" i="1"/>
  <c r="C13310" i="1"/>
  <c r="C13311" i="1"/>
  <c r="C13312" i="1"/>
  <c r="C13313" i="1"/>
  <c r="C13314" i="1"/>
  <c r="C13315" i="1"/>
  <c r="C13316" i="1"/>
  <c r="C13317" i="1"/>
  <c r="C13318" i="1"/>
  <c r="C13319" i="1"/>
  <c r="C13320" i="1"/>
  <c r="C13321" i="1"/>
  <c r="C13322" i="1"/>
  <c r="C13323" i="1"/>
  <c r="C13324" i="1"/>
  <c r="C13325" i="1"/>
  <c r="C13326" i="1"/>
  <c r="C13327" i="1"/>
  <c r="C13328" i="1"/>
  <c r="C13329" i="1"/>
  <c r="C13330" i="1"/>
  <c r="C13331" i="1"/>
  <c r="C13332" i="1"/>
  <c r="C13333" i="1"/>
  <c r="C13334" i="1"/>
  <c r="C13335" i="1"/>
  <c r="C13336" i="1"/>
  <c r="C13337" i="1"/>
  <c r="C13338" i="1"/>
  <c r="C13339" i="1"/>
  <c r="C13340" i="1"/>
  <c r="C13341" i="1"/>
  <c r="C13342" i="1"/>
  <c r="C13343" i="1"/>
  <c r="C13344" i="1"/>
  <c r="C13345" i="1"/>
  <c r="C13346" i="1"/>
  <c r="C13347" i="1"/>
  <c r="C13348" i="1"/>
  <c r="C13349" i="1"/>
  <c r="C13350" i="1"/>
  <c r="C13351" i="1"/>
  <c r="C13352" i="1"/>
  <c r="C13353" i="1"/>
  <c r="C13354" i="1"/>
  <c r="C13355" i="1"/>
  <c r="C13356" i="1"/>
  <c r="C13357" i="1"/>
  <c r="C13358" i="1"/>
  <c r="C13359" i="1"/>
  <c r="C13360" i="1"/>
  <c r="C13361" i="1"/>
  <c r="C13362" i="1"/>
  <c r="C13363" i="1"/>
  <c r="C13364" i="1"/>
  <c r="C13365" i="1"/>
  <c r="C13366" i="1"/>
  <c r="C13367" i="1"/>
  <c r="C13368" i="1"/>
  <c r="C13369" i="1"/>
  <c r="C13370" i="1"/>
  <c r="C13371" i="1"/>
  <c r="C13372" i="1"/>
  <c r="C13373" i="1"/>
  <c r="C13374" i="1"/>
  <c r="C13375" i="1"/>
  <c r="C13376" i="1"/>
  <c r="C13377" i="1"/>
  <c r="C13378" i="1"/>
  <c r="C13379" i="1"/>
  <c r="C13380" i="1"/>
  <c r="C13381" i="1"/>
  <c r="C13382" i="1"/>
  <c r="C13383" i="1"/>
  <c r="C13384" i="1"/>
  <c r="C13385" i="1"/>
  <c r="C13386" i="1"/>
  <c r="C13387" i="1"/>
  <c r="C13388" i="1"/>
  <c r="C13389" i="1"/>
  <c r="C13390" i="1"/>
  <c r="C13391" i="1"/>
  <c r="C13392" i="1"/>
  <c r="C13393" i="1"/>
  <c r="C13394" i="1"/>
  <c r="C13395" i="1"/>
  <c r="C13396" i="1"/>
  <c r="C13397" i="1"/>
  <c r="C13398" i="1"/>
  <c r="C13399" i="1"/>
  <c r="C13400" i="1"/>
  <c r="C13401" i="1"/>
  <c r="C13402" i="1"/>
  <c r="C13403" i="1"/>
  <c r="C13404" i="1"/>
  <c r="C13405" i="1"/>
  <c r="C13406" i="1"/>
  <c r="C13407" i="1"/>
  <c r="C13408" i="1"/>
  <c r="C13409" i="1"/>
  <c r="C13410" i="1"/>
  <c r="C13411" i="1"/>
  <c r="C13412" i="1"/>
  <c r="C13413" i="1"/>
  <c r="C13414" i="1"/>
  <c r="C13415" i="1"/>
  <c r="C13416" i="1"/>
  <c r="C13417" i="1"/>
  <c r="C13418" i="1"/>
  <c r="C13419" i="1"/>
  <c r="C13420" i="1"/>
  <c r="C13421" i="1"/>
  <c r="C13422" i="1"/>
  <c r="C13423" i="1"/>
  <c r="C13424" i="1"/>
  <c r="C13425" i="1"/>
  <c r="C13426" i="1"/>
  <c r="C13427" i="1"/>
  <c r="C13428" i="1"/>
  <c r="C13429" i="1"/>
  <c r="C13430" i="1"/>
  <c r="C13431" i="1"/>
  <c r="C13432" i="1"/>
  <c r="C13433" i="1"/>
  <c r="C13434" i="1"/>
  <c r="C13435" i="1"/>
  <c r="C13436" i="1"/>
  <c r="C13437" i="1"/>
  <c r="C13438" i="1"/>
  <c r="C13439" i="1"/>
  <c r="C13440" i="1"/>
  <c r="C13441" i="1"/>
  <c r="C13442" i="1"/>
  <c r="C13443" i="1"/>
  <c r="C13444" i="1"/>
  <c r="C13445" i="1"/>
  <c r="C13446" i="1"/>
  <c r="C13447" i="1"/>
  <c r="C13448" i="1"/>
  <c r="C13449" i="1"/>
  <c r="C13450" i="1"/>
  <c r="C13451" i="1"/>
  <c r="C13452" i="1"/>
  <c r="C13453" i="1"/>
  <c r="C13454" i="1"/>
  <c r="C13455" i="1"/>
  <c r="C13456" i="1"/>
  <c r="C13457" i="1"/>
  <c r="C13458" i="1"/>
  <c r="C13459" i="1"/>
  <c r="C13460" i="1"/>
  <c r="C13461" i="1"/>
  <c r="C13462" i="1"/>
  <c r="C13463" i="1"/>
  <c r="C13464" i="1"/>
  <c r="C13465" i="1"/>
  <c r="C13466" i="1"/>
  <c r="C13467" i="1"/>
  <c r="C13468" i="1"/>
  <c r="C13469" i="1"/>
  <c r="C13470" i="1"/>
  <c r="C13471" i="1"/>
  <c r="C13472" i="1"/>
  <c r="C13473" i="1"/>
  <c r="C13474" i="1"/>
  <c r="C13475" i="1"/>
  <c r="C13476" i="1"/>
  <c r="C13477" i="1"/>
  <c r="C13478" i="1"/>
  <c r="C13479" i="1"/>
  <c r="C13480" i="1"/>
  <c r="C13481" i="1"/>
  <c r="C13482" i="1"/>
  <c r="C13483" i="1"/>
  <c r="C13484" i="1"/>
  <c r="C13485" i="1"/>
  <c r="C13486" i="1"/>
  <c r="C13487" i="1"/>
  <c r="C13488" i="1"/>
  <c r="C13489" i="1"/>
  <c r="C13490" i="1"/>
  <c r="C13491" i="1"/>
  <c r="C13492" i="1"/>
  <c r="C13493" i="1"/>
  <c r="C13494" i="1"/>
  <c r="C13495" i="1"/>
  <c r="C13496" i="1"/>
  <c r="C13497" i="1"/>
  <c r="C13498" i="1"/>
  <c r="C13499" i="1"/>
  <c r="C13500" i="1"/>
  <c r="C13501" i="1"/>
  <c r="C13502" i="1"/>
  <c r="C13503" i="1"/>
  <c r="C13504" i="1"/>
  <c r="C13505" i="1"/>
  <c r="C13506" i="1"/>
  <c r="C13507" i="1"/>
  <c r="C13508" i="1"/>
  <c r="C13509" i="1"/>
  <c r="C13510" i="1"/>
  <c r="C13511" i="1"/>
  <c r="C13512" i="1"/>
  <c r="C13513" i="1"/>
  <c r="C13514" i="1"/>
  <c r="C13515" i="1"/>
  <c r="C13516" i="1"/>
  <c r="C13517" i="1"/>
  <c r="C13518" i="1"/>
  <c r="C13519" i="1"/>
  <c r="C13520" i="1"/>
  <c r="C13521" i="1"/>
  <c r="C13522" i="1"/>
  <c r="C13523" i="1"/>
  <c r="C13524" i="1"/>
  <c r="C13525" i="1"/>
  <c r="C13526" i="1"/>
  <c r="C13527" i="1"/>
  <c r="C13528" i="1"/>
  <c r="C13529" i="1"/>
  <c r="C13530" i="1"/>
  <c r="C13531" i="1"/>
  <c r="C13532" i="1"/>
  <c r="C13533" i="1"/>
  <c r="C13534" i="1"/>
  <c r="C13535" i="1"/>
  <c r="C13536" i="1"/>
  <c r="C13537" i="1"/>
  <c r="C13538" i="1"/>
  <c r="C13539" i="1"/>
  <c r="C13540" i="1"/>
  <c r="C13541" i="1"/>
  <c r="C13542" i="1"/>
  <c r="C13543" i="1"/>
  <c r="C13544" i="1"/>
  <c r="C13545" i="1"/>
  <c r="C13546" i="1"/>
  <c r="C13547" i="1"/>
  <c r="C13548" i="1"/>
  <c r="C13549" i="1"/>
  <c r="C13550" i="1"/>
  <c r="C13551" i="1"/>
  <c r="C13552" i="1"/>
  <c r="C13553" i="1"/>
  <c r="C13554" i="1"/>
  <c r="C13555" i="1"/>
  <c r="C13556" i="1"/>
  <c r="C13557" i="1"/>
  <c r="C13558" i="1"/>
  <c r="C13559" i="1"/>
  <c r="C13560" i="1"/>
  <c r="C13561" i="1"/>
  <c r="C13562" i="1"/>
  <c r="C13563" i="1"/>
  <c r="C13564" i="1"/>
  <c r="C13565" i="1"/>
  <c r="C13566" i="1"/>
  <c r="C13567" i="1"/>
  <c r="C13568" i="1"/>
  <c r="C13569" i="1"/>
  <c r="C13570" i="1"/>
  <c r="C13571" i="1"/>
  <c r="C13572" i="1"/>
  <c r="C13573" i="1"/>
  <c r="C13574" i="1"/>
  <c r="C13575" i="1"/>
  <c r="C13576" i="1"/>
  <c r="C13577" i="1"/>
  <c r="C13578" i="1"/>
  <c r="C13579" i="1"/>
  <c r="C13580" i="1"/>
  <c r="C13581" i="1"/>
  <c r="C13582" i="1"/>
  <c r="C13583" i="1"/>
  <c r="C13584" i="1"/>
  <c r="C13585" i="1"/>
  <c r="C13586" i="1"/>
  <c r="C13587" i="1"/>
  <c r="C13588" i="1"/>
  <c r="C13589" i="1"/>
  <c r="C13590" i="1"/>
  <c r="C13591" i="1"/>
  <c r="C13592" i="1"/>
  <c r="C13593" i="1"/>
  <c r="C13594" i="1"/>
  <c r="C13595" i="1"/>
  <c r="C13596" i="1"/>
  <c r="C13597" i="1"/>
  <c r="C13598" i="1"/>
  <c r="C13599" i="1"/>
  <c r="C13600" i="1"/>
  <c r="C13601" i="1"/>
  <c r="C13602" i="1"/>
  <c r="C13603" i="1"/>
  <c r="C13604" i="1"/>
  <c r="C13605" i="1"/>
  <c r="C13606" i="1"/>
  <c r="C13607" i="1"/>
  <c r="C13608" i="1"/>
  <c r="C13609" i="1"/>
  <c r="C13610" i="1"/>
  <c r="C13611" i="1"/>
  <c r="C13612" i="1"/>
  <c r="C13613" i="1"/>
  <c r="C13614" i="1"/>
  <c r="C13615" i="1"/>
  <c r="C13616" i="1"/>
  <c r="C13617" i="1"/>
  <c r="C13618" i="1"/>
  <c r="C13619" i="1"/>
  <c r="C13620" i="1"/>
  <c r="C13621" i="1"/>
  <c r="C13622" i="1"/>
  <c r="C13623" i="1"/>
  <c r="C13624" i="1"/>
  <c r="C13625" i="1"/>
  <c r="C13626" i="1"/>
  <c r="C13627" i="1"/>
  <c r="C13628" i="1"/>
  <c r="C13629" i="1"/>
  <c r="C13630" i="1"/>
  <c r="C13631" i="1"/>
  <c r="C13632" i="1"/>
  <c r="C13633" i="1"/>
  <c r="C13634" i="1"/>
  <c r="C13635" i="1"/>
  <c r="C13636" i="1"/>
  <c r="C13637" i="1"/>
  <c r="C13638" i="1"/>
  <c r="C13639" i="1"/>
  <c r="C13640" i="1"/>
  <c r="C13641" i="1"/>
  <c r="C13642" i="1"/>
  <c r="C13643" i="1"/>
  <c r="C13644" i="1"/>
  <c r="C13645" i="1"/>
  <c r="C13646" i="1"/>
  <c r="C13647" i="1"/>
  <c r="C13648" i="1"/>
  <c r="C13649" i="1"/>
  <c r="C13650" i="1"/>
  <c r="C13651" i="1"/>
  <c r="C13652" i="1"/>
  <c r="C13653" i="1"/>
  <c r="C13654" i="1"/>
  <c r="C13655" i="1"/>
  <c r="C13656" i="1"/>
  <c r="C13657" i="1"/>
  <c r="C13658" i="1"/>
  <c r="C13659" i="1"/>
  <c r="C13660" i="1"/>
  <c r="C13661" i="1"/>
  <c r="C13662" i="1"/>
  <c r="C13663" i="1"/>
  <c r="C13664" i="1"/>
  <c r="C13665" i="1"/>
  <c r="C13666" i="1"/>
  <c r="C13667" i="1"/>
  <c r="C13668" i="1"/>
  <c r="C13669" i="1"/>
  <c r="C13670" i="1"/>
  <c r="C13671" i="1"/>
  <c r="C13672" i="1"/>
  <c r="C13673" i="1"/>
  <c r="C13674" i="1"/>
  <c r="C13675" i="1"/>
  <c r="C13676" i="1"/>
  <c r="C13677" i="1"/>
  <c r="C13678" i="1"/>
  <c r="C13679" i="1"/>
  <c r="C13680" i="1"/>
  <c r="C13682" i="1"/>
  <c r="C13683" i="1"/>
  <c r="C13684" i="1"/>
  <c r="C13685" i="1"/>
  <c r="C13686" i="1"/>
  <c r="C13687" i="1"/>
  <c r="C13688" i="1"/>
  <c r="C13689" i="1"/>
  <c r="C13690" i="1"/>
  <c r="C13691" i="1"/>
  <c r="C13692" i="1"/>
  <c r="C13693" i="1"/>
  <c r="C13694" i="1"/>
  <c r="C13695" i="1"/>
  <c r="C13696" i="1"/>
  <c r="C13697" i="1"/>
  <c r="C13698" i="1"/>
  <c r="C13699" i="1"/>
  <c r="C13700" i="1"/>
  <c r="C13701" i="1"/>
  <c r="C13702" i="1"/>
  <c r="C13703" i="1"/>
  <c r="C13704" i="1"/>
  <c r="C13705" i="1"/>
  <c r="C13706" i="1"/>
  <c r="C13707" i="1"/>
  <c r="C13708" i="1"/>
  <c r="C13709" i="1"/>
  <c r="C13710" i="1"/>
  <c r="C13711" i="1"/>
  <c r="C13712" i="1"/>
  <c r="C13713" i="1"/>
  <c r="C13714" i="1"/>
  <c r="C13715" i="1"/>
  <c r="C13716" i="1"/>
  <c r="C13717" i="1"/>
  <c r="C13718" i="1"/>
  <c r="C13719" i="1"/>
  <c r="C13720" i="1"/>
  <c r="C13721" i="1"/>
  <c r="C13722" i="1"/>
  <c r="C13723" i="1"/>
  <c r="C13724" i="1"/>
  <c r="C13725" i="1"/>
  <c r="C13726" i="1"/>
  <c r="C13727" i="1"/>
  <c r="C13728" i="1"/>
  <c r="C13729" i="1"/>
  <c r="C13730" i="1"/>
  <c r="C13731" i="1"/>
  <c r="C13732" i="1"/>
  <c r="C13733" i="1"/>
  <c r="C13734" i="1"/>
  <c r="C13735" i="1"/>
  <c r="C13736" i="1"/>
  <c r="C13737" i="1"/>
  <c r="C13738" i="1"/>
  <c r="C13739" i="1"/>
  <c r="C13740" i="1"/>
  <c r="C13741" i="1"/>
  <c r="C13742" i="1"/>
  <c r="C13743" i="1"/>
  <c r="C13744" i="1"/>
  <c r="C13745" i="1"/>
  <c r="C13746" i="1"/>
  <c r="C13747" i="1"/>
  <c r="C13748" i="1"/>
  <c r="C13749" i="1"/>
  <c r="C13750" i="1"/>
  <c r="C13751" i="1"/>
  <c r="C13752" i="1"/>
  <c r="C13753" i="1"/>
  <c r="C13754" i="1"/>
  <c r="C13755" i="1"/>
  <c r="C13756" i="1"/>
  <c r="C13757" i="1"/>
  <c r="C13758" i="1"/>
  <c r="C13759" i="1"/>
  <c r="C13760" i="1"/>
  <c r="C13761" i="1"/>
  <c r="C13762" i="1"/>
  <c r="C13763" i="1"/>
  <c r="C13764" i="1"/>
  <c r="C13765" i="1"/>
  <c r="C13766" i="1"/>
  <c r="C13767" i="1"/>
  <c r="C13768" i="1"/>
  <c r="C13769" i="1"/>
  <c r="C13770" i="1"/>
  <c r="C13771" i="1"/>
  <c r="C13772" i="1"/>
  <c r="C13773" i="1"/>
  <c r="C13774" i="1"/>
  <c r="C13775" i="1"/>
  <c r="C13776" i="1"/>
  <c r="C13777" i="1"/>
  <c r="C13778" i="1"/>
  <c r="C13779" i="1"/>
  <c r="C13780" i="1"/>
  <c r="C13781" i="1"/>
  <c r="C13782" i="1"/>
  <c r="C13783" i="1"/>
  <c r="C13784" i="1"/>
  <c r="C13785" i="1"/>
  <c r="C13786" i="1"/>
  <c r="C13787" i="1"/>
  <c r="C13788" i="1"/>
  <c r="C13789" i="1"/>
  <c r="C13790" i="1"/>
  <c r="C13791" i="1"/>
  <c r="C13792" i="1"/>
  <c r="C13793" i="1"/>
  <c r="C13794" i="1"/>
  <c r="C13795" i="1"/>
  <c r="C13796" i="1"/>
  <c r="C13797" i="1"/>
  <c r="C13798" i="1"/>
  <c r="C13799" i="1"/>
  <c r="C13800" i="1"/>
  <c r="C13801" i="1"/>
  <c r="C13802" i="1"/>
  <c r="C13803" i="1"/>
  <c r="C13804" i="1"/>
  <c r="C13805" i="1"/>
  <c r="C13806" i="1"/>
  <c r="C13807" i="1"/>
  <c r="C13808" i="1"/>
  <c r="C13809" i="1"/>
  <c r="C13810" i="1"/>
  <c r="C13811" i="1"/>
  <c r="C13812" i="1"/>
  <c r="C13813" i="1"/>
  <c r="C13814" i="1"/>
  <c r="C13815" i="1"/>
  <c r="C13816" i="1"/>
  <c r="C13817" i="1"/>
  <c r="C13818" i="1"/>
  <c r="C13819" i="1"/>
  <c r="C13820" i="1"/>
  <c r="C13821" i="1"/>
  <c r="C13822" i="1"/>
  <c r="C13823" i="1"/>
  <c r="C13824" i="1"/>
  <c r="C13825" i="1"/>
  <c r="C13826" i="1"/>
  <c r="C13827" i="1"/>
  <c r="C13828" i="1"/>
  <c r="C13829" i="1"/>
  <c r="C13830" i="1"/>
  <c r="C13831" i="1"/>
  <c r="C13832" i="1"/>
  <c r="C13833" i="1"/>
  <c r="C13834" i="1"/>
  <c r="C13835" i="1"/>
  <c r="C13836" i="1"/>
  <c r="C13837" i="1"/>
  <c r="C13838" i="1"/>
  <c r="C13839" i="1"/>
  <c r="C13840" i="1"/>
  <c r="C13841" i="1"/>
  <c r="C13842" i="1"/>
  <c r="C13843" i="1"/>
  <c r="C13844" i="1"/>
  <c r="C13845" i="1"/>
  <c r="C13846" i="1"/>
  <c r="C13847" i="1"/>
  <c r="C13848" i="1"/>
  <c r="C13849" i="1"/>
  <c r="C13850" i="1"/>
  <c r="C13851" i="1"/>
  <c r="C13852" i="1"/>
  <c r="C13853" i="1"/>
  <c r="C13854" i="1"/>
  <c r="C13855" i="1"/>
  <c r="C13856" i="1"/>
  <c r="C13857" i="1"/>
  <c r="C13858" i="1"/>
  <c r="C13859" i="1"/>
  <c r="C13860" i="1"/>
  <c r="C13861" i="1"/>
  <c r="C13862" i="1"/>
  <c r="C13863" i="1"/>
  <c r="C13864" i="1"/>
  <c r="C13865" i="1"/>
  <c r="C13866" i="1"/>
  <c r="C13867" i="1"/>
  <c r="C13868" i="1"/>
  <c r="C13869" i="1"/>
  <c r="C13870" i="1"/>
  <c r="C13871" i="1"/>
  <c r="C13872" i="1"/>
  <c r="C13873" i="1"/>
  <c r="C13874" i="1"/>
  <c r="C13875" i="1"/>
  <c r="C13876" i="1"/>
  <c r="C13877" i="1"/>
  <c r="C13878" i="1"/>
  <c r="C13879" i="1"/>
  <c r="C13880" i="1"/>
  <c r="C13881" i="1"/>
  <c r="C13882" i="1"/>
  <c r="C13883" i="1"/>
  <c r="C13884" i="1"/>
  <c r="C13885" i="1"/>
  <c r="C13886" i="1"/>
  <c r="C13887" i="1"/>
  <c r="C13888" i="1"/>
  <c r="C13889" i="1"/>
  <c r="C13890" i="1"/>
  <c r="C13891" i="1"/>
  <c r="C13892" i="1"/>
  <c r="C13893" i="1"/>
  <c r="C13894" i="1"/>
  <c r="C13895" i="1"/>
  <c r="C13896" i="1"/>
  <c r="C13897" i="1"/>
  <c r="C13898" i="1"/>
  <c r="C13899" i="1"/>
  <c r="C13900" i="1"/>
  <c r="C13901" i="1"/>
  <c r="C13902" i="1"/>
  <c r="C13903" i="1"/>
  <c r="C13904" i="1"/>
  <c r="C13905" i="1"/>
  <c r="C13906" i="1"/>
  <c r="C13907" i="1"/>
  <c r="C13908" i="1"/>
  <c r="C13909" i="1"/>
  <c r="C13910" i="1"/>
  <c r="C13911" i="1"/>
  <c r="C13912" i="1"/>
  <c r="C13913" i="1"/>
  <c r="C13914" i="1"/>
  <c r="C13915" i="1"/>
  <c r="C13916" i="1"/>
  <c r="C13917" i="1"/>
  <c r="C13918" i="1"/>
  <c r="C13919" i="1"/>
  <c r="C13920" i="1"/>
  <c r="C13921" i="1"/>
  <c r="C13922" i="1"/>
  <c r="C13923" i="1"/>
  <c r="C13924" i="1"/>
  <c r="C13925" i="1"/>
  <c r="C13926" i="1"/>
  <c r="C13927" i="1"/>
  <c r="C13928" i="1"/>
  <c r="C13929" i="1"/>
  <c r="C13930" i="1"/>
  <c r="C13931" i="1"/>
  <c r="C13932" i="1"/>
  <c r="C13933" i="1"/>
  <c r="C13934" i="1"/>
  <c r="C13935" i="1"/>
  <c r="C13936" i="1"/>
  <c r="C13937" i="1"/>
  <c r="C13938" i="1"/>
  <c r="C13939" i="1"/>
  <c r="C13940" i="1"/>
  <c r="C13941" i="1"/>
  <c r="C13942" i="1"/>
  <c r="C13943" i="1"/>
  <c r="C13944" i="1"/>
  <c r="C13945" i="1"/>
  <c r="C13946" i="1"/>
  <c r="C13947" i="1"/>
  <c r="C13948" i="1"/>
  <c r="C13949" i="1"/>
  <c r="C13950" i="1"/>
  <c r="C13951" i="1"/>
  <c r="C13953" i="1"/>
  <c r="C13954" i="1"/>
  <c r="C13955" i="1"/>
  <c r="C13956" i="1"/>
  <c r="C13957" i="1"/>
  <c r="C13958" i="1"/>
  <c r="C13959" i="1"/>
  <c r="C13960" i="1"/>
  <c r="C13961" i="1"/>
  <c r="C13962" i="1"/>
  <c r="C13963" i="1"/>
  <c r="C13964" i="1"/>
  <c r="C13965" i="1"/>
  <c r="C13966" i="1"/>
  <c r="C13967" i="1"/>
  <c r="C13968" i="1"/>
  <c r="C13969" i="1"/>
  <c r="C13970" i="1"/>
  <c r="C13971" i="1"/>
  <c r="C13972" i="1"/>
  <c r="C13973" i="1"/>
  <c r="C13974" i="1"/>
  <c r="C13975" i="1"/>
  <c r="C13976" i="1"/>
  <c r="C13977" i="1"/>
  <c r="C13978" i="1"/>
  <c r="C13979" i="1"/>
  <c r="C13980" i="1"/>
  <c r="C13981" i="1"/>
  <c r="C13982" i="1"/>
  <c r="C13983" i="1"/>
  <c r="C13984" i="1"/>
  <c r="C13985" i="1"/>
  <c r="C13986" i="1"/>
  <c r="C13987" i="1"/>
  <c r="C13988" i="1"/>
  <c r="C13989" i="1"/>
  <c r="C13990" i="1"/>
  <c r="C13991" i="1"/>
  <c r="C13992" i="1"/>
  <c r="C13993" i="1"/>
  <c r="C13994" i="1"/>
  <c r="C13995" i="1"/>
  <c r="C13996" i="1"/>
  <c r="C13997" i="1"/>
  <c r="C13998" i="1"/>
  <c r="C13999" i="1"/>
  <c r="C14000" i="1"/>
  <c r="C14001" i="1"/>
  <c r="C14002" i="1"/>
  <c r="C14003" i="1"/>
  <c r="C14004" i="1"/>
  <c r="C14005" i="1"/>
  <c r="C14006" i="1"/>
  <c r="C14007" i="1"/>
  <c r="C14008" i="1"/>
  <c r="C14009" i="1"/>
  <c r="C14010" i="1"/>
  <c r="C14011" i="1"/>
  <c r="C14012" i="1"/>
  <c r="C14013" i="1"/>
  <c r="C14014" i="1"/>
  <c r="C14015" i="1"/>
  <c r="C14016" i="1"/>
  <c r="C14017" i="1"/>
  <c r="C14018" i="1"/>
  <c r="C14019" i="1"/>
  <c r="C14020" i="1"/>
  <c r="C14021" i="1"/>
  <c r="C14022" i="1"/>
  <c r="C14023" i="1"/>
  <c r="C14024" i="1"/>
  <c r="C14025" i="1"/>
  <c r="C14026" i="1"/>
  <c r="C14027" i="1"/>
  <c r="C14028" i="1"/>
  <c r="C14029" i="1"/>
  <c r="C14030" i="1"/>
  <c r="C14031" i="1"/>
  <c r="C14032" i="1"/>
  <c r="C14033" i="1"/>
  <c r="C14034" i="1"/>
  <c r="C14035" i="1"/>
  <c r="C14036" i="1"/>
  <c r="C14037" i="1"/>
  <c r="C14038" i="1"/>
  <c r="C14039" i="1"/>
  <c r="C14040" i="1"/>
  <c r="C14041" i="1"/>
  <c r="C14042" i="1"/>
  <c r="C14043" i="1"/>
  <c r="C14044" i="1"/>
  <c r="C14045" i="1"/>
  <c r="C14046" i="1"/>
  <c r="C14047" i="1"/>
  <c r="C14048" i="1"/>
  <c r="C14049" i="1"/>
  <c r="C14050" i="1"/>
  <c r="C14051" i="1"/>
  <c r="C14052" i="1"/>
  <c r="C14053" i="1"/>
  <c r="C14054" i="1"/>
  <c r="C14055" i="1"/>
  <c r="C14056" i="1"/>
  <c r="C14057" i="1"/>
  <c r="C14058" i="1"/>
  <c r="C14059" i="1"/>
  <c r="C14060" i="1"/>
  <c r="C14061" i="1"/>
  <c r="C14062" i="1"/>
  <c r="C14063" i="1"/>
  <c r="C14064" i="1"/>
  <c r="C14065" i="1"/>
  <c r="C14066" i="1"/>
  <c r="C14067" i="1"/>
  <c r="C14068" i="1"/>
  <c r="C14069" i="1"/>
  <c r="C14070" i="1"/>
  <c r="C14071" i="1"/>
  <c r="C14072" i="1"/>
  <c r="C14073" i="1"/>
  <c r="C14074" i="1"/>
  <c r="C14075" i="1"/>
  <c r="C14076" i="1"/>
  <c r="C14077" i="1"/>
  <c r="C14078" i="1"/>
  <c r="C14079" i="1"/>
  <c r="C14080" i="1"/>
  <c r="C14081" i="1"/>
  <c r="C14082" i="1"/>
  <c r="C14083" i="1"/>
  <c r="C14084" i="1"/>
  <c r="C14085" i="1"/>
  <c r="C14086" i="1"/>
  <c r="C14087" i="1"/>
  <c r="C14088" i="1"/>
  <c r="C14089" i="1"/>
  <c r="C14090" i="1"/>
  <c r="C14091" i="1"/>
  <c r="C14092" i="1"/>
  <c r="C14093" i="1"/>
  <c r="C14094" i="1"/>
  <c r="C14095" i="1"/>
  <c r="C14096" i="1"/>
  <c r="C14097" i="1"/>
  <c r="C14098" i="1"/>
  <c r="C14099" i="1"/>
  <c r="C14100" i="1"/>
  <c r="C14101" i="1"/>
  <c r="C14102" i="1"/>
  <c r="C14103" i="1"/>
  <c r="C14104" i="1"/>
  <c r="C14105" i="1"/>
  <c r="C14106" i="1"/>
  <c r="C14107" i="1"/>
  <c r="C14108" i="1"/>
  <c r="C14109" i="1"/>
  <c r="C14110" i="1"/>
  <c r="C14111" i="1"/>
  <c r="C14112" i="1"/>
  <c r="C14113" i="1"/>
  <c r="C14114" i="1"/>
  <c r="C14115" i="1"/>
  <c r="C14116" i="1"/>
  <c r="C14117" i="1"/>
  <c r="C14118" i="1"/>
  <c r="C14119" i="1"/>
  <c r="C14120" i="1"/>
  <c r="C14121" i="1"/>
  <c r="C14122" i="1"/>
  <c r="C14123" i="1"/>
  <c r="C14124" i="1"/>
  <c r="C14125" i="1"/>
  <c r="C14126" i="1"/>
  <c r="C14127" i="1"/>
  <c r="C14128" i="1"/>
  <c r="C14129" i="1"/>
  <c r="C14130" i="1"/>
  <c r="C14131" i="1"/>
  <c r="C14132" i="1"/>
  <c r="C14133" i="1"/>
  <c r="C14134" i="1"/>
  <c r="C14135" i="1"/>
  <c r="C14136" i="1"/>
  <c r="C14137" i="1"/>
  <c r="C14138" i="1"/>
  <c r="C14139" i="1"/>
  <c r="C14140" i="1"/>
  <c r="C14141" i="1"/>
  <c r="C14142" i="1"/>
  <c r="C14143" i="1"/>
  <c r="C14144" i="1"/>
  <c r="C14145" i="1"/>
  <c r="C14146" i="1"/>
  <c r="C14147" i="1"/>
  <c r="C14148" i="1"/>
  <c r="C14149" i="1"/>
  <c r="C14150" i="1"/>
  <c r="C14151" i="1"/>
  <c r="C14152" i="1"/>
  <c r="C14153" i="1"/>
  <c r="C14154" i="1"/>
  <c r="C14155" i="1"/>
  <c r="C14156" i="1"/>
  <c r="C14157" i="1"/>
  <c r="C14158" i="1"/>
  <c r="C14159" i="1"/>
  <c r="C14160" i="1"/>
  <c r="C14161" i="1"/>
  <c r="C14162" i="1"/>
  <c r="C14163" i="1"/>
  <c r="C14164" i="1"/>
  <c r="C14165" i="1"/>
  <c r="C14166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4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3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2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49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H1270" i="1"/>
  <c r="H1271" i="1"/>
  <c r="H1272" i="1"/>
  <c r="H1273" i="1"/>
  <c r="H1274" i="1"/>
  <c r="C1274" i="1" s="1"/>
  <c r="H1275" i="1"/>
  <c r="H1276" i="1"/>
  <c r="H1277" i="1"/>
  <c r="H1278" i="1"/>
  <c r="H1279" i="1"/>
  <c r="H1280" i="1"/>
  <c r="H1281" i="1"/>
  <c r="H1282" i="1"/>
  <c r="C1282" i="1" s="1"/>
  <c r="H1283" i="1"/>
  <c r="H1284" i="1"/>
  <c r="H1285" i="1"/>
  <c r="H1286" i="1"/>
  <c r="H1287" i="1"/>
  <c r="H1288" i="1"/>
  <c r="H1289" i="1"/>
  <c r="H1290" i="1"/>
  <c r="C1290" i="1" s="1"/>
  <c r="H1291" i="1"/>
  <c r="H1292" i="1"/>
  <c r="H1293" i="1"/>
  <c r="H1294" i="1"/>
  <c r="H1295" i="1"/>
  <c r="H1296" i="1"/>
  <c r="H1297" i="1"/>
  <c r="H1298" i="1"/>
  <c r="C1298" i="1" s="1"/>
  <c r="H1299" i="1"/>
  <c r="H1300" i="1"/>
  <c r="H1301" i="1"/>
  <c r="H1302" i="1"/>
  <c r="H1303" i="1"/>
  <c r="H1304" i="1"/>
  <c r="H1305" i="1"/>
  <c r="H1306" i="1"/>
  <c r="C1306" i="1" s="1"/>
  <c r="H1307" i="1"/>
  <c r="H1308" i="1"/>
  <c r="H1309" i="1"/>
  <c r="H1310" i="1"/>
  <c r="H1311" i="1"/>
  <c r="H1312" i="1"/>
  <c r="H1313" i="1"/>
  <c r="H1314" i="1"/>
  <c r="C1314" i="1" s="1"/>
  <c r="H1315" i="1"/>
  <c r="H1316" i="1"/>
  <c r="H1317" i="1"/>
  <c r="H1318" i="1"/>
  <c r="H1319" i="1"/>
  <c r="H1320" i="1"/>
  <c r="H1321" i="1"/>
  <c r="H1322" i="1"/>
  <c r="C1322" i="1" s="1"/>
  <c r="H1323" i="1"/>
  <c r="H1324" i="1"/>
  <c r="H1325" i="1"/>
  <c r="H1326" i="1"/>
  <c r="H1327" i="1"/>
  <c r="H1328" i="1"/>
  <c r="H1329" i="1"/>
  <c r="H1330" i="1"/>
  <c r="C1330" i="1" s="1"/>
  <c r="H1331" i="1"/>
  <c r="H1332" i="1"/>
  <c r="H1333" i="1"/>
  <c r="H1334" i="1"/>
  <c r="H1335" i="1"/>
  <c r="H1336" i="1"/>
  <c r="H1337" i="1"/>
  <c r="H1338" i="1"/>
  <c r="C1338" i="1" s="1"/>
  <c r="H1339" i="1"/>
  <c r="H1340" i="1"/>
  <c r="H1341" i="1"/>
  <c r="H1342" i="1"/>
  <c r="H1343" i="1"/>
  <c r="H1344" i="1"/>
  <c r="H1345" i="1"/>
  <c r="H1346" i="1"/>
  <c r="C1346" i="1" s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C6689" i="1" s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C6720" i="1" s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C8765" i="1" s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C8806" i="1" s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C9761" i="1" s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C10567" i="1" s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C10749" i="1" s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H11635" i="1"/>
  <c r="H11636" i="1"/>
  <c r="H11637" i="1"/>
  <c r="H11638" i="1"/>
  <c r="H11639" i="1"/>
  <c r="H11640" i="1"/>
  <c r="H11641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C12026" i="1" s="1"/>
  <c r="H12027" i="1"/>
  <c r="H12028" i="1"/>
  <c r="H12029" i="1"/>
  <c r="H12030" i="1"/>
  <c r="H12031" i="1"/>
  <c r="H12032" i="1"/>
  <c r="H12033" i="1"/>
  <c r="H12034" i="1"/>
  <c r="H12035" i="1"/>
  <c r="H12036" i="1"/>
  <c r="C12036" i="1" s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C12652" i="1" s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C12892" i="1" s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C12985" i="1" s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C13034" i="1" s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C13079" i="1" s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C13681" i="1" s="1"/>
  <c r="H13682" i="1"/>
  <c r="H13683" i="1"/>
  <c r="H13684" i="1"/>
  <c r="H13685" i="1"/>
  <c r="H13686" i="1"/>
  <c r="H13687" i="1"/>
  <c r="H13688" i="1"/>
  <c r="H13689" i="1"/>
  <c r="H13690" i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H13919" i="1"/>
  <c r="H13920" i="1"/>
  <c r="H13921" i="1"/>
  <c r="H13922" i="1"/>
  <c r="H13923" i="1"/>
  <c r="H13924" i="1"/>
  <c r="H13925" i="1"/>
  <c r="H13926" i="1"/>
  <c r="H13927" i="1"/>
  <c r="H13928" i="1"/>
  <c r="H13929" i="1"/>
  <c r="H13930" i="1"/>
  <c r="H13931" i="1"/>
  <c r="H13932" i="1"/>
  <c r="H13933" i="1"/>
  <c r="H13934" i="1"/>
  <c r="H13935" i="1"/>
  <c r="H13936" i="1"/>
  <c r="H13937" i="1"/>
  <c r="H13938" i="1"/>
  <c r="H13939" i="1"/>
  <c r="H13940" i="1"/>
  <c r="H13941" i="1"/>
  <c r="H13942" i="1"/>
  <c r="H13943" i="1"/>
  <c r="H13944" i="1"/>
  <c r="H13945" i="1"/>
  <c r="H13946" i="1"/>
  <c r="H13947" i="1"/>
  <c r="H13948" i="1"/>
  <c r="H13949" i="1"/>
  <c r="H13950" i="1"/>
  <c r="H13951" i="1"/>
  <c r="H13952" i="1"/>
  <c r="C13952" i="1" s="1"/>
  <c r="H13953" i="1"/>
  <c r="H13954" i="1"/>
  <c r="H13955" i="1"/>
  <c r="H13956" i="1"/>
  <c r="H13957" i="1"/>
  <c r="H13958" i="1"/>
  <c r="H13959" i="1"/>
  <c r="H13960" i="1"/>
  <c r="H13961" i="1"/>
  <c r="H13962" i="1"/>
  <c r="H13963" i="1"/>
  <c r="H13964" i="1"/>
  <c r="H13965" i="1"/>
  <c r="H13966" i="1"/>
  <c r="H13967" i="1"/>
  <c r="H13968" i="1"/>
  <c r="H13969" i="1"/>
  <c r="H13970" i="1"/>
  <c r="H13971" i="1"/>
  <c r="H13972" i="1"/>
  <c r="H13973" i="1"/>
  <c r="H13974" i="1"/>
  <c r="H13975" i="1"/>
  <c r="H13976" i="1"/>
  <c r="H13977" i="1"/>
  <c r="H13978" i="1"/>
  <c r="H13979" i="1"/>
  <c r="H13980" i="1"/>
  <c r="H13981" i="1"/>
  <c r="H13982" i="1"/>
  <c r="H13983" i="1"/>
  <c r="H13984" i="1"/>
  <c r="H13985" i="1"/>
  <c r="H13986" i="1"/>
  <c r="H13987" i="1"/>
  <c r="H13988" i="1"/>
  <c r="H13989" i="1"/>
  <c r="H13990" i="1"/>
  <c r="H13991" i="1"/>
  <c r="H13992" i="1"/>
  <c r="H13993" i="1"/>
  <c r="H13994" i="1"/>
  <c r="H13995" i="1"/>
  <c r="H13996" i="1"/>
  <c r="H13997" i="1"/>
  <c r="H13998" i="1"/>
  <c r="H13999" i="1"/>
  <c r="H14000" i="1"/>
  <c r="H14001" i="1"/>
  <c r="H14002" i="1"/>
  <c r="H14003" i="1"/>
  <c r="H14004" i="1"/>
  <c r="H14005" i="1"/>
  <c r="H14006" i="1"/>
  <c r="H14007" i="1"/>
  <c r="H14008" i="1"/>
  <c r="H14009" i="1"/>
  <c r="H14010" i="1"/>
  <c r="H14011" i="1"/>
  <c r="H14012" i="1"/>
  <c r="H14013" i="1"/>
  <c r="H14014" i="1"/>
  <c r="H14015" i="1"/>
  <c r="H14016" i="1"/>
  <c r="H14017" i="1"/>
  <c r="H14018" i="1"/>
  <c r="H14019" i="1"/>
  <c r="H14020" i="1"/>
  <c r="H14021" i="1"/>
  <c r="H14022" i="1"/>
  <c r="H14023" i="1"/>
  <c r="H14024" i="1"/>
  <c r="H14025" i="1"/>
  <c r="H14026" i="1"/>
  <c r="H14027" i="1"/>
  <c r="H14028" i="1"/>
  <c r="H14029" i="1"/>
  <c r="H14030" i="1"/>
  <c r="H14031" i="1"/>
  <c r="H14032" i="1"/>
  <c r="H14033" i="1"/>
  <c r="H14034" i="1"/>
  <c r="H14035" i="1"/>
  <c r="H14036" i="1"/>
  <c r="H14037" i="1"/>
  <c r="H14038" i="1"/>
  <c r="H14039" i="1"/>
  <c r="H14040" i="1"/>
  <c r="H14041" i="1"/>
  <c r="H14042" i="1"/>
  <c r="H14043" i="1"/>
  <c r="H14044" i="1"/>
  <c r="H14045" i="1"/>
  <c r="H14046" i="1"/>
  <c r="H14047" i="1"/>
  <c r="H14048" i="1"/>
  <c r="H14049" i="1"/>
  <c r="H14050" i="1"/>
  <c r="H14051" i="1"/>
  <c r="H14052" i="1"/>
  <c r="H14053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078" i="1"/>
  <c r="H14079" i="1"/>
  <c r="H14080" i="1"/>
  <c r="H14081" i="1"/>
  <c r="H14082" i="1"/>
  <c r="H14083" i="1"/>
  <c r="H14084" i="1"/>
  <c r="H14085" i="1"/>
  <c r="H14086" i="1"/>
  <c r="H14087" i="1"/>
  <c r="H14088" i="1"/>
  <c r="H14089" i="1"/>
  <c r="H14090" i="1"/>
  <c r="H14091" i="1"/>
  <c r="H14092" i="1"/>
  <c r="H14093" i="1"/>
  <c r="H14094" i="1"/>
  <c r="H14095" i="1"/>
  <c r="H14096" i="1"/>
  <c r="H14097" i="1"/>
  <c r="H14098" i="1"/>
  <c r="H14099" i="1"/>
  <c r="H14100" i="1"/>
  <c r="H14101" i="1"/>
  <c r="H14102" i="1"/>
  <c r="H14103" i="1"/>
  <c r="H14104" i="1"/>
  <c r="H14105" i="1"/>
  <c r="H14106" i="1"/>
  <c r="H14107" i="1"/>
  <c r="H14108" i="1"/>
  <c r="H14109" i="1"/>
  <c r="H14110" i="1"/>
  <c r="H14111" i="1"/>
  <c r="H14112" i="1"/>
  <c r="H14113" i="1"/>
  <c r="H14114" i="1"/>
  <c r="H14115" i="1"/>
  <c r="H14116" i="1"/>
  <c r="H14117" i="1"/>
  <c r="H14118" i="1"/>
  <c r="H14119" i="1"/>
  <c r="H14120" i="1"/>
  <c r="H14121" i="1"/>
  <c r="H14122" i="1"/>
  <c r="H14123" i="1"/>
  <c r="H14124" i="1"/>
  <c r="H14125" i="1"/>
  <c r="H14126" i="1"/>
  <c r="H14127" i="1"/>
  <c r="H14128" i="1"/>
  <c r="H14129" i="1"/>
  <c r="H14130" i="1"/>
  <c r="H14131" i="1"/>
  <c r="H14132" i="1"/>
  <c r="H14133" i="1"/>
  <c r="H14134" i="1"/>
  <c r="H14135" i="1"/>
  <c r="H14136" i="1"/>
  <c r="H14137" i="1"/>
  <c r="H14138" i="1"/>
  <c r="H14139" i="1"/>
  <c r="H14140" i="1"/>
  <c r="H14141" i="1"/>
  <c r="H14142" i="1"/>
  <c r="H14143" i="1"/>
  <c r="H14144" i="1"/>
  <c r="H14145" i="1"/>
  <c r="H14146" i="1"/>
  <c r="H14147" i="1"/>
  <c r="H14148" i="1"/>
  <c r="H14149" i="1"/>
  <c r="H14150" i="1"/>
  <c r="H14151" i="1"/>
  <c r="H14152" i="1"/>
  <c r="H14153" i="1"/>
  <c r="H14154" i="1"/>
  <c r="H14155" i="1"/>
  <c r="H14156" i="1"/>
  <c r="H14157" i="1"/>
  <c r="H14158" i="1"/>
  <c r="H14159" i="1"/>
  <c r="H14160" i="1"/>
  <c r="H14161" i="1"/>
  <c r="H14162" i="1"/>
  <c r="H14163" i="1"/>
  <c r="H14164" i="1"/>
  <c r="H14165" i="1"/>
  <c r="H14166" i="1"/>
  <c r="C1349" i="1"/>
  <c r="H2" i="1"/>
  <c r="C2" i="1" s="1"/>
  <c r="C5089" i="1"/>
  <c r="C5088" i="1"/>
  <c r="C5087" i="1"/>
  <c r="C5086" i="1"/>
  <c r="C5085" i="1"/>
  <c r="C5084" i="1"/>
  <c r="C5083" i="1"/>
  <c r="C5082" i="1"/>
  <c r="C5081" i="1"/>
  <c r="C5080" i="1"/>
  <c r="C5079" i="1"/>
  <c r="C5078" i="1"/>
  <c r="C5077" i="1"/>
  <c r="C5076" i="1"/>
  <c r="C5075" i="1"/>
  <c r="C5074" i="1"/>
  <c r="C5073" i="1"/>
  <c r="C5072" i="1"/>
  <c r="C5071" i="1"/>
  <c r="C5070" i="1"/>
  <c r="C5069" i="1"/>
  <c r="C5068" i="1"/>
  <c r="C5067" i="1"/>
  <c r="C5066" i="1"/>
  <c r="C5065" i="1"/>
  <c r="C5064" i="1"/>
  <c r="C5063" i="1"/>
  <c r="C5062" i="1"/>
  <c r="C5061" i="1"/>
  <c r="C5060" i="1"/>
  <c r="C5059" i="1"/>
  <c r="C5058" i="1"/>
  <c r="C5057" i="1"/>
  <c r="C5056" i="1"/>
  <c r="C5055" i="1"/>
  <c r="C5054" i="1"/>
  <c r="C5053" i="1"/>
  <c r="C5052" i="1"/>
  <c r="C5051" i="1"/>
  <c r="C5050" i="1"/>
  <c r="C5049" i="1"/>
  <c r="C5048" i="1"/>
  <c r="C5047" i="1"/>
  <c r="C5046" i="1"/>
  <c r="C5045" i="1"/>
  <c r="C5044" i="1"/>
  <c r="C5043" i="1"/>
  <c r="C5042" i="1"/>
  <c r="C5041" i="1"/>
  <c r="C5040" i="1"/>
  <c r="C5039" i="1"/>
  <c r="C5038" i="1"/>
  <c r="C5037" i="1"/>
  <c r="C5036" i="1"/>
  <c r="C5035" i="1"/>
  <c r="C5034" i="1"/>
  <c r="C5033" i="1"/>
  <c r="C5032" i="1"/>
  <c r="C5031" i="1"/>
  <c r="C5030" i="1"/>
  <c r="C5029" i="1"/>
  <c r="C5028" i="1"/>
  <c r="C5027" i="1"/>
  <c r="C5026" i="1"/>
  <c r="C5025" i="1"/>
  <c r="C5024" i="1"/>
  <c r="C5023" i="1"/>
  <c r="C5022" i="1"/>
  <c r="C5021" i="1"/>
  <c r="C5020" i="1"/>
  <c r="C5019" i="1"/>
  <c r="C5018" i="1"/>
  <c r="C5017" i="1"/>
  <c r="C5016" i="1"/>
  <c r="C5015" i="1"/>
  <c r="C5014" i="1"/>
  <c r="C5013" i="1"/>
  <c r="C5012" i="1"/>
  <c r="C5011" i="1"/>
  <c r="C5010" i="1"/>
  <c r="C5009" i="1"/>
  <c r="C5008" i="1"/>
  <c r="C5007" i="1"/>
  <c r="C5006" i="1"/>
  <c r="C5005" i="1"/>
  <c r="C5004" i="1"/>
  <c r="C5003" i="1"/>
  <c r="C5002" i="1"/>
  <c r="C5001" i="1"/>
  <c r="C5000" i="1"/>
  <c r="C4999" i="1"/>
  <c r="C4998" i="1"/>
  <c r="C4997" i="1"/>
  <c r="C4996" i="1"/>
  <c r="C4995" i="1"/>
  <c r="C4994" i="1"/>
  <c r="C4993" i="1"/>
  <c r="C4992" i="1"/>
  <c r="C4991" i="1"/>
  <c r="C4990" i="1"/>
  <c r="C4989" i="1"/>
  <c r="C4988" i="1"/>
  <c r="C4987" i="1"/>
  <c r="C4986" i="1"/>
  <c r="C4985" i="1"/>
  <c r="C4984" i="1"/>
  <c r="C4983" i="1"/>
  <c r="C4982" i="1"/>
  <c r="C4981" i="1"/>
  <c r="C4980" i="1"/>
  <c r="C4979" i="1"/>
  <c r="C4978" i="1"/>
  <c r="C4977" i="1"/>
  <c r="C4976" i="1"/>
  <c r="C4975" i="1"/>
  <c r="C4974" i="1"/>
  <c r="C4973" i="1"/>
  <c r="C4972" i="1"/>
  <c r="C4971" i="1"/>
  <c r="C4970" i="1"/>
  <c r="C4969" i="1"/>
  <c r="C4968" i="1"/>
  <c r="C4967" i="1"/>
  <c r="C4966" i="1"/>
  <c r="C4965" i="1"/>
  <c r="C4964" i="1"/>
  <c r="C4963" i="1"/>
  <c r="C4962" i="1"/>
  <c r="C4961" i="1"/>
  <c r="C4960" i="1"/>
  <c r="C4959" i="1"/>
  <c r="C4958" i="1"/>
  <c r="C4957" i="1"/>
  <c r="C4956" i="1"/>
  <c r="C4955" i="1"/>
  <c r="C4954" i="1"/>
  <c r="C4953" i="1"/>
  <c r="C4952" i="1"/>
  <c r="C4951" i="1"/>
  <c r="C4950" i="1"/>
  <c r="C4949" i="1"/>
  <c r="C4948" i="1"/>
  <c r="C4947" i="1"/>
  <c r="C4946" i="1"/>
  <c r="C4945" i="1"/>
  <c r="C4944" i="1"/>
  <c r="C4943" i="1"/>
  <c r="C4942" i="1"/>
  <c r="C4941" i="1"/>
  <c r="C4940" i="1"/>
  <c r="C4939" i="1"/>
  <c r="C4938" i="1"/>
  <c r="C4937" i="1"/>
  <c r="C4936" i="1"/>
  <c r="C4935" i="1"/>
  <c r="C4934" i="1"/>
  <c r="C4933" i="1"/>
  <c r="C4932" i="1"/>
  <c r="C4931" i="1"/>
  <c r="C4930" i="1"/>
  <c r="C4929" i="1"/>
  <c r="C4928" i="1"/>
  <c r="C4927" i="1"/>
  <c r="C4926" i="1"/>
  <c r="C4925" i="1"/>
  <c r="C4924" i="1"/>
  <c r="C4923" i="1"/>
  <c r="C4922" i="1"/>
  <c r="C4921" i="1"/>
  <c r="C4920" i="1"/>
  <c r="C4919" i="1"/>
  <c r="C4918" i="1"/>
  <c r="C4917" i="1"/>
  <c r="C4916" i="1"/>
  <c r="C4915" i="1"/>
  <c r="C4914" i="1"/>
  <c r="C4913" i="1"/>
  <c r="C4912" i="1"/>
  <c r="C4911" i="1"/>
  <c r="C4910" i="1"/>
  <c r="C4909" i="1"/>
  <c r="C4908" i="1"/>
  <c r="C4907" i="1"/>
  <c r="C4906" i="1"/>
  <c r="C4905" i="1"/>
  <c r="C4904" i="1"/>
  <c r="C4903" i="1"/>
  <c r="C4902" i="1"/>
  <c r="C4901" i="1"/>
  <c r="C4900" i="1"/>
  <c r="C4899" i="1"/>
  <c r="C4898" i="1"/>
  <c r="C4897" i="1"/>
  <c r="C4896" i="1"/>
  <c r="C4895" i="1"/>
  <c r="C4894" i="1"/>
  <c r="C4893" i="1"/>
  <c r="C4892" i="1"/>
  <c r="C4891" i="1"/>
  <c r="C4890" i="1"/>
  <c r="C4889" i="1"/>
  <c r="C4888" i="1"/>
  <c r="C4887" i="1"/>
  <c r="C4886" i="1"/>
  <c r="C4885" i="1"/>
  <c r="C4884" i="1"/>
  <c r="C4883" i="1"/>
  <c r="C4882" i="1"/>
  <c r="C4881" i="1"/>
  <c r="C4880" i="1"/>
  <c r="C4879" i="1"/>
  <c r="C4878" i="1"/>
  <c r="C4877" i="1"/>
  <c r="C4876" i="1"/>
  <c r="C4875" i="1"/>
  <c r="C4874" i="1"/>
  <c r="C4873" i="1"/>
  <c r="C4872" i="1"/>
  <c r="C4871" i="1"/>
  <c r="C4870" i="1"/>
  <c r="C4869" i="1"/>
  <c r="C4868" i="1"/>
  <c r="C4867" i="1"/>
  <c r="C4866" i="1"/>
  <c r="C4865" i="1"/>
  <c r="C4864" i="1"/>
  <c r="C4863" i="1"/>
  <c r="C4862" i="1"/>
  <c r="C4861" i="1"/>
  <c r="C4860" i="1"/>
  <c r="C4859" i="1"/>
  <c r="C4858" i="1"/>
  <c r="C4857" i="1"/>
  <c r="C4856" i="1"/>
  <c r="C4855" i="1"/>
  <c r="C4854" i="1"/>
  <c r="C4853" i="1"/>
  <c r="C4852" i="1"/>
  <c r="C4851" i="1"/>
  <c r="C4850" i="1"/>
  <c r="C4849" i="1"/>
  <c r="C4848" i="1"/>
  <c r="C4847" i="1"/>
  <c r="C4846" i="1"/>
  <c r="C4845" i="1"/>
  <c r="C4844" i="1"/>
  <c r="C4843" i="1"/>
  <c r="C4842" i="1"/>
  <c r="C4841" i="1"/>
  <c r="C4840" i="1"/>
  <c r="C4839" i="1"/>
  <c r="C4838" i="1"/>
  <c r="C4837" i="1"/>
  <c r="C4836" i="1"/>
  <c r="C4835" i="1"/>
  <c r="C4834" i="1"/>
  <c r="C4833" i="1"/>
  <c r="C4832" i="1"/>
  <c r="C4831" i="1"/>
  <c r="C4830" i="1"/>
  <c r="C4829" i="1"/>
  <c r="C4828" i="1"/>
  <c r="C4827" i="1"/>
  <c r="C4826" i="1"/>
  <c r="C4825" i="1"/>
  <c r="C4824" i="1"/>
  <c r="C4823" i="1"/>
  <c r="C4822" i="1"/>
  <c r="C4821" i="1"/>
  <c r="C4820" i="1"/>
  <c r="C4819" i="1"/>
  <c r="C4818" i="1"/>
  <c r="C4817" i="1"/>
  <c r="C4816" i="1"/>
  <c r="C4815" i="1"/>
  <c r="C4814" i="1"/>
  <c r="C4813" i="1"/>
  <c r="C4812" i="1"/>
  <c r="C4811" i="1"/>
  <c r="C4810" i="1"/>
  <c r="C4809" i="1"/>
  <c r="C4808" i="1"/>
  <c r="C4807" i="1"/>
  <c r="C4806" i="1"/>
  <c r="C4805" i="1"/>
  <c r="C4804" i="1"/>
  <c r="C4803" i="1"/>
  <c r="C4802" i="1"/>
  <c r="C4801" i="1"/>
  <c r="C4800" i="1"/>
  <c r="C4799" i="1"/>
  <c r="C4798" i="1"/>
  <c r="C4797" i="1"/>
  <c r="C4796" i="1"/>
  <c r="C4795" i="1"/>
  <c r="C4794" i="1"/>
  <c r="C4793" i="1"/>
  <c r="C4792" i="1"/>
  <c r="C4791" i="1"/>
  <c r="C4790" i="1"/>
  <c r="C4789" i="1"/>
  <c r="C4788" i="1"/>
  <c r="C4787" i="1"/>
  <c r="C4786" i="1"/>
  <c r="C4785" i="1"/>
  <c r="C4784" i="1"/>
  <c r="C4783" i="1"/>
  <c r="C4782" i="1"/>
  <c r="C4781" i="1"/>
  <c r="C4780" i="1"/>
  <c r="C4779" i="1"/>
  <c r="C4778" i="1"/>
  <c r="C4777" i="1"/>
  <c r="C4776" i="1"/>
  <c r="C4775" i="1"/>
  <c r="C4774" i="1"/>
  <c r="C4773" i="1"/>
  <c r="C4772" i="1"/>
  <c r="C4771" i="1"/>
  <c r="C4770" i="1"/>
  <c r="C4769" i="1"/>
  <c r="C4768" i="1"/>
  <c r="C4767" i="1"/>
  <c r="C4766" i="1"/>
  <c r="C4765" i="1"/>
  <c r="C4764" i="1"/>
  <c r="C4763" i="1"/>
  <c r="C4762" i="1"/>
  <c r="C4761" i="1"/>
  <c r="C4760" i="1"/>
  <c r="C4759" i="1"/>
  <c r="C4758" i="1"/>
  <c r="C4757" i="1"/>
  <c r="C4756" i="1"/>
  <c r="C4755" i="1"/>
  <c r="C4754" i="1"/>
  <c r="C4753" i="1"/>
  <c r="C4752" i="1"/>
  <c r="C4751" i="1"/>
  <c r="C4750" i="1"/>
  <c r="C4749" i="1"/>
  <c r="C4748" i="1"/>
  <c r="C4747" i="1"/>
  <c r="C4746" i="1"/>
  <c r="C4745" i="1"/>
  <c r="C4744" i="1"/>
  <c r="C4743" i="1"/>
  <c r="C4742" i="1"/>
  <c r="C4741" i="1"/>
  <c r="C4740" i="1"/>
  <c r="C4739" i="1"/>
  <c r="C4738" i="1"/>
  <c r="C4737" i="1"/>
  <c r="C4736" i="1"/>
  <c r="C4735" i="1"/>
  <c r="C4734" i="1"/>
  <c r="C4733" i="1"/>
  <c r="C4732" i="1"/>
  <c r="C4731" i="1"/>
  <c r="C4730" i="1"/>
  <c r="C4729" i="1"/>
  <c r="C4728" i="1"/>
  <c r="C4727" i="1"/>
  <c r="C4726" i="1"/>
  <c r="C4725" i="1"/>
  <c r="C4724" i="1"/>
  <c r="C4723" i="1"/>
  <c r="C4722" i="1"/>
  <c r="C4721" i="1"/>
  <c r="C4720" i="1"/>
  <c r="C4719" i="1"/>
  <c r="C4718" i="1"/>
  <c r="C4717" i="1"/>
  <c r="C4716" i="1"/>
  <c r="C4715" i="1"/>
  <c r="C4714" i="1"/>
  <c r="C4713" i="1"/>
  <c r="C4712" i="1"/>
  <c r="C4711" i="1"/>
  <c r="C4710" i="1"/>
  <c r="C4709" i="1"/>
  <c r="C4708" i="1"/>
  <c r="C4707" i="1"/>
  <c r="C4706" i="1"/>
  <c r="C4705" i="1"/>
  <c r="C4704" i="1"/>
  <c r="C4703" i="1"/>
  <c r="C4702" i="1"/>
  <c r="C4701" i="1"/>
  <c r="C4700" i="1"/>
  <c r="C4699" i="1"/>
  <c r="C4698" i="1"/>
  <c r="C4697" i="1"/>
  <c r="C4696" i="1"/>
  <c r="C4695" i="1"/>
  <c r="C4694" i="1"/>
  <c r="C4693" i="1"/>
  <c r="C4692" i="1"/>
  <c r="C4691" i="1"/>
  <c r="C4690" i="1"/>
  <c r="C4689" i="1"/>
  <c r="C4688" i="1"/>
  <c r="C4687" i="1"/>
  <c r="C4686" i="1"/>
  <c r="C4685" i="1"/>
  <c r="C4684" i="1"/>
  <c r="C4683" i="1"/>
  <c r="C4682" i="1"/>
  <c r="C4681" i="1"/>
  <c r="C4680" i="1"/>
  <c r="C4679" i="1"/>
  <c r="C4678" i="1"/>
  <c r="C4677" i="1"/>
  <c r="C4676" i="1"/>
  <c r="C4675" i="1"/>
  <c r="C4674" i="1"/>
  <c r="C4673" i="1"/>
  <c r="C4672" i="1"/>
  <c r="C4671" i="1"/>
  <c r="C4670" i="1"/>
  <c r="C4669" i="1"/>
  <c r="C4668" i="1"/>
  <c r="C4667" i="1"/>
  <c r="C4666" i="1"/>
  <c r="C4665" i="1"/>
  <c r="C4664" i="1"/>
  <c r="C4663" i="1"/>
  <c r="C4662" i="1"/>
  <c r="C4661" i="1"/>
  <c r="C4660" i="1"/>
  <c r="C4659" i="1"/>
  <c r="C4658" i="1"/>
  <c r="C4657" i="1"/>
  <c r="C4656" i="1"/>
  <c r="C4655" i="1"/>
  <c r="C4654" i="1"/>
  <c r="C4653" i="1"/>
  <c r="C4652" i="1"/>
  <c r="C4651" i="1"/>
  <c r="C4650" i="1"/>
  <c r="C4649" i="1"/>
  <c r="C4648" i="1"/>
  <c r="C4647" i="1"/>
  <c r="C4646" i="1"/>
  <c r="C4645" i="1"/>
  <c r="C4644" i="1"/>
  <c r="C4643" i="1"/>
  <c r="C4642" i="1"/>
  <c r="C4641" i="1"/>
  <c r="C4640" i="1"/>
  <c r="C4639" i="1"/>
  <c r="C4638" i="1"/>
  <c r="C4637" i="1"/>
  <c r="C4636" i="1"/>
  <c r="C4635" i="1"/>
  <c r="C4634" i="1"/>
  <c r="C4633" i="1"/>
  <c r="C4632" i="1"/>
  <c r="C4631" i="1"/>
  <c r="C4630" i="1"/>
  <c r="C4629" i="1"/>
  <c r="C4628" i="1"/>
  <c r="C4627" i="1"/>
  <c r="C4626" i="1"/>
  <c r="C4625" i="1"/>
  <c r="C4624" i="1"/>
  <c r="C4623" i="1"/>
  <c r="C4622" i="1"/>
  <c r="C4621" i="1"/>
  <c r="C4620" i="1"/>
  <c r="C4619" i="1"/>
  <c r="C4618" i="1"/>
  <c r="C4617" i="1"/>
  <c r="C4616" i="1"/>
  <c r="C4615" i="1"/>
  <c r="C4614" i="1"/>
  <c r="C4613" i="1"/>
  <c r="C4612" i="1"/>
  <c r="C4611" i="1"/>
  <c r="C4610" i="1"/>
  <c r="C4609" i="1"/>
  <c r="C4608" i="1"/>
  <c r="C4607" i="1"/>
  <c r="C4606" i="1"/>
  <c r="C4605" i="1"/>
  <c r="C4604" i="1"/>
  <c r="C4603" i="1"/>
  <c r="C4602" i="1"/>
  <c r="C4601" i="1"/>
  <c r="C4600" i="1"/>
  <c r="C4599" i="1"/>
  <c r="C4598" i="1"/>
  <c r="C4597" i="1"/>
  <c r="C4596" i="1"/>
  <c r="C4595" i="1"/>
  <c r="C4594" i="1"/>
  <c r="C4593" i="1"/>
  <c r="C4592" i="1"/>
  <c r="C4591" i="1"/>
  <c r="C4590" i="1"/>
  <c r="C4589" i="1"/>
  <c r="C4588" i="1"/>
  <c r="C4587" i="1"/>
  <c r="C4586" i="1"/>
  <c r="C4585" i="1"/>
  <c r="C4584" i="1"/>
  <c r="C4583" i="1"/>
  <c r="C4582" i="1"/>
  <c r="C4581" i="1"/>
  <c r="C4580" i="1"/>
  <c r="C4579" i="1"/>
  <c r="C4578" i="1"/>
  <c r="C4577" i="1"/>
  <c r="C4576" i="1"/>
  <c r="C4575" i="1"/>
  <c r="C4574" i="1"/>
  <c r="C4573" i="1"/>
  <c r="C4572" i="1"/>
  <c r="C4571" i="1"/>
  <c r="C4570" i="1"/>
  <c r="C4569" i="1"/>
  <c r="C4568" i="1"/>
  <c r="C4567" i="1"/>
  <c r="C4566" i="1"/>
  <c r="C4565" i="1"/>
  <c r="C4564" i="1"/>
  <c r="C4563" i="1"/>
  <c r="C4562" i="1"/>
  <c r="C4561" i="1"/>
  <c r="C4560" i="1"/>
  <c r="C4559" i="1"/>
  <c r="C4558" i="1"/>
  <c r="C4557" i="1"/>
  <c r="C4556" i="1"/>
  <c r="C4555" i="1"/>
  <c r="C4554" i="1"/>
  <c r="C4553" i="1"/>
  <c r="C4552" i="1"/>
  <c r="C4551" i="1"/>
  <c r="C4550" i="1"/>
  <c r="C4549" i="1"/>
  <c r="C4548" i="1"/>
  <c r="C4547" i="1"/>
  <c r="C4546" i="1"/>
  <c r="C4545" i="1"/>
  <c r="C4544" i="1"/>
  <c r="C4543" i="1"/>
  <c r="C4542" i="1"/>
  <c r="C4541" i="1"/>
  <c r="C4540" i="1"/>
  <c r="C4539" i="1"/>
  <c r="C4538" i="1"/>
  <c r="C4537" i="1"/>
  <c r="C4536" i="1"/>
  <c r="C4535" i="1"/>
  <c r="C4534" i="1"/>
  <c r="C4533" i="1"/>
  <c r="C4532" i="1"/>
  <c r="C4531" i="1"/>
  <c r="C4530" i="1"/>
  <c r="C4529" i="1"/>
  <c r="C4528" i="1"/>
  <c r="C4527" i="1"/>
  <c r="C4526" i="1"/>
  <c r="C4525" i="1"/>
  <c r="C4524" i="1"/>
  <c r="C4523" i="1"/>
  <c r="C4522" i="1"/>
  <c r="C4521" i="1"/>
  <c r="C4520" i="1"/>
  <c r="C4519" i="1"/>
  <c r="C4518" i="1"/>
  <c r="C4517" i="1"/>
  <c r="C4516" i="1"/>
  <c r="C4515" i="1"/>
  <c r="C4514" i="1"/>
  <c r="C4513" i="1"/>
  <c r="C4512" i="1"/>
  <c r="C4511" i="1"/>
  <c r="C4510" i="1"/>
  <c r="C4509" i="1"/>
  <c r="C4508" i="1"/>
  <c r="C4507" i="1"/>
  <c r="C4506" i="1"/>
  <c r="C4505" i="1"/>
  <c r="C4504" i="1"/>
  <c r="C4503" i="1"/>
  <c r="C4502" i="1"/>
  <c r="C4501" i="1"/>
  <c r="C4500" i="1"/>
  <c r="C4499" i="1"/>
  <c r="C4498" i="1"/>
  <c r="C4497" i="1"/>
  <c r="C4496" i="1"/>
  <c r="C4495" i="1"/>
  <c r="C4494" i="1"/>
  <c r="C4493" i="1"/>
  <c r="C4492" i="1"/>
  <c r="C4491" i="1"/>
  <c r="C4490" i="1"/>
  <c r="C4489" i="1"/>
  <c r="C4488" i="1"/>
  <c r="C4487" i="1"/>
  <c r="C4486" i="1"/>
  <c r="C4485" i="1"/>
  <c r="C4484" i="1"/>
  <c r="C4483" i="1"/>
  <c r="C4482" i="1"/>
  <c r="C4481" i="1"/>
  <c r="C4480" i="1"/>
  <c r="C4479" i="1"/>
  <c r="C4478" i="1"/>
  <c r="C4477" i="1"/>
  <c r="C4476" i="1"/>
  <c r="C4475" i="1"/>
  <c r="C4474" i="1"/>
  <c r="C4473" i="1"/>
  <c r="C4472" i="1"/>
  <c r="C4471" i="1"/>
  <c r="C4470" i="1"/>
  <c r="C4469" i="1"/>
  <c r="C4468" i="1"/>
  <c r="C4467" i="1"/>
  <c r="C4466" i="1"/>
  <c r="C4465" i="1"/>
  <c r="C4464" i="1"/>
  <c r="C4463" i="1"/>
  <c r="C4462" i="1"/>
  <c r="C4461" i="1"/>
  <c r="C4460" i="1"/>
  <c r="C4459" i="1"/>
  <c r="C4458" i="1"/>
  <c r="C4457" i="1"/>
  <c r="C4456" i="1"/>
  <c r="C4455" i="1"/>
  <c r="C4454" i="1"/>
  <c r="C4453" i="1"/>
  <c r="C4452" i="1"/>
  <c r="C4451" i="1"/>
  <c r="C4450" i="1"/>
  <c r="C4449" i="1"/>
  <c r="C4448" i="1"/>
  <c r="C4447" i="1"/>
  <c r="C4446" i="1"/>
  <c r="C4445" i="1"/>
  <c r="C4444" i="1"/>
  <c r="C4443" i="1"/>
  <c r="C4442" i="1"/>
  <c r="C4441" i="1"/>
  <c r="C4440" i="1"/>
  <c r="C4439" i="1"/>
  <c r="C4438" i="1"/>
  <c r="C4437" i="1"/>
  <c r="C4436" i="1"/>
  <c r="C4435" i="1"/>
  <c r="C4434" i="1"/>
  <c r="C4433" i="1"/>
  <c r="C4432" i="1"/>
  <c r="C4431" i="1"/>
  <c r="C4430" i="1"/>
  <c r="C4429" i="1"/>
  <c r="C4428" i="1"/>
  <c r="C4427" i="1"/>
  <c r="C4426" i="1"/>
  <c r="C4425" i="1"/>
  <c r="C4424" i="1"/>
  <c r="C4423" i="1"/>
  <c r="C4422" i="1"/>
  <c r="C4421" i="1"/>
  <c r="C4420" i="1"/>
  <c r="C4419" i="1"/>
  <c r="C4418" i="1"/>
  <c r="C4417" i="1"/>
  <c r="C4416" i="1"/>
  <c r="C4415" i="1"/>
  <c r="C4414" i="1"/>
  <c r="C4413" i="1"/>
  <c r="C4412" i="1"/>
  <c r="C4411" i="1"/>
  <c r="C4410" i="1"/>
  <c r="C4409" i="1"/>
  <c r="C4408" i="1"/>
  <c r="C4407" i="1"/>
  <c r="C4406" i="1"/>
  <c r="C4405" i="1"/>
  <c r="C4404" i="1"/>
  <c r="C4403" i="1"/>
  <c r="C4402" i="1"/>
  <c r="C4401" i="1"/>
  <c r="C4400" i="1"/>
  <c r="C4399" i="1"/>
  <c r="C4398" i="1"/>
  <c r="C4397" i="1"/>
  <c r="C4396" i="1"/>
  <c r="C4395" i="1"/>
  <c r="C4394" i="1"/>
  <c r="C4393" i="1"/>
  <c r="C4392" i="1"/>
  <c r="C4391" i="1"/>
  <c r="C4390" i="1"/>
  <c r="C4389" i="1"/>
  <c r="C4388" i="1"/>
  <c r="C4387" i="1"/>
  <c r="C4386" i="1"/>
  <c r="C4385" i="1"/>
  <c r="C4384" i="1"/>
  <c r="C4383" i="1"/>
  <c r="C4382" i="1"/>
  <c r="C4381" i="1"/>
  <c r="C4380" i="1"/>
  <c r="C4379" i="1"/>
  <c r="C4378" i="1"/>
  <c r="C4377" i="1"/>
  <c r="C4376" i="1"/>
  <c r="C4375" i="1"/>
  <c r="C4374" i="1"/>
  <c r="C4373" i="1"/>
  <c r="C4372" i="1"/>
  <c r="C4371" i="1"/>
  <c r="C4370" i="1"/>
  <c r="C4369" i="1"/>
  <c r="C4368" i="1"/>
  <c r="C4367" i="1"/>
  <c r="C4366" i="1"/>
  <c r="C4365" i="1"/>
  <c r="C4364" i="1"/>
  <c r="C4363" i="1"/>
  <c r="C4362" i="1"/>
  <c r="C4361" i="1"/>
  <c r="C4360" i="1"/>
  <c r="C4359" i="1"/>
  <c r="C4358" i="1"/>
  <c r="C4357" i="1"/>
  <c r="C4356" i="1"/>
  <c r="C4355" i="1"/>
  <c r="C4354" i="1"/>
  <c r="C4353" i="1"/>
  <c r="C4352" i="1"/>
  <c r="C4351" i="1"/>
  <c r="C4350" i="1"/>
  <c r="C4349" i="1"/>
  <c r="C4348" i="1"/>
  <c r="C4347" i="1"/>
  <c r="C4346" i="1"/>
  <c r="C4345" i="1"/>
  <c r="C4344" i="1"/>
  <c r="C4343" i="1"/>
  <c r="C4342" i="1"/>
  <c r="C4341" i="1"/>
  <c r="C4340" i="1"/>
  <c r="C4339" i="1"/>
  <c r="C4338" i="1"/>
  <c r="C4337" i="1"/>
  <c r="C4336" i="1"/>
  <c r="C4335" i="1"/>
  <c r="C4334" i="1"/>
  <c r="C4333" i="1"/>
  <c r="C4332" i="1"/>
  <c r="C4331" i="1"/>
  <c r="C4330" i="1"/>
  <c r="C4329" i="1"/>
  <c r="C4328" i="1"/>
  <c r="C4327" i="1"/>
  <c r="C4326" i="1"/>
  <c r="C4325" i="1"/>
  <c r="C4324" i="1"/>
  <c r="C4323" i="1"/>
  <c r="C4322" i="1"/>
  <c r="C4321" i="1"/>
  <c r="C4320" i="1"/>
  <c r="C4319" i="1"/>
  <c r="C4318" i="1"/>
  <c r="C4317" i="1"/>
  <c r="C4316" i="1"/>
  <c r="C4315" i="1"/>
  <c r="C4314" i="1"/>
  <c r="C4313" i="1"/>
  <c r="C4312" i="1"/>
  <c r="C4311" i="1"/>
  <c r="C4310" i="1"/>
  <c r="C4309" i="1"/>
  <c r="C4308" i="1"/>
  <c r="C4307" i="1"/>
  <c r="C4306" i="1"/>
  <c r="C4305" i="1"/>
  <c r="C4304" i="1"/>
  <c r="C4303" i="1"/>
  <c r="C4302" i="1"/>
  <c r="C4301" i="1"/>
  <c r="C4300" i="1"/>
  <c r="C4299" i="1"/>
  <c r="C4298" i="1"/>
  <c r="C4297" i="1"/>
  <c r="C4296" i="1"/>
  <c r="C4295" i="1"/>
  <c r="C4294" i="1"/>
  <c r="C4293" i="1"/>
  <c r="C4292" i="1"/>
  <c r="C4291" i="1"/>
  <c r="C4290" i="1"/>
  <c r="C4289" i="1"/>
  <c r="C4288" i="1"/>
  <c r="C4287" i="1"/>
  <c r="C4286" i="1"/>
  <c r="C4285" i="1"/>
  <c r="C4284" i="1"/>
  <c r="C4283" i="1"/>
  <c r="C4282" i="1"/>
  <c r="C4281" i="1"/>
  <c r="C4280" i="1"/>
  <c r="C4279" i="1"/>
  <c r="C4278" i="1"/>
  <c r="C4277" i="1"/>
  <c r="C4276" i="1"/>
  <c r="C4275" i="1"/>
  <c r="C4274" i="1"/>
  <c r="C4273" i="1"/>
  <c r="C4272" i="1"/>
  <c r="C4271" i="1"/>
  <c r="C4270" i="1"/>
  <c r="C4269" i="1"/>
  <c r="C4268" i="1"/>
  <c r="C4267" i="1"/>
  <c r="C4266" i="1"/>
  <c r="C4265" i="1"/>
  <c r="C4264" i="1"/>
  <c r="C4263" i="1"/>
  <c r="C4262" i="1"/>
  <c r="C4261" i="1"/>
  <c r="C4260" i="1"/>
  <c r="C4259" i="1"/>
  <c r="C4258" i="1"/>
  <c r="C4257" i="1"/>
  <c r="C4256" i="1"/>
  <c r="C4255" i="1"/>
  <c r="C4254" i="1"/>
  <c r="C4253" i="1"/>
  <c r="C4252" i="1"/>
  <c r="C4251" i="1"/>
  <c r="C4250" i="1"/>
  <c r="C4249" i="1"/>
  <c r="C4248" i="1"/>
  <c r="C4247" i="1"/>
  <c r="C4246" i="1"/>
  <c r="C4245" i="1"/>
  <c r="C4244" i="1"/>
  <c r="C4243" i="1"/>
  <c r="C4242" i="1"/>
  <c r="C4241" i="1"/>
  <c r="C4240" i="1"/>
  <c r="C4239" i="1"/>
  <c r="C4238" i="1"/>
  <c r="C4237" i="1"/>
  <c r="C4236" i="1"/>
  <c r="C4235" i="1"/>
  <c r="C4234" i="1"/>
  <c r="C4233" i="1"/>
  <c r="C4232" i="1"/>
  <c r="C4231" i="1"/>
  <c r="C4230" i="1"/>
  <c r="C4229" i="1"/>
  <c r="C4228" i="1"/>
  <c r="C4227" i="1"/>
  <c r="C4226" i="1"/>
  <c r="C4225" i="1"/>
  <c r="C4224" i="1"/>
  <c r="C4223" i="1"/>
  <c r="C4222" i="1"/>
  <c r="C4221" i="1"/>
  <c r="C4220" i="1"/>
  <c r="C4219" i="1"/>
  <c r="C4218" i="1"/>
  <c r="C4217" i="1"/>
  <c r="C4216" i="1"/>
  <c r="C4215" i="1"/>
  <c r="C4214" i="1"/>
  <c r="C4213" i="1"/>
  <c r="C4212" i="1"/>
  <c r="C4211" i="1"/>
  <c r="C4210" i="1"/>
  <c r="C4209" i="1"/>
  <c r="C4208" i="1"/>
  <c r="C4207" i="1"/>
  <c r="C4206" i="1"/>
  <c r="C4205" i="1"/>
  <c r="C4204" i="1"/>
  <c r="C4203" i="1"/>
  <c r="C4202" i="1"/>
  <c r="C4201" i="1"/>
  <c r="C4200" i="1"/>
  <c r="C4199" i="1"/>
  <c r="C4198" i="1"/>
  <c r="C4197" i="1"/>
  <c r="C4196" i="1"/>
  <c r="C4195" i="1"/>
  <c r="C4194" i="1"/>
  <c r="C4193" i="1"/>
  <c r="C4192" i="1"/>
  <c r="C4191" i="1"/>
  <c r="C4190" i="1"/>
  <c r="C4189" i="1"/>
  <c r="C4188" i="1"/>
  <c r="C4187" i="1"/>
  <c r="C4186" i="1"/>
  <c r="C4185" i="1"/>
  <c r="C4184" i="1"/>
  <c r="C4183" i="1"/>
  <c r="C4182" i="1"/>
  <c r="C4181" i="1"/>
  <c r="C4180" i="1"/>
  <c r="C4179" i="1"/>
  <c r="C4178" i="1"/>
  <c r="C4177" i="1"/>
  <c r="C4176" i="1"/>
  <c r="C4175" i="1"/>
  <c r="C4174" i="1"/>
  <c r="C4173" i="1"/>
  <c r="C4172" i="1"/>
  <c r="C4171" i="1"/>
  <c r="C4170" i="1"/>
  <c r="C4169" i="1"/>
  <c r="C4168" i="1"/>
  <c r="C4167" i="1"/>
  <c r="C4166" i="1"/>
  <c r="C4165" i="1"/>
  <c r="C4164" i="1"/>
  <c r="C4163" i="1"/>
  <c r="C4162" i="1"/>
  <c r="C4161" i="1"/>
  <c r="C4160" i="1"/>
  <c r="C4159" i="1"/>
  <c r="C4158" i="1"/>
  <c r="C4157" i="1"/>
  <c r="C4156" i="1"/>
  <c r="C4155" i="1"/>
  <c r="C4154" i="1"/>
  <c r="C4153" i="1"/>
  <c r="C4152" i="1"/>
  <c r="C4151" i="1"/>
  <c r="C4150" i="1"/>
  <c r="C4149" i="1"/>
  <c r="C4148" i="1"/>
  <c r="C4147" i="1"/>
  <c r="C4146" i="1"/>
  <c r="C4145" i="1"/>
  <c r="C4144" i="1"/>
  <c r="C4143" i="1"/>
  <c r="C4142" i="1"/>
  <c r="C4141" i="1"/>
  <c r="C4140" i="1"/>
  <c r="C4139" i="1"/>
  <c r="C4138" i="1"/>
  <c r="C4137" i="1"/>
  <c r="C4136" i="1"/>
  <c r="C4135" i="1"/>
  <c r="C4134" i="1"/>
  <c r="C4133" i="1"/>
  <c r="C4132" i="1"/>
  <c r="C4131" i="1"/>
  <c r="C4130" i="1"/>
  <c r="C4129" i="1"/>
  <c r="C4128" i="1"/>
  <c r="C4127" i="1"/>
  <c r="C4126" i="1"/>
  <c r="C4125" i="1"/>
  <c r="C4124" i="1"/>
  <c r="C4123" i="1"/>
  <c r="C4122" i="1"/>
  <c r="C4121" i="1"/>
  <c r="C4120" i="1"/>
  <c r="C4119" i="1"/>
  <c r="C4118" i="1"/>
  <c r="C4117" i="1"/>
  <c r="C4116" i="1"/>
  <c r="C4115" i="1"/>
  <c r="C4114" i="1"/>
  <c r="C4113" i="1"/>
  <c r="C4112" i="1"/>
  <c r="C4111" i="1"/>
  <c r="C4110" i="1"/>
  <c r="C4109" i="1"/>
  <c r="C4108" i="1"/>
  <c r="C4107" i="1"/>
  <c r="C4106" i="1"/>
  <c r="C4105" i="1"/>
  <c r="C4104" i="1"/>
  <c r="C4103" i="1"/>
  <c r="C4102" i="1"/>
  <c r="C4101" i="1"/>
  <c r="C4100" i="1"/>
  <c r="C4099" i="1"/>
  <c r="C4098" i="1"/>
  <c r="C4097" i="1"/>
  <c r="C4096" i="1"/>
  <c r="C4095" i="1"/>
  <c r="C4094" i="1"/>
  <c r="C4093" i="1"/>
  <c r="C4092" i="1"/>
  <c r="C4091" i="1"/>
  <c r="C4090" i="1"/>
  <c r="C4089" i="1"/>
  <c r="C4088" i="1"/>
  <c r="C4087" i="1"/>
  <c r="C4086" i="1"/>
  <c r="C4085" i="1"/>
  <c r="C4084" i="1"/>
  <c r="C4083" i="1"/>
  <c r="C4082" i="1"/>
  <c r="C4081" i="1"/>
  <c r="C4080" i="1"/>
  <c r="C4079" i="1"/>
  <c r="C4078" i="1"/>
  <c r="C4077" i="1"/>
  <c r="C4076" i="1"/>
  <c r="C4075" i="1"/>
  <c r="C4074" i="1"/>
  <c r="C4073" i="1"/>
  <c r="C4072" i="1"/>
  <c r="C4071" i="1"/>
  <c r="C4070" i="1"/>
  <c r="C4069" i="1"/>
  <c r="C4068" i="1"/>
  <c r="C4067" i="1"/>
  <c r="C4066" i="1"/>
  <c r="C4065" i="1"/>
  <c r="C4064" i="1"/>
  <c r="C4063" i="1"/>
  <c r="C4062" i="1"/>
  <c r="C4061" i="1"/>
  <c r="C4060" i="1"/>
  <c r="C4059" i="1"/>
  <c r="C4058" i="1"/>
  <c r="C4057" i="1"/>
  <c r="C4056" i="1"/>
  <c r="C4055" i="1"/>
  <c r="C4054" i="1"/>
  <c r="C4053" i="1"/>
  <c r="C4052" i="1"/>
  <c r="C4051" i="1"/>
  <c r="C4050" i="1"/>
  <c r="C4049" i="1"/>
  <c r="C4048" i="1"/>
  <c r="C4047" i="1"/>
  <c r="C4046" i="1"/>
  <c r="C4045" i="1"/>
  <c r="C4044" i="1"/>
  <c r="C4043" i="1"/>
  <c r="C4042" i="1"/>
  <c r="C4041" i="1"/>
  <c r="C4040" i="1"/>
  <c r="C4039" i="1"/>
  <c r="C4038" i="1"/>
  <c r="C4037" i="1"/>
  <c r="C4036" i="1"/>
  <c r="C4035" i="1"/>
  <c r="C4034" i="1"/>
  <c r="C4033" i="1"/>
  <c r="C4032" i="1"/>
  <c r="C4031" i="1"/>
  <c r="C4030" i="1"/>
  <c r="C4029" i="1"/>
  <c r="C4028" i="1"/>
  <c r="C4027" i="1"/>
  <c r="C4026" i="1"/>
  <c r="C4025" i="1"/>
  <c r="C4024" i="1"/>
  <c r="C4023" i="1"/>
  <c r="C4022" i="1"/>
  <c r="C4021" i="1"/>
  <c r="C4020" i="1"/>
  <c r="C4019" i="1"/>
  <c r="C4018" i="1"/>
  <c r="C4017" i="1"/>
  <c r="C4016" i="1"/>
  <c r="C4015" i="1"/>
  <c r="C4014" i="1"/>
  <c r="C4013" i="1"/>
  <c r="C4012" i="1"/>
  <c r="C4011" i="1"/>
  <c r="C4010" i="1"/>
  <c r="C4009" i="1"/>
  <c r="C4008" i="1"/>
  <c r="C4007" i="1"/>
  <c r="C4006" i="1"/>
  <c r="C4005" i="1"/>
  <c r="C4004" i="1"/>
  <c r="C4003" i="1"/>
  <c r="C4002" i="1"/>
  <c r="C4001" i="1"/>
  <c r="C4000" i="1"/>
  <c r="C3999" i="1"/>
  <c r="C3998" i="1"/>
  <c r="C3997" i="1"/>
  <c r="C3996" i="1"/>
  <c r="C3995" i="1"/>
  <c r="C3994" i="1"/>
  <c r="C3993" i="1"/>
  <c r="C3992" i="1"/>
  <c r="C3991" i="1"/>
  <c r="C3990" i="1"/>
  <c r="C3989" i="1"/>
  <c r="C3988" i="1"/>
  <c r="C3987" i="1"/>
  <c r="C3986" i="1"/>
  <c r="C3985" i="1"/>
  <c r="C3984" i="1"/>
  <c r="C3983" i="1"/>
  <c r="C3982" i="1"/>
  <c r="C3981" i="1"/>
  <c r="C3980" i="1"/>
  <c r="C3979" i="1"/>
  <c r="C3978" i="1"/>
  <c r="C3977" i="1"/>
  <c r="C3976" i="1"/>
  <c r="C3975" i="1"/>
  <c r="C3974" i="1"/>
  <c r="C3973" i="1"/>
  <c r="C3972" i="1"/>
  <c r="C3971" i="1"/>
  <c r="C3970" i="1"/>
  <c r="C3969" i="1"/>
  <c r="C3968" i="1"/>
  <c r="C3967" i="1"/>
  <c r="C3966" i="1"/>
  <c r="C3965" i="1"/>
  <c r="C3964" i="1"/>
  <c r="C3963" i="1"/>
  <c r="C3962" i="1"/>
  <c r="C3961" i="1"/>
  <c r="C3960" i="1"/>
  <c r="C3959" i="1"/>
  <c r="C3958" i="1"/>
  <c r="C3957" i="1"/>
  <c r="C3956" i="1"/>
  <c r="C3955" i="1"/>
  <c r="C3954" i="1"/>
  <c r="C3953" i="1"/>
  <c r="C3952" i="1"/>
  <c r="C3951" i="1"/>
  <c r="C3950" i="1"/>
  <c r="C3949" i="1"/>
  <c r="C3948" i="1"/>
  <c r="C3947" i="1"/>
  <c r="C3946" i="1"/>
  <c r="C3945" i="1"/>
  <c r="C3944" i="1"/>
  <c r="C3943" i="1"/>
  <c r="C3942" i="1"/>
  <c r="C3941" i="1"/>
  <c r="C3940" i="1"/>
  <c r="C3939" i="1"/>
  <c r="C3938" i="1"/>
  <c r="C3937" i="1"/>
  <c r="C3936" i="1"/>
  <c r="C3935" i="1"/>
  <c r="C3934" i="1"/>
  <c r="C3933" i="1"/>
  <c r="C3932" i="1"/>
  <c r="C3931" i="1"/>
  <c r="C3930" i="1"/>
  <c r="C3929" i="1"/>
  <c r="C3928" i="1"/>
  <c r="C3927" i="1"/>
  <c r="C3926" i="1"/>
  <c r="C3925" i="1"/>
  <c r="C3924" i="1"/>
  <c r="C3923" i="1"/>
  <c r="C3922" i="1"/>
  <c r="C3921" i="1"/>
  <c r="C3920" i="1"/>
  <c r="C3919" i="1"/>
  <c r="C3918" i="1"/>
  <c r="C3917" i="1"/>
  <c r="C3916" i="1"/>
  <c r="C3915" i="1"/>
  <c r="C3914" i="1"/>
  <c r="C3913" i="1"/>
  <c r="C3912" i="1"/>
  <c r="C3911" i="1"/>
  <c r="C3910" i="1"/>
  <c r="C3909" i="1"/>
  <c r="C3908" i="1"/>
  <c r="C3907" i="1"/>
  <c r="C3906" i="1"/>
  <c r="C3905" i="1"/>
  <c r="C3904" i="1"/>
  <c r="C3903" i="1"/>
  <c r="C3902" i="1"/>
  <c r="C3901" i="1"/>
  <c r="C3900" i="1"/>
  <c r="C3899" i="1"/>
  <c r="C3898" i="1"/>
  <c r="C3897" i="1"/>
  <c r="C3896" i="1"/>
  <c r="C3895" i="1"/>
  <c r="C3894" i="1"/>
  <c r="C3893" i="1"/>
  <c r="C3892" i="1"/>
  <c r="C3891" i="1"/>
  <c r="C3890" i="1"/>
  <c r="C3889" i="1"/>
  <c r="C3888" i="1"/>
  <c r="C3887" i="1"/>
  <c r="C3886" i="1"/>
  <c r="C3885" i="1"/>
  <c r="C3884" i="1"/>
  <c r="C3883" i="1"/>
  <c r="C3882" i="1"/>
  <c r="C3881" i="1"/>
  <c r="C3880" i="1"/>
  <c r="C3879" i="1"/>
  <c r="C3878" i="1"/>
  <c r="C3877" i="1"/>
  <c r="C3876" i="1"/>
  <c r="C3875" i="1"/>
  <c r="C3874" i="1"/>
  <c r="C3873" i="1"/>
  <c r="C3872" i="1"/>
  <c r="C3871" i="1"/>
  <c r="C3870" i="1"/>
  <c r="C3869" i="1"/>
  <c r="C3868" i="1"/>
  <c r="C3867" i="1"/>
  <c r="C3866" i="1"/>
  <c r="C3865" i="1"/>
  <c r="C3864" i="1"/>
  <c r="C3863" i="1"/>
  <c r="C3862" i="1"/>
  <c r="C3861" i="1"/>
  <c r="C3860" i="1"/>
  <c r="C3859" i="1"/>
  <c r="C3858" i="1"/>
  <c r="C3857" i="1"/>
  <c r="C3856" i="1"/>
  <c r="C3855" i="1"/>
  <c r="C3854" i="1"/>
  <c r="C3853" i="1"/>
  <c r="C3852" i="1"/>
  <c r="C3851" i="1"/>
  <c r="C3850" i="1"/>
  <c r="C3849" i="1"/>
  <c r="C3848" i="1"/>
  <c r="C3847" i="1"/>
  <c r="C3846" i="1"/>
  <c r="C3845" i="1"/>
  <c r="C3844" i="1"/>
  <c r="C3843" i="1"/>
  <c r="C3842" i="1"/>
  <c r="C3841" i="1"/>
  <c r="C3840" i="1"/>
  <c r="C3839" i="1"/>
  <c r="C3838" i="1"/>
  <c r="C3837" i="1"/>
  <c r="C3836" i="1"/>
  <c r="C3835" i="1"/>
  <c r="C3834" i="1"/>
  <c r="C3833" i="1"/>
  <c r="C3832" i="1"/>
  <c r="C3831" i="1"/>
  <c r="C3830" i="1"/>
  <c r="C3829" i="1"/>
  <c r="C3828" i="1"/>
  <c r="C3827" i="1"/>
  <c r="C3826" i="1"/>
  <c r="C3825" i="1"/>
  <c r="C3824" i="1"/>
  <c r="C3823" i="1"/>
  <c r="C3822" i="1"/>
  <c r="C3821" i="1"/>
  <c r="C3820" i="1"/>
  <c r="C3819" i="1"/>
  <c r="C3818" i="1"/>
  <c r="C3817" i="1"/>
  <c r="C3816" i="1"/>
  <c r="C3815" i="1"/>
  <c r="C3814" i="1"/>
  <c r="C3813" i="1"/>
  <c r="C3812" i="1"/>
  <c r="C3811" i="1"/>
  <c r="C3810" i="1"/>
  <c r="C3809" i="1"/>
  <c r="C3808" i="1"/>
  <c r="C3807" i="1"/>
  <c r="C3806" i="1"/>
  <c r="C3805" i="1"/>
  <c r="C3804" i="1"/>
  <c r="C3803" i="1"/>
  <c r="C3802" i="1"/>
  <c r="C3801" i="1"/>
  <c r="C3800" i="1"/>
  <c r="C3799" i="1"/>
  <c r="C3798" i="1"/>
  <c r="C3797" i="1"/>
  <c r="C3796" i="1"/>
  <c r="C3795" i="1"/>
  <c r="C3794" i="1"/>
  <c r="C3793" i="1"/>
  <c r="C3792" i="1"/>
  <c r="C3791" i="1"/>
  <c r="C3790" i="1"/>
  <c r="C3789" i="1"/>
  <c r="C3788" i="1"/>
  <c r="C3787" i="1"/>
  <c r="C3786" i="1"/>
  <c r="C3785" i="1"/>
  <c r="C3784" i="1"/>
  <c r="C3783" i="1"/>
  <c r="C3782" i="1"/>
  <c r="C3781" i="1"/>
  <c r="C3780" i="1"/>
  <c r="C3779" i="1"/>
  <c r="C3778" i="1"/>
  <c r="C3777" i="1"/>
  <c r="C3776" i="1"/>
  <c r="C3775" i="1"/>
  <c r="C3774" i="1"/>
  <c r="C3773" i="1"/>
  <c r="C3772" i="1"/>
  <c r="C3771" i="1"/>
  <c r="C3770" i="1"/>
  <c r="C3769" i="1"/>
  <c r="C3768" i="1"/>
  <c r="C3767" i="1"/>
  <c r="C3766" i="1"/>
  <c r="C3765" i="1"/>
  <c r="C3764" i="1"/>
  <c r="C3763" i="1"/>
  <c r="C3762" i="1"/>
  <c r="C3761" i="1"/>
  <c r="C3760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8" i="1"/>
  <c r="C1347" i="1"/>
  <c r="C1345" i="1"/>
  <c r="C1344" i="1"/>
  <c r="C1343" i="1"/>
  <c r="C1342" i="1"/>
  <c r="C1341" i="1"/>
  <c r="C1340" i="1"/>
  <c r="C1339" i="1"/>
  <c r="C1337" i="1"/>
  <c r="C1336" i="1"/>
  <c r="C1335" i="1"/>
  <c r="C1334" i="1"/>
  <c r="C1333" i="1"/>
  <c r="C1332" i="1"/>
  <c r="C1331" i="1"/>
  <c r="C1329" i="1"/>
  <c r="C1328" i="1"/>
  <c r="C1327" i="1"/>
  <c r="C1326" i="1"/>
  <c r="C1325" i="1"/>
  <c r="C1324" i="1"/>
  <c r="C1323" i="1"/>
  <c r="C1321" i="1"/>
  <c r="C1320" i="1"/>
  <c r="C1319" i="1"/>
  <c r="C1318" i="1"/>
  <c r="C1317" i="1"/>
  <c r="C1316" i="1"/>
  <c r="C1315" i="1"/>
  <c r="C1313" i="1"/>
  <c r="C1312" i="1"/>
  <c r="C1311" i="1"/>
  <c r="C1310" i="1"/>
  <c r="C1309" i="1"/>
  <c r="C1308" i="1"/>
  <c r="C1307" i="1"/>
  <c r="C1305" i="1"/>
  <c r="C1304" i="1"/>
  <c r="C1303" i="1"/>
  <c r="C1302" i="1"/>
  <c r="C1301" i="1"/>
  <c r="C1300" i="1"/>
  <c r="C1299" i="1"/>
  <c r="C1297" i="1"/>
  <c r="C1296" i="1"/>
  <c r="C1295" i="1"/>
  <c r="C1294" i="1"/>
  <c r="C1293" i="1"/>
  <c r="C1292" i="1"/>
  <c r="C1291" i="1"/>
  <c r="C1289" i="1"/>
  <c r="C1288" i="1"/>
  <c r="C1287" i="1"/>
  <c r="C1286" i="1"/>
  <c r="C1285" i="1"/>
  <c r="C1284" i="1"/>
  <c r="C1283" i="1"/>
  <c r="C1281" i="1"/>
  <c r="C1280" i="1"/>
  <c r="C1279" i="1"/>
  <c r="C1278" i="1"/>
  <c r="C1277" i="1"/>
  <c r="C1276" i="1"/>
  <c r="C1275" i="1"/>
  <c r="C1273" i="1"/>
  <c r="C1272" i="1"/>
  <c r="C1271" i="1"/>
  <c r="C1270" i="1"/>
  <c r="C1269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5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5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1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1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7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7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3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3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9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9" i="1"/>
  <c r="C948" i="1"/>
  <c r="C947" i="1"/>
  <c r="C945" i="1"/>
  <c r="C944" i="1"/>
  <c r="C943" i="1"/>
  <c r="C942" i="1"/>
  <c r="C941" i="1"/>
  <c r="C940" i="1"/>
  <c r="C939" i="1"/>
  <c r="C937" i="1"/>
  <c r="C936" i="1"/>
  <c r="C935" i="1"/>
  <c r="C934" i="1"/>
  <c r="C933" i="1"/>
  <c r="C932" i="1"/>
  <c r="C931" i="1"/>
  <c r="C929" i="1"/>
  <c r="C928" i="1"/>
  <c r="C927" i="1"/>
  <c r="C926" i="1"/>
  <c r="C925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<sst xmlns="http://schemas.openxmlformats.org/spreadsheetml/2006/main" count="45593" uniqueCount="35">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</sst>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6"/>
  <sheetViews>
    <sheetView tabSelected="1" topLeftCell="A12007" zoomScaleNormal="100" workbookViewId="0">
      <selection activeCell="D12007" sqref="D1:D1048576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1"/>
        <v>-1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29"/>
        <v>-2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2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2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t="s">
        <v>7</v>
      </c>
      <c r="B1273" t="s">
        <v>14</v>
      </c>
      <c r="C1273" t="str">
        <f t="shared" si="38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39"/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39"/>
        <v>-5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39"/>
        <v>0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39"/>
        <v>-5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39"/>
        <v>-6</v>
      </c>
    </row>
    <row r="1283" spans="1:8" x14ac:dyDescent="0.2">
      <c r="A1283" t="s">
        <v>7</v>
      </c>
      <c r="B1283" t="s">
        <v>14</v>
      </c>
      <c r="C1283" t="str">
        <f t="shared" ref="C1283:C1346" si="40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ref="H1283:H1346" si="41">F1283-G1283</f>
        <v>-6</v>
      </c>
    </row>
    <row r="1284" spans="1:8" x14ac:dyDescent="0.2">
      <c r="A1284" t="s">
        <v>7</v>
      </c>
      <c r="B1284" t="s">
        <v>14</v>
      </c>
      <c r="C1284" t="str">
        <f t="shared" si="40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1"/>
        <v>0</v>
      </c>
    </row>
    <row r="1285" spans="1:8" x14ac:dyDescent="0.2">
      <c r="A1285" t="s">
        <v>7</v>
      </c>
      <c r="B1285" t="s">
        <v>14</v>
      </c>
      <c r="C1285" t="str">
        <f t="shared" si="40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1"/>
        <v>-6</v>
      </c>
    </row>
    <row r="1286" spans="1:8" x14ac:dyDescent="0.2">
      <c r="A1286" t="s">
        <v>7</v>
      </c>
      <c r="B1286" t="s">
        <v>14</v>
      </c>
      <c r="C1286" t="str">
        <f t="shared" si="40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1"/>
        <v>0</v>
      </c>
    </row>
    <row r="1287" spans="1:8" x14ac:dyDescent="0.2">
      <c r="A1287" t="s">
        <v>7</v>
      </c>
      <c r="B1287" t="s">
        <v>14</v>
      </c>
      <c r="C1287" t="str">
        <f t="shared" si="40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si="41"/>
        <v>0</v>
      </c>
    </row>
    <row r="1288" spans="1:8" x14ac:dyDescent="0.2">
      <c r="A1288" t="s">
        <v>7</v>
      </c>
      <c r="B1288" t="s">
        <v>14</v>
      </c>
      <c r="C1288" t="str">
        <f t="shared" si="40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1"/>
        <v>-7</v>
      </c>
    </row>
    <row r="1289" spans="1:8" x14ac:dyDescent="0.2">
      <c r="A1289" t="s">
        <v>7</v>
      </c>
      <c r="B1289" t="s">
        <v>14</v>
      </c>
      <c r="C1289" t="str">
        <f t="shared" si="40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1"/>
        <v>-7</v>
      </c>
    </row>
    <row r="1290" spans="1:8" x14ac:dyDescent="0.2">
      <c r="A1290" t="s">
        <v>7</v>
      </c>
      <c r="B1290" t="s">
        <v>14</v>
      </c>
      <c r="C1290" t="str">
        <f t="shared" si="40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1"/>
        <v>0</v>
      </c>
    </row>
    <row r="1291" spans="1:8" x14ac:dyDescent="0.2">
      <c r="A1291" t="s">
        <v>7</v>
      </c>
      <c r="B1291" t="s">
        <v>14</v>
      </c>
      <c r="C1291" t="str">
        <f t="shared" si="40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1"/>
        <v>-8</v>
      </c>
    </row>
    <row r="1292" spans="1:8" x14ac:dyDescent="0.2">
      <c r="A1292" t="s">
        <v>7</v>
      </c>
      <c r="B1292" t="s">
        <v>14</v>
      </c>
      <c r="C1292" t="str">
        <f t="shared" si="40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1"/>
        <v>-8</v>
      </c>
    </row>
    <row r="1293" spans="1:8" x14ac:dyDescent="0.2">
      <c r="A1293" t="s">
        <v>7</v>
      </c>
      <c r="B1293" t="s">
        <v>14</v>
      </c>
      <c r="C1293" t="str">
        <f t="shared" si="40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1"/>
        <v>-8</v>
      </c>
    </row>
    <row r="1294" spans="1:8" x14ac:dyDescent="0.2">
      <c r="A1294" t="s">
        <v>7</v>
      </c>
      <c r="B1294" t="s">
        <v>14</v>
      </c>
      <c r="C1294" t="str">
        <f t="shared" si="40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1"/>
        <v>-10</v>
      </c>
    </row>
    <row r="1295" spans="1:8" x14ac:dyDescent="0.2">
      <c r="A1295" t="s">
        <v>7</v>
      </c>
      <c r="B1295" t="s">
        <v>14</v>
      </c>
      <c r="C1295" t="str">
        <f t="shared" si="40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1"/>
        <v>-10</v>
      </c>
    </row>
    <row r="1296" spans="1:8" x14ac:dyDescent="0.2">
      <c r="A1296" t="s">
        <v>7</v>
      </c>
      <c r="B1296" t="s">
        <v>14</v>
      </c>
      <c r="C1296" t="str">
        <f t="shared" si="40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1"/>
        <v>-10</v>
      </c>
    </row>
    <row r="1297" spans="1:8" x14ac:dyDescent="0.2">
      <c r="A1297" t="s">
        <v>7</v>
      </c>
      <c r="B1297" t="s">
        <v>14</v>
      </c>
      <c r="C1297" t="str">
        <f t="shared" si="40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1"/>
        <v>-10</v>
      </c>
    </row>
    <row r="1298" spans="1:8" x14ac:dyDescent="0.2">
      <c r="A1298" t="s">
        <v>7</v>
      </c>
      <c r="B1298" t="s">
        <v>14</v>
      </c>
      <c r="C1298" t="str">
        <f t="shared" si="40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1"/>
        <v>-10</v>
      </c>
    </row>
    <row r="1299" spans="1:8" x14ac:dyDescent="0.2">
      <c r="A1299" t="s">
        <v>7</v>
      </c>
      <c r="B1299" t="s">
        <v>14</v>
      </c>
      <c r="C1299" t="str">
        <f t="shared" si="40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1"/>
        <v>0</v>
      </c>
    </row>
    <row r="1300" spans="1:8" x14ac:dyDescent="0.2">
      <c r="A1300" t="s">
        <v>7</v>
      </c>
      <c r="B1300" t="s">
        <v>14</v>
      </c>
      <c r="C1300" t="str">
        <f t="shared" si="40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1"/>
        <v>0</v>
      </c>
    </row>
    <row r="1301" spans="1:8" x14ac:dyDescent="0.2">
      <c r="A1301" t="s">
        <v>7</v>
      </c>
      <c r="B1301" t="s">
        <v>14</v>
      </c>
      <c r="C1301" t="str">
        <f t="shared" si="40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1"/>
        <v>0</v>
      </c>
    </row>
    <row r="1302" spans="1:8" x14ac:dyDescent="0.2">
      <c r="A1302" t="s">
        <v>7</v>
      </c>
      <c r="B1302" t="s">
        <v>14</v>
      </c>
      <c r="C1302" t="str">
        <f t="shared" si="40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1"/>
        <v>-11</v>
      </c>
    </row>
    <row r="1303" spans="1:8" x14ac:dyDescent="0.2">
      <c r="A1303" t="s">
        <v>7</v>
      </c>
      <c r="B1303" t="s">
        <v>14</v>
      </c>
      <c r="C1303" t="str">
        <f t="shared" si="40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1"/>
        <v>0</v>
      </c>
    </row>
    <row r="1304" spans="1:8" x14ac:dyDescent="0.2">
      <c r="A1304" t="s">
        <v>7</v>
      </c>
      <c r="B1304" t="s">
        <v>14</v>
      </c>
      <c r="C1304" t="str">
        <f t="shared" si="40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1"/>
        <v>-12</v>
      </c>
    </row>
    <row r="1305" spans="1:8" x14ac:dyDescent="0.2">
      <c r="A1305" t="s">
        <v>7</v>
      </c>
      <c r="B1305" t="s">
        <v>14</v>
      </c>
      <c r="C1305" t="str">
        <f t="shared" si="40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1"/>
        <v>-12</v>
      </c>
    </row>
    <row r="1306" spans="1:8" x14ac:dyDescent="0.2">
      <c r="A1306" t="s">
        <v>7</v>
      </c>
      <c r="B1306" t="s">
        <v>14</v>
      </c>
      <c r="C1306" t="str">
        <f t="shared" si="40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1"/>
        <v>-13</v>
      </c>
    </row>
    <row r="1307" spans="1:8" x14ac:dyDescent="0.2">
      <c r="A1307" t="s">
        <v>7</v>
      </c>
      <c r="B1307" t="s">
        <v>14</v>
      </c>
      <c r="C1307" t="str">
        <f t="shared" si="40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1"/>
        <v>-13</v>
      </c>
    </row>
    <row r="1308" spans="1:8" x14ac:dyDescent="0.2">
      <c r="A1308" t="s">
        <v>7</v>
      </c>
      <c r="B1308" t="s">
        <v>14</v>
      </c>
      <c r="C1308" t="str">
        <f t="shared" si="40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1"/>
        <v>-13</v>
      </c>
    </row>
    <row r="1309" spans="1:8" x14ac:dyDescent="0.2">
      <c r="A1309" t="s">
        <v>7</v>
      </c>
      <c r="B1309" t="s">
        <v>14</v>
      </c>
      <c r="C1309" t="str">
        <f t="shared" si="40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1"/>
        <v>-13</v>
      </c>
    </row>
    <row r="1310" spans="1:8" x14ac:dyDescent="0.2">
      <c r="A1310" t="s">
        <v>7</v>
      </c>
      <c r="B1310" t="s">
        <v>14</v>
      </c>
      <c r="C1310" t="str">
        <f t="shared" si="40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1"/>
        <v>-14</v>
      </c>
    </row>
    <row r="1311" spans="1:8" x14ac:dyDescent="0.2">
      <c r="A1311" t="s">
        <v>7</v>
      </c>
      <c r="B1311" t="s">
        <v>14</v>
      </c>
      <c r="C1311" t="str">
        <f t="shared" si="40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1"/>
        <v>0</v>
      </c>
    </row>
    <row r="1312" spans="1:8" x14ac:dyDescent="0.2">
      <c r="A1312" t="s">
        <v>7</v>
      </c>
      <c r="B1312" t="s">
        <v>14</v>
      </c>
      <c r="C1312" t="str">
        <f t="shared" si="40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1"/>
        <v>0</v>
      </c>
    </row>
    <row r="1313" spans="1:8" x14ac:dyDescent="0.2">
      <c r="A1313" t="s">
        <v>7</v>
      </c>
      <c r="B1313" t="s">
        <v>14</v>
      </c>
      <c r="C1313" t="str">
        <f t="shared" si="40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1"/>
        <v>-15</v>
      </c>
    </row>
    <row r="1314" spans="1:8" x14ac:dyDescent="0.2">
      <c r="A1314" t="s">
        <v>7</v>
      </c>
      <c r="B1314" t="s">
        <v>14</v>
      </c>
      <c r="C1314" t="str">
        <f t="shared" si="40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1"/>
        <v>-15</v>
      </c>
    </row>
    <row r="1315" spans="1:8" x14ac:dyDescent="0.2">
      <c r="A1315" t="s">
        <v>7</v>
      </c>
      <c r="B1315" t="s">
        <v>14</v>
      </c>
      <c r="C1315" t="str">
        <f t="shared" si="40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1"/>
        <v>0</v>
      </c>
    </row>
    <row r="1316" spans="1:8" x14ac:dyDescent="0.2">
      <c r="A1316" t="s">
        <v>7</v>
      </c>
      <c r="B1316" t="s">
        <v>14</v>
      </c>
      <c r="C1316" t="str">
        <f t="shared" si="40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1"/>
        <v>-16</v>
      </c>
    </row>
    <row r="1317" spans="1:8" x14ac:dyDescent="0.2">
      <c r="A1317" t="s">
        <v>7</v>
      </c>
      <c r="B1317" t="s">
        <v>14</v>
      </c>
      <c r="C1317" t="str">
        <f t="shared" si="40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1"/>
        <v>0</v>
      </c>
    </row>
    <row r="1318" spans="1:8" x14ac:dyDescent="0.2">
      <c r="A1318" t="s">
        <v>7</v>
      </c>
      <c r="B1318" t="s">
        <v>14</v>
      </c>
      <c r="C1318" t="str">
        <f t="shared" si="40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1"/>
        <v>-17</v>
      </c>
    </row>
    <row r="1319" spans="1:8" x14ac:dyDescent="0.2">
      <c r="A1319" t="s">
        <v>7</v>
      </c>
      <c r="B1319" t="s">
        <v>14</v>
      </c>
      <c r="C1319" t="str">
        <f t="shared" si="40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1"/>
        <v>-17</v>
      </c>
    </row>
    <row r="1320" spans="1:8" x14ac:dyDescent="0.2">
      <c r="A1320" t="s">
        <v>7</v>
      </c>
      <c r="B1320" t="s">
        <v>14</v>
      </c>
      <c r="C1320" t="str">
        <f t="shared" si="40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1"/>
        <v>0</v>
      </c>
    </row>
    <row r="1321" spans="1:8" x14ac:dyDescent="0.2">
      <c r="A1321" t="s">
        <v>7</v>
      </c>
      <c r="B1321" t="s">
        <v>14</v>
      </c>
      <c r="C1321" t="str">
        <f t="shared" si="40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1"/>
        <v>-18</v>
      </c>
    </row>
    <row r="1322" spans="1:8" x14ac:dyDescent="0.2">
      <c r="A1322" t="s">
        <v>7</v>
      </c>
      <c r="B1322" t="s">
        <v>14</v>
      </c>
      <c r="C1322" t="str">
        <f t="shared" si="40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1"/>
        <v>-18</v>
      </c>
    </row>
    <row r="1323" spans="1:8" x14ac:dyDescent="0.2">
      <c r="A1323" t="s">
        <v>7</v>
      </c>
      <c r="B1323" t="s">
        <v>14</v>
      </c>
      <c r="C1323" t="str">
        <f t="shared" si="40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1"/>
        <v>-18</v>
      </c>
    </row>
    <row r="1324" spans="1:8" x14ac:dyDescent="0.2">
      <c r="A1324" t="s">
        <v>7</v>
      </c>
      <c r="B1324" t="s">
        <v>14</v>
      </c>
      <c r="C1324" t="str">
        <f t="shared" si="40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1"/>
        <v>-18</v>
      </c>
    </row>
    <row r="1325" spans="1:8" x14ac:dyDescent="0.2">
      <c r="A1325" t="s">
        <v>7</v>
      </c>
      <c r="B1325" t="s">
        <v>14</v>
      </c>
      <c r="C1325" t="str">
        <f t="shared" si="40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1"/>
        <v>-18</v>
      </c>
    </row>
    <row r="1326" spans="1:8" x14ac:dyDescent="0.2">
      <c r="A1326" t="s">
        <v>7</v>
      </c>
      <c r="B1326" t="s">
        <v>14</v>
      </c>
      <c r="C1326" t="str">
        <f t="shared" si="40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1"/>
        <v>-18</v>
      </c>
    </row>
    <row r="1327" spans="1:8" x14ac:dyDescent="0.2">
      <c r="A1327" t="s">
        <v>7</v>
      </c>
      <c r="B1327" t="s">
        <v>14</v>
      </c>
      <c r="C1327" t="str">
        <f t="shared" si="40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1"/>
        <v>-19</v>
      </c>
    </row>
    <row r="1328" spans="1:8" x14ac:dyDescent="0.2">
      <c r="A1328" t="s">
        <v>7</v>
      </c>
      <c r="B1328" t="s">
        <v>14</v>
      </c>
      <c r="C1328" t="str">
        <f t="shared" si="40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1"/>
        <v>-19</v>
      </c>
    </row>
    <row r="1329" spans="1:8" x14ac:dyDescent="0.2">
      <c r="A1329" t="s">
        <v>7</v>
      </c>
      <c r="B1329" t="s">
        <v>14</v>
      </c>
      <c r="C1329" t="str">
        <f t="shared" si="40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1"/>
        <v>-20</v>
      </c>
    </row>
    <row r="1330" spans="1:8" x14ac:dyDescent="0.2">
      <c r="A1330" t="s">
        <v>7</v>
      </c>
      <c r="B1330" t="s">
        <v>14</v>
      </c>
      <c r="C1330" t="str">
        <f t="shared" si="40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1"/>
        <v>-20</v>
      </c>
    </row>
    <row r="1331" spans="1:8" x14ac:dyDescent="0.2">
      <c r="A1331" t="s">
        <v>7</v>
      </c>
      <c r="B1331" t="s">
        <v>14</v>
      </c>
      <c r="C1331" t="str">
        <f t="shared" si="40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1"/>
        <v>-20</v>
      </c>
    </row>
    <row r="1332" spans="1:8" x14ac:dyDescent="0.2">
      <c r="A1332" t="s">
        <v>7</v>
      </c>
      <c r="B1332" t="s">
        <v>14</v>
      </c>
      <c r="C1332" t="str">
        <f t="shared" si="40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1"/>
        <v>-20</v>
      </c>
    </row>
    <row r="1333" spans="1:8" x14ac:dyDescent="0.2">
      <c r="A1333" t="s">
        <v>7</v>
      </c>
      <c r="B1333" t="s">
        <v>14</v>
      </c>
      <c r="C1333" t="str">
        <f t="shared" si="40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1"/>
        <v>-20</v>
      </c>
    </row>
    <row r="1334" spans="1:8" x14ac:dyDescent="0.2">
      <c r="A1334" t="s">
        <v>7</v>
      </c>
      <c r="B1334" t="s">
        <v>14</v>
      </c>
      <c r="C1334" t="str">
        <f t="shared" si="40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1"/>
        <v>-21</v>
      </c>
    </row>
    <row r="1335" spans="1:8" x14ac:dyDescent="0.2">
      <c r="A1335" t="s">
        <v>7</v>
      </c>
      <c r="B1335" t="s">
        <v>14</v>
      </c>
      <c r="C1335" t="str">
        <f t="shared" si="40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1"/>
        <v>-21</v>
      </c>
    </row>
    <row r="1336" spans="1:8" x14ac:dyDescent="0.2">
      <c r="A1336" t="s">
        <v>7</v>
      </c>
      <c r="B1336" t="s">
        <v>14</v>
      </c>
      <c r="C1336" t="str">
        <f t="shared" si="40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1"/>
        <v>-21</v>
      </c>
    </row>
    <row r="1337" spans="1:8" x14ac:dyDescent="0.2">
      <c r="A1337" t="s">
        <v>7</v>
      </c>
      <c r="B1337" t="s">
        <v>14</v>
      </c>
      <c r="C1337" t="str">
        <f t="shared" si="40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1"/>
        <v>0</v>
      </c>
    </row>
    <row r="1338" spans="1:8" x14ac:dyDescent="0.2">
      <c r="A1338" t="s">
        <v>7</v>
      </c>
      <c r="B1338" t="s">
        <v>14</v>
      </c>
      <c r="C1338" t="str">
        <f t="shared" si="40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1"/>
        <v>-22</v>
      </c>
    </row>
    <row r="1339" spans="1:8" x14ac:dyDescent="0.2">
      <c r="A1339" t="s">
        <v>7</v>
      </c>
      <c r="B1339" t="s">
        <v>14</v>
      </c>
      <c r="C1339" t="str">
        <f t="shared" si="40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1"/>
        <v>-22</v>
      </c>
    </row>
    <row r="1340" spans="1:8" x14ac:dyDescent="0.2">
      <c r="A1340" t="s">
        <v>7</v>
      </c>
      <c r="B1340" t="s">
        <v>14</v>
      </c>
      <c r="C1340" t="str">
        <f t="shared" si="40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1"/>
        <v>-22</v>
      </c>
    </row>
    <row r="1341" spans="1:8" x14ac:dyDescent="0.2">
      <c r="A1341" t="s">
        <v>7</v>
      </c>
      <c r="B1341" t="s">
        <v>14</v>
      </c>
      <c r="C1341" t="str">
        <f t="shared" si="40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1"/>
        <v>0</v>
      </c>
    </row>
    <row r="1342" spans="1:8" x14ac:dyDescent="0.2">
      <c r="A1342" t="s">
        <v>7</v>
      </c>
      <c r="B1342" t="s">
        <v>14</v>
      </c>
      <c r="C1342" t="str">
        <f t="shared" si="40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1"/>
        <v>-22</v>
      </c>
    </row>
    <row r="1343" spans="1:8" x14ac:dyDescent="0.2">
      <c r="A1343" t="s">
        <v>7</v>
      </c>
      <c r="B1343" t="s">
        <v>14</v>
      </c>
      <c r="C1343" t="str">
        <f t="shared" si="40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1"/>
        <v>-22</v>
      </c>
    </row>
    <row r="1344" spans="1:8" x14ac:dyDescent="0.2">
      <c r="A1344" t="s">
        <v>7</v>
      </c>
      <c r="B1344" t="s">
        <v>14</v>
      </c>
      <c r="C1344" t="str">
        <f t="shared" si="40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1"/>
        <v>0</v>
      </c>
    </row>
    <row r="1345" spans="1:8" x14ac:dyDescent="0.2">
      <c r="A1345" t="s">
        <v>7</v>
      </c>
      <c r="B1345" t="s">
        <v>14</v>
      </c>
      <c r="C1345" t="str">
        <f t="shared" si="40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1"/>
        <v>-24</v>
      </c>
    </row>
    <row r="1346" spans="1:8" x14ac:dyDescent="0.2">
      <c r="A1346" t="s">
        <v>7</v>
      </c>
      <c r="B1346" t="s">
        <v>14</v>
      </c>
      <c r="C1346" t="str">
        <f t="shared" si="40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1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2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ref="H1347:H1410" si="43">F1347-G1347</f>
        <v>-24</v>
      </c>
    </row>
    <row r="1348" spans="1:8" x14ac:dyDescent="0.2">
      <c r="A1348" t="s">
        <v>7</v>
      </c>
      <c r="B1348" t="s">
        <v>14</v>
      </c>
      <c r="C1348" t="str">
        <f t="shared" si="42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3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si="43"/>
        <v>-24</v>
      </c>
    </row>
    <row r="1350" spans="1:8" x14ac:dyDescent="0.2">
      <c r="A1350" t="s">
        <v>7</v>
      </c>
      <c r="B1350" s="34" t="s">
        <v>14</v>
      </c>
      <c r="C1350" t="str">
        <f t="shared" si="42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3"/>
        <v>9</v>
      </c>
    </row>
    <row r="1351" spans="1:8" x14ac:dyDescent="0.2">
      <c r="A1351" t="s">
        <v>7</v>
      </c>
      <c r="B1351" s="34" t="s">
        <v>14</v>
      </c>
      <c r="C1351" t="str">
        <f t="shared" si="42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3"/>
        <v>8</v>
      </c>
    </row>
    <row r="1352" spans="1:8" x14ac:dyDescent="0.2">
      <c r="A1352" t="s">
        <v>7</v>
      </c>
      <c r="B1352" s="34" t="s">
        <v>14</v>
      </c>
      <c r="C1352" t="str">
        <f t="shared" si="42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si="43"/>
        <v>7</v>
      </c>
    </row>
    <row r="1353" spans="1:8" x14ac:dyDescent="0.2">
      <c r="A1353" t="s">
        <v>7</v>
      </c>
      <c r="B1353" s="34" t="s">
        <v>14</v>
      </c>
      <c r="C1353" t="str">
        <f t="shared" si="42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3"/>
        <v>6</v>
      </c>
    </row>
    <row r="1354" spans="1:8" x14ac:dyDescent="0.2">
      <c r="A1354" t="s">
        <v>7</v>
      </c>
      <c r="B1354" s="34" t="s">
        <v>14</v>
      </c>
      <c r="C1354" t="str">
        <f t="shared" si="42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3"/>
        <v>6</v>
      </c>
    </row>
    <row r="1355" spans="1:8" x14ac:dyDescent="0.2">
      <c r="A1355" t="s">
        <v>7</v>
      </c>
      <c r="B1355" s="34" t="s">
        <v>14</v>
      </c>
      <c r="C1355" t="str">
        <f t="shared" si="42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3"/>
        <v>6</v>
      </c>
    </row>
    <row r="1356" spans="1:8" x14ac:dyDescent="0.2">
      <c r="A1356" t="s">
        <v>7</v>
      </c>
      <c r="B1356" s="34" t="s">
        <v>14</v>
      </c>
      <c r="C1356" t="str">
        <f t="shared" si="42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3"/>
        <v>6</v>
      </c>
    </row>
    <row r="1357" spans="1:8" x14ac:dyDescent="0.2">
      <c r="A1357" t="s">
        <v>7</v>
      </c>
      <c r="B1357" s="34" t="s">
        <v>14</v>
      </c>
      <c r="C1357" t="str">
        <f t="shared" si="42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3"/>
        <v>6</v>
      </c>
    </row>
    <row r="1358" spans="1:8" x14ac:dyDescent="0.2">
      <c r="A1358" t="s">
        <v>7</v>
      </c>
      <c r="B1358" s="34" t="s">
        <v>14</v>
      </c>
      <c r="C1358" t="str">
        <f t="shared" si="42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3"/>
        <v>6</v>
      </c>
    </row>
    <row r="1359" spans="1:8" x14ac:dyDescent="0.2">
      <c r="A1359" t="s">
        <v>7</v>
      </c>
      <c r="B1359" s="34" t="s">
        <v>14</v>
      </c>
      <c r="C1359" t="str">
        <f t="shared" si="42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3"/>
        <v>5</v>
      </c>
    </row>
    <row r="1360" spans="1:8" x14ac:dyDescent="0.2">
      <c r="A1360" t="s">
        <v>7</v>
      </c>
      <c r="B1360" s="34" t="s">
        <v>14</v>
      </c>
      <c r="C1360" t="str">
        <f t="shared" si="42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3"/>
        <v>5</v>
      </c>
    </row>
    <row r="1361" spans="1:8" x14ac:dyDescent="0.2">
      <c r="A1361" t="s">
        <v>7</v>
      </c>
      <c r="B1361" s="34" t="s">
        <v>14</v>
      </c>
      <c r="C1361" t="str">
        <f t="shared" si="42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3"/>
        <v>5</v>
      </c>
    </row>
    <row r="1362" spans="1:8" x14ac:dyDescent="0.2">
      <c r="A1362" t="s">
        <v>7</v>
      </c>
      <c r="B1362" s="34" t="s">
        <v>14</v>
      </c>
      <c r="C1362" t="str">
        <f t="shared" si="42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3"/>
        <v>5</v>
      </c>
    </row>
    <row r="1363" spans="1:8" x14ac:dyDescent="0.2">
      <c r="A1363" t="s">
        <v>7</v>
      </c>
      <c r="B1363" s="34" t="s">
        <v>14</v>
      </c>
      <c r="C1363" t="str">
        <f t="shared" si="42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3"/>
        <v>5</v>
      </c>
    </row>
    <row r="1364" spans="1:8" x14ac:dyDescent="0.2">
      <c r="A1364" t="s">
        <v>7</v>
      </c>
      <c r="B1364" s="34" t="s">
        <v>14</v>
      </c>
      <c r="C1364" t="str">
        <f t="shared" si="42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3"/>
        <v>5</v>
      </c>
    </row>
    <row r="1365" spans="1:8" x14ac:dyDescent="0.2">
      <c r="A1365" t="s">
        <v>7</v>
      </c>
      <c r="B1365" s="34" t="s">
        <v>14</v>
      </c>
      <c r="C1365" t="str">
        <f t="shared" si="42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3"/>
        <v>5</v>
      </c>
    </row>
    <row r="1366" spans="1:8" x14ac:dyDescent="0.2">
      <c r="A1366" t="s">
        <v>7</v>
      </c>
      <c r="B1366" s="34" t="s">
        <v>14</v>
      </c>
      <c r="C1366" t="str">
        <f t="shared" si="42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3"/>
        <v>5</v>
      </c>
    </row>
    <row r="1367" spans="1:8" x14ac:dyDescent="0.2">
      <c r="A1367" t="s">
        <v>7</v>
      </c>
      <c r="B1367" s="34" t="s">
        <v>14</v>
      </c>
      <c r="C1367" t="str">
        <f t="shared" si="42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3"/>
        <v>4</v>
      </c>
    </row>
    <row r="1368" spans="1:8" x14ac:dyDescent="0.2">
      <c r="A1368" t="s">
        <v>7</v>
      </c>
      <c r="B1368" s="34" t="s">
        <v>14</v>
      </c>
      <c r="C1368" t="str">
        <f t="shared" si="42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3"/>
        <v>4</v>
      </c>
    </row>
    <row r="1369" spans="1:8" x14ac:dyDescent="0.2">
      <c r="A1369" t="s">
        <v>7</v>
      </c>
      <c r="B1369" s="34" t="s">
        <v>14</v>
      </c>
      <c r="C1369" t="str">
        <f t="shared" si="42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3"/>
        <v>4</v>
      </c>
    </row>
    <row r="1370" spans="1:8" x14ac:dyDescent="0.2">
      <c r="A1370" t="s">
        <v>7</v>
      </c>
      <c r="B1370" s="34" t="s">
        <v>14</v>
      </c>
      <c r="C1370" t="str">
        <f t="shared" si="42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3"/>
        <v>4</v>
      </c>
    </row>
    <row r="1371" spans="1:8" x14ac:dyDescent="0.2">
      <c r="A1371" t="s">
        <v>7</v>
      </c>
      <c r="B1371" s="34" t="s">
        <v>14</v>
      </c>
      <c r="C1371" t="str">
        <f t="shared" si="42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3"/>
        <v>4</v>
      </c>
    </row>
    <row r="1372" spans="1:8" x14ac:dyDescent="0.2">
      <c r="A1372" t="s">
        <v>7</v>
      </c>
      <c r="B1372" s="34" t="s">
        <v>14</v>
      </c>
      <c r="C1372" t="str">
        <f t="shared" si="42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3"/>
        <v>4</v>
      </c>
    </row>
    <row r="1373" spans="1:8" x14ac:dyDescent="0.2">
      <c r="A1373" t="s">
        <v>7</v>
      </c>
      <c r="B1373" s="34" t="s">
        <v>14</v>
      </c>
      <c r="C1373" t="str">
        <f t="shared" si="42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3"/>
        <v>4</v>
      </c>
    </row>
    <row r="1374" spans="1:8" x14ac:dyDescent="0.2">
      <c r="A1374" t="s">
        <v>7</v>
      </c>
      <c r="B1374" s="34" t="s">
        <v>14</v>
      </c>
      <c r="C1374" t="str">
        <f t="shared" si="42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3"/>
        <v>4</v>
      </c>
    </row>
    <row r="1375" spans="1:8" x14ac:dyDescent="0.2">
      <c r="A1375" t="s">
        <v>7</v>
      </c>
      <c r="B1375" s="34" t="s">
        <v>14</v>
      </c>
      <c r="C1375" t="str">
        <f t="shared" si="42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3"/>
        <v>4</v>
      </c>
    </row>
    <row r="1376" spans="1:8" x14ac:dyDescent="0.2">
      <c r="A1376" t="s">
        <v>7</v>
      </c>
      <c r="B1376" s="34" t="s">
        <v>14</v>
      </c>
      <c r="C1376" t="str">
        <f t="shared" si="42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3"/>
        <v>4</v>
      </c>
    </row>
    <row r="1377" spans="1:8" x14ac:dyDescent="0.2">
      <c r="A1377" t="s">
        <v>7</v>
      </c>
      <c r="B1377" s="34" t="s">
        <v>14</v>
      </c>
      <c r="C1377" t="str">
        <f t="shared" si="42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3"/>
        <v>4</v>
      </c>
    </row>
    <row r="1378" spans="1:8" x14ac:dyDescent="0.2">
      <c r="A1378" t="s">
        <v>7</v>
      </c>
      <c r="B1378" s="34" t="s">
        <v>14</v>
      </c>
      <c r="C1378" t="str">
        <f t="shared" si="42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3"/>
        <v>4</v>
      </c>
    </row>
    <row r="1379" spans="1:8" x14ac:dyDescent="0.2">
      <c r="A1379" t="s">
        <v>7</v>
      </c>
      <c r="B1379" s="34" t="s">
        <v>14</v>
      </c>
      <c r="C1379" t="str">
        <f t="shared" si="42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3"/>
        <v>4</v>
      </c>
    </row>
    <row r="1380" spans="1:8" x14ac:dyDescent="0.2">
      <c r="A1380" t="s">
        <v>7</v>
      </c>
      <c r="B1380" s="34" t="s">
        <v>14</v>
      </c>
      <c r="C1380" t="str">
        <f t="shared" si="42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3"/>
        <v>3</v>
      </c>
    </row>
    <row r="1381" spans="1:8" x14ac:dyDescent="0.2">
      <c r="A1381" t="s">
        <v>7</v>
      </c>
      <c r="B1381" s="34" t="s">
        <v>14</v>
      </c>
      <c r="C1381" t="str">
        <f t="shared" si="42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3"/>
        <v>3</v>
      </c>
    </row>
    <row r="1382" spans="1:8" x14ac:dyDescent="0.2">
      <c r="A1382" t="s">
        <v>7</v>
      </c>
      <c r="B1382" s="34" t="s">
        <v>14</v>
      </c>
      <c r="C1382" t="str">
        <f t="shared" si="42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3"/>
        <v>3</v>
      </c>
    </row>
    <row r="1383" spans="1:8" x14ac:dyDescent="0.2">
      <c r="A1383" t="s">
        <v>7</v>
      </c>
      <c r="B1383" s="34" t="s">
        <v>14</v>
      </c>
      <c r="C1383" t="str">
        <f t="shared" si="42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3"/>
        <v>3</v>
      </c>
    </row>
    <row r="1384" spans="1:8" x14ac:dyDescent="0.2">
      <c r="A1384" t="s">
        <v>7</v>
      </c>
      <c r="B1384" s="34" t="s">
        <v>14</v>
      </c>
      <c r="C1384" t="str">
        <f t="shared" si="42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3"/>
        <v>3</v>
      </c>
    </row>
    <row r="1385" spans="1:8" x14ac:dyDescent="0.2">
      <c r="A1385" t="s">
        <v>7</v>
      </c>
      <c r="B1385" s="34" t="s">
        <v>14</v>
      </c>
      <c r="C1385" t="str">
        <f t="shared" si="42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3"/>
        <v>3</v>
      </c>
    </row>
    <row r="1386" spans="1:8" x14ac:dyDescent="0.2">
      <c r="A1386" t="s">
        <v>7</v>
      </c>
      <c r="B1386" s="34" t="s">
        <v>14</v>
      </c>
      <c r="C1386" t="str">
        <f t="shared" si="42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3"/>
        <v>3</v>
      </c>
    </row>
    <row r="1387" spans="1:8" x14ac:dyDescent="0.2">
      <c r="A1387" t="s">
        <v>7</v>
      </c>
      <c r="B1387" s="34" t="s">
        <v>14</v>
      </c>
      <c r="C1387" t="str">
        <f t="shared" si="42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3"/>
        <v>3</v>
      </c>
    </row>
    <row r="1388" spans="1:8" x14ac:dyDescent="0.2">
      <c r="A1388" t="s">
        <v>7</v>
      </c>
      <c r="B1388" s="34" t="s">
        <v>14</v>
      </c>
      <c r="C1388" t="str">
        <f t="shared" si="42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3"/>
        <v>3</v>
      </c>
    </row>
    <row r="1389" spans="1:8" x14ac:dyDescent="0.2">
      <c r="A1389" t="s">
        <v>7</v>
      </c>
      <c r="B1389" s="34" t="s">
        <v>14</v>
      </c>
      <c r="C1389" t="str">
        <f t="shared" si="42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3"/>
        <v>3</v>
      </c>
    </row>
    <row r="1390" spans="1:8" x14ac:dyDescent="0.2">
      <c r="A1390" t="s">
        <v>7</v>
      </c>
      <c r="B1390" s="34" t="s">
        <v>14</v>
      </c>
      <c r="C1390" t="str">
        <f t="shared" si="42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3"/>
        <v>3</v>
      </c>
    </row>
    <row r="1391" spans="1:8" x14ac:dyDescent="0.2">
      <c r="A1391" t="s">
        <v>7</v>
      </c>
      <c r="B1391" s="34" t="s">
        <v>14</v>
      </c>
      <c r="C1391" t="str">
        <f t="shared" si="42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3"/>
        <v>3</v>
      </c>
    </row>
    <row r="1392" spans="1:8" x14ac:dyDescent="0.2">
      <c r="A1392" t="s">
        <v>7</v>
      </c>
      <c r="B1392" s="34" t="s">
        <v>14</v>
      </c>
      <c r="C1392" t="str">
        <f t="shared" si="42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3"/>
        <v>3</v>
      </c>
    </row>
    <row r="1393" spans="1:8" x14ac:dyDescent="0.2">
      <c r="A1393" t="s">
        <v>7</v>
      </c>
      <c r="B1393" s="34" t="s">
        <v>14</v>
      </c>
      <c r="C1393" t="str">
        <f t="shared" si="42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3"/>
        <v>2</v>
      </c>
    </row>
    <row r="1394" spans="1:8" x14ac:dyDescent="0.2">
      <c r="A1394" t="s">
        <v>7</v>
      </c>
      <c r="B1394" s="34" t="s">
        <v>14</v>
      </c>
      <c r="C1394" t="str">
        <f t="shared" si="42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3"/>
        <v>2</v>
      </c>
    </row>
    <row r="1395" spans="1:8" x14ac:dyDescent="0.2">
      <c r="A1395" t="s">
        <v>7</v>
      </c>
      <c r="B1395" s="34" t="s">
        <v>14</v>
      </c>
      <c r="C1395" t="str">
        <f t="shared" si="42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3"/>
        <v>2</v>
      </c>
    </row>
    <row r="1396" spans="1:8" x14ac:dyDescent="0.2">
      <c r="A1396" t="s">
        <v>7</v>
      </c>
      <c r="B1396" s="34" t="s">
        <v>14</v>
      </c>
      <c r="C1396" t="str">
        <f t="shared" si="42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3"/>
        <v>2</v>
      </c>
    </row>
    <row r="1397" spans="1:8" x14ac:dyDescent="0.2">
      <c r="A1397" t="s">
        <v>7</v>
      </c>
      <c r="B1397" s="34" t="s">
        <v>14</v>
      </c>
      <c r="C1397" t="str">
        <f t="shared" si="42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3"/>
        <v>2</v>
      </c>
    </row>
    <row r="1398" spans="1:8" x14ac:dyDescent="0.2">
      <c r="A1398" t="s">
        <v>7</v>
      </c>
      <c r="B1398" s="34" t="s">
        <v>14</v>
      </c>
      <c r="C1398" t="str">
        <f t="shared" si="42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3"/>
        <v>2</v>
      </c>
    </row>
    <row r="1399" spans="1:8" x14ac:dyDescent="0.2">
      <c r="A1399" t="s">
        <v>7</v>
      </c>
      <c r="B1399" s="34" t="s">
        <v>14</v>
      </c>
      <c r="C1399" t="str">
        <f t="shared" si="42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3"/>
        <v>2</v>
      </c>
    </row>
    <row r="1400" spans="1:8" x14ac:dyDescent="0.2">
      <c r="A1400" t="s">
        <v>7</v>
      </c>
      <c r="B1400" s="34" t="s">
        <v>14</v>
      </c>
      <c r="C1400" t="str">
        <f t="shared" si="42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3"/>
        <v>2</v>
      </c>
    </row>
    <row r="1401" spans="1:8" x14ac:dyDescent="0.2">
      <c r="A1401" t="s">
        <v>7</v>
      </c>
      <c r="B1401" s="34" t="s">
        <v>14</v>
      </c>
      <c r="C1401" t="str">
        <f t="shared" si="42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3"/>
        <v>2</v>
      </c>
    </row>
    <row r="1402" spans="1:8" x14ac:dyDescent="0.2">
      <c r="A1402" t="s">
        <v>7</v>
      </c>
      <c r="B1402" s="34" t="s">
        <v>14</v>
      </c>
      <c r="C1402" t="str">
        <f t="shared" si="42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3"/>
        <v>2</v>
      </c>
    </row>
    <row r="1403" spans="1:8" x14ac:dyDescent="0.2">
      <c r="A1403" t="s">
        <v>7</v>
      </c>
      <c r="B1403" s="34" t="s">
        <v>14</v>
      </c>
      <c r="C1403" t="str">
        <f t="shared" si="42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3"/>
        <v>2</v>
      </c>
    </row>
    <row r="1404" spans="1:8" x14ac:dyDescent="0.2">
      <c r="A1404" t="s">
        <v>7</v>
      </c>
      <c r="B1404" s="34" t="s">
        <v>14</v>
      </c>
      <c r="C1404" t="str">
        <f t="shared" si="42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3"/>
        <v>2</v>
      </c>
    </row>
    <row r="1405" spans="1:8" x14ac:dyDescent="0.2">
      <c r="A1405" t="s">
        <v>7</v>
      </c>
      <c r="B1405" s="34" t="s">
        <v>14</v>
      </c>
      <c r="C1405" t="str">
        <f t="shared" si="42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3"/>
        <v>2</v>
      </c>
    </row>
    <row r="1406" spans="1:8" x14ac:dyDescent="0.2">
      <c r="A1406" t="s">
        <v>7</v>
      </c>
      <c r="B1406" s="34" t="s">
        <v>14</v>
      </c>
      <c r="C1406" t="str">
        <f t="shared" si="42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3"/>
        <v>2</v>
      </c>
    </row>
    <row r="1407" spans="1:8" x14ac:dyDescent="0.2">
      <c r="A1407" t="s">
        <v>7</v>
      </c>
      <c r="B1407" s="34" t="s">
        <v>14</v>
      </c>
      <c r="C1407" t="str">
        <f t="shared" si="42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3"/>
        <v>2</v>
      </c>
    </row>
    <row r="1408" spans="1:8" x14ac:dyDescent="0.2">
      <c r="A1408" t="s">
        <v>7</v>
      </c>
      <c r="B1408" s="34" t="s">
        <v>14</v>
      </c>
      <c r="C1408" t="str">
        <f t="shared" si="42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3"/>
        <v>2</v>
      </c>
    </row>
    <row r="1409" spans="1:8" x14ac:dyDescent="0.2">
      <c r="A1409" t="s">
        <v>7</v>
      </c>
      <c r="B1409" s="34" t="s">
        <v>14</v>
      </c>
      <c r="C1409" t="str">
        <f t="shared" si="42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3"/>
        <v>2</v>
      </c>
    </row>
    <row r="1410" spans="1:8" x14ac:dyDescent="0.2">
      <c r="A1410" t="s">
        <v>7</v>
      </c>
      <c r="B1410" s="34" t="s">
        <v>14</v>
      </c>
      <c r="C1410" t="str">
        <f t="shared" si="42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3"/>
        <v>2</v>
      </c>
    </row>
    <row r="1411" spans="1:8" x14ac:dyDescent="0.2">
      <c r="A1411" t="s">
        <v>7</v>
      </c>
      <c r="B1411" s="34" t="s">
        <v>14</v>
      </c>
      <c r="C1411" t="str">
        <f t="shared" si="42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ref="H1411:H1474" si="45">F1411-G1411</f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6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5"/>
        <v>2</v>
      </c>
    </row>
    <row r="1413" spans="1:8" x14ac:dyDescent="0.2">
      <c r="A1413" t="s">
        <v>7</v>
      </c>
      <c r="B1413" s="34" t="s">
        <v>14</v>
      </c>
      <c r="C1413" t="str">
        <f t="shared" si="46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5"/>
        <v>2</v>
      </c>
    </row>
    <row r="1414" spans="1:8" x14ac:dyDescent="0.2">
      <c r="A1414" t="s">
        <v>7</v>
      </c>
      <c r="B1414" s="34" t="s">
        <v>14</v>
      </c>
      <c r="C1414" t="str">
        <f t="shared" si="46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5"/>
        <v>2</v>
      </c>
    </row>
    <row r="1415" spans="1:8" x14ac:dyDescent="0.2">
      <c r="A1415" t="s">
        <v>7</v>
      </c>
      <c r="B1415" s="34" t="s">
        <v>14</v>
      </c>
      <c r="C1415" t="str">
        <f t="shared" si="46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5"/>
        <v>2</v>
      </c>
    </row>
    <row r="1416" spans="1:8" x14ac:dyDescent="0.2">
      <c r="A1416" t="s">
        <v>7</v>
      </c>
      <c r="B1416" s="34" t="s">
        <v>14</v>
      </c>
      <c r="C1416" t="str">
        <f t="shared" si="46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si="45"/>
        <v>1</v>
      </c>
    </row>
    <row r="1417" spans="1:8" x14ac:dyDescent="0.2">
      <c r="A1417" t="s">
        <v>7</v>
      </c>
      <c r="B1417" s="34" t="s">
        <v>14</v>
      </c>
      <c r="C1417" t="str">
        <f t="shared" si="46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5"/>
        <v>1</v>
      </c>
    </row>
    <row r="1418" spans="1:8" x14ac:dyDescent="0.2">
      <c r="A1418" t="s">
        <v>7</v>
      </c>
      <c r="B1418" s="34" t="s">
        <v>14</v>
      </c>
      <c r="C1418" t="str">
        <f t="shared" si="46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5"/>
        <v>1</v>
      </c>
    </row>
    <row r="1419" spans="1:8" x14ac:dyDescent="0.2">
      <c r="A1419" t="s">
        <v>7</v>
      </c>
      <c r="B1419" s="34" t="s">
        <v>14</v>
      </c>
      <c r="C1419" t="str">
        <f t="shared" si="46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5"/>
        <v>1</v>
      </c>
    </row>
    <row r="1420" spans="1:8" x14ac:dyDescent="0.2">
      <c r="A1420" t="s">
        <v>7</v>
      </c>
      <c r="B1420" s="34" t="s">
        <v>14</v>
      </c>
      <c r="C1420" t="str">
        <f t="shared" si="46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5"/>
        <v>1</v>
      </c>
    </row>
    <row r="1421" spans="1:8" x14ac:dyDescent="0.2">
      <c r="A1421" t="s">
        <v>7</v>
      </c>
      <c r="B1421" s="34" t="s">
        <v>14</v>
      </c>
      <c r="C1421" t="str">
        <f t="shared" si="46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5"/>
        <v>1</v>
      </c>
    </row>
    <row r="1422" spans="1:8" x14ac:dyDescent="0.2">
      <c r="A1422" t="s">
        <v>7</v>
      </c>
      <c r="B1422" s="34" t="s">
        <v>14</v>
      </c>
      <c r="C1422" t="str">
        <f t="shared" si="46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5"/>
        <v>1</v>
      </c>
    </row>
    <row r="1423" spans="1:8" x14ac:dyDescent="0.2">
      <c r="A1423" t="s">
        <v>7</v>
      </c>
      <c r="B1423" s="34" t="s">
        <v>14</v>
      </c>
      <c r="C1423" t="str">
        <f t="shared" si="46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5"/>
        <v>1</v>
      </c>
    </row>
    <row r="1424" spans="1:8" x14ac:dyDescent="0.2">
      <c r="A1424" t="s">
        <v>7</v>
      </c>
      <c r="B1424" s="34" t="s">
        <v>14</v>
      </c>
      <c r="C1424" t="str">
        <f t="shared" si="46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5"/>
        <v>1</v>
      </c>
    </row>
    <row r="1425" spans="1:8" x14ac:dyDescent="0.2">
      <c r="A1425" t="s">
        <v>7</v>
      </c>
      <c r="B1425" s="34" t="s">
        <v>14</v>
      </c>
      <c r="C1425" t="str">
        <f t="shared" si="46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5"/>
        <v>1</v>
      </c>
    </row>
    <row r="1426" spans="1:8" x14ac:dyDescent="0.2">
      <c r="A1426" t="s">
        <v>7</v>
      </c>
      <c r="B1426" s="34" t="s">
        <v>14</v>
      </c>
      <c r="C1426" t="str">
        <f t="shared" si="46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5"/>
        <v>1</v>
      </c>
    </row>
    <row r="1427" spans="1:8" x14ac:dyDescent="0.2">
      <c r="A1427" t="s">
        <v>7</v>
      </c>
      <c r="B1427" s="34" t="s">
        <v>14</v>
      </c>
      <c r="C1427" t="str">
        <f t="shared" si="46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5"/>
        <v>1</v>
      </c>
    </row>
    <row r="1428" spans="1:8" x14ac:dyDescent="0.2">
      <c r="A1428" t="s">
        <v>7</v>
      </c>
      <c r="B1428" s="34" t="s">
        <v>14</v>
      </c>
      <c r="C1428" t="str">
        <f t="shared" si="46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5"/>
        <v>1</v>
      </c>
    </row>
    <row r="1429" spans="1:8" x14ac:dyDescent="0.2">
      <c r="A1429" t="s">
        <v>7</v>
      </c>
      <c r="B1429" s="34" t="s">
        <v>14</v>
      </c>
      <c r="C1429" t="str">
        <f t="shared" si="46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5"/>
        <v>1</v>
      </c>
    </row>
    <row r="1430" spans="1:8" x14ac:dyDescent="0.2">
      <c r="A1430" t="s">
        <v>7</v>
      </c>
      <c r="B1430" s="34" t="s">
        <v>14</v>
      </c>
      <c r="C1430" t="str">
        <f t="shared" si="46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5"/>
        <v>1</v>
      </c>
    </row>
    <row r="1431" spans="1:8" x14ac:dyDescent="0.2">
      <c r="A1431" t="s">
        <v>7</v>
      </c>
      <c r="B1431" s="34" t="s">
        <v>14</v>
      </c>
      <c r="C1431" t="str">
        <f t="shared" si="46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5"/>
        <v>1</v>
      </c>
    </row>
    <row r="1432" spans="1:8" x14ac:dyDescent="0.2">
      <c r="A1432" t="s">
        <v>7</v>
      </c>
      <c r="B1432" s="34" t="s">
        <v>14</v>
      </c>
      <c r="C1432" t="str">
        <f t="shared" si="46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5"/>
        <v>1</v>
      </c>
    </row>
    <row r="1433" spans="1:8" x14ac:dyDescent="0.2">
      <c r="A1433" t="s">
        <v>7</v>
      </c>
      <c r="B1433" s="34" t="s">
        <v>14</v>
      </c>
      <c r="C1433" t="str">
        <f t="shared" si="46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5"/>
        <v>1</v>
      </c>
    </row>
    <row r="1434" spans="1:8" x14ac:dyDescent="0.2">
      <c r="A1434" t="s">
        <v>7</v>
      </c>
      <c r="B1434" s="34" t="s">
        <v>14</v>
      </c>
      <c r="C1434" t="str">
        <f t="shared" si="46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5"/>
        <v>1</v>
      </c>
    </row>
    <row r="1435" spans="1:8" x14ac:dyDescent="0.2">
      <c r="A1435" t="s">
        <v>7</v>
      </c>
      <c r="B1435" s="34" t="s">
        <v>14</v>
      </c>
      <c r="C1435" t="str">
        <f t="shared" si="46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5"/>
        <v>1</v>
      </c>
    </row>
    <row r="1436" spans="1:8" x14ac:dyDescent="0.2">
      <c r="A1436" t="s">
        <v>7</v>
      </c>
      <c r="B1436" s="34" t="s">
        <v>14</v>
      </c>
      <c r="C1436" t="str">
        <f t="shared" si="46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5"/>
        <v>1</v>
      </c>
    </row>
    <row r="1437" spans="1:8" x14ac:dyDescent="0.2">
      <c r="A1437" t="s">
        <v>7</v>
      </c>
      <c r="B1437" s="34" t="s">
        <v>14</v>
      </c>
      <c r="C1437" t="str">
        <f t="shared" si="46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5"/>
        <v>1</v>
      </c>
    </row>
    <row r="1438" spans="1:8" x14ac:dyDescent="0.2">
      <c r="A1438" t="s">
        <v>7</v>
      </c>
      <c r="B1438" s="34" t="s">
        <v>14</v>
      </c>
      <c r="C1438" t="str">
        <f t="shared" si="46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5"/>
        <v>1</v>
      </c>
    </row>
    <row r="1439" spans="1:8" x14ac:dyDescent="0.2">
      <c r="A1439" t="s">
        <v>7</v>
      </c>
      <c r="B1439" s="34" t="s">
        <v>14</v>
      </c>
      <c r="C1439" t="str">
        <f t="shared" si="46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5"/>
        <v>1</v>
      </c>
    </row>
    <row r="1440" spans="1:8" x14ac:dyDescent="0.2">
      <c r="A1440" t="s">
        <v>7</v>
      </c>
      <c r="B1440" s="34" t="s">
        <v>14</v>
      </c>
      <c r="C1440" t="str">
        <f t="shared" si="46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5"/>
        <v>1</v>
      </c>
    </row>
    <row r="1441" spans="1:8" x14ac:dyDescent="0.2">
      <c r="A1441" t="s">
        <v>7</v>
      </c>
      <c r="B1441" s="34" t="s">
        <v>14</v>
      </c>
      <c r="C1441" t="str">
        <f t="shared" si="46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5"/>
        <v>0</v>
      </c>
    </row>
    <row r="1442" spans="1:8" x14ac:dyDescent="0.2">
      <c r="A1442" t="s">
        <v>7</v>
      </c>
      <c r="B1442" s="34" t="s">
        <v>14</v>
      </c>
      <c r="C1442" t="str">
        <f t="shared" si="46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5"/>
        <v>0</v>
      </c>
    </row>
    <row r="1443" spans="1:8" x14ac:dyDescent="0.2">
      <c r="A1443" t="s">
        <v>7</v>
      </c>
      <c r="B1443" s="34" t="s">
        <v>14</v>
      </c>
      <c r="C1443" t="str">
        <f t="shared" si="46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5"/>
        <v>0</v>
      </c>
    </row>
    <row r="1444" spans="1:8" x14ac:dyDescent="0.2">
      <c r="A1444" t="s">
        <v>7</v>
      </c>
      <c r="B1444" s="34" t="s">
        <v>14</v>
      </c>
      <c r="C1444" t="str">
        <f t="shared" si="46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5"/>
        <v>0</v>
      </c>
    </row>
    <row r="1445" spans="1:8" x14ac:dyDescent="0.2">
      <c r="A1445" t="s">
        <v>7</v>
      </c>
      <c r="B1445" s="34" t="s">
        <v>14</v>
      </c>
      <c r="C1445" t="str">
        <f t="shared" si="46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5"/>
        <v>0</v>
      </c>
    </row>
    <row r="1446" spans="1:8" x14ac:dyDescent="0.2">
      <c r="A1446" t="s">
        <v>7</v>
      </c>
      <c r="B1446" s="34" t="s">
        <v>14</v>
      </c>
      <c r="C1446" t="str">
        <f t="shared" si="46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5"/>
        <v>0</v>
      </c>
    </row>
    <row r="1447" spans="1:8" x14ac:dyDescent="0.2">
      <c r="A1447" t="s">
        <v>7</v>
      </c>
      <c r="B1447" s="34" t="s">
        <v>14</v>
      </c>
      <c r="C1447" t="str">
        <f t="shared" si="46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5"/>
        <v>0</v>
      </c>
    </row>
    <row r="1448" spans="1:8" x14ac:dyDescent="0.2">
      <c r="A1448" t="s">
        <v>7</v>
      </c>
      <c r="B1448" s="34" t="s">
        <v>14</v>
      </c>
      <c r="C1448" t="str">
        <f t="shared" si="46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5"/>
        <v>0</v>
      </c>
    </row>
    <row r="1449" spans="1:8" x14ac:dyDescent="0.2">
      <c r="A1449" t="s">
        <v>7</v>
      </c>
      <c r="B1449" s="34" t="s">
        <v>14</v>
      </c>
      <c r="C1449" t="str">
        <f t="shared" si="46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5"/>
        <v>0</v>
      </c>
    </row>
    <row r="1450" spans="1:8" x14ac:dyDescent="0.2">
      <c r="A1450" t="s">
        <v>7</v>
      </c>
      <c r="B1450" s="34" t="s">
        <v>14</v>
      </c>
      <c r="C1450" t="str">
        <f t="shared" si="46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5"/>
        <v>0</v>
      </c>
    </row>
    <row r="1451" spans="1:8" x14ac:dyDescent="0.2">
      <c r="A1451" t="s">
        <v>7</v>
      </c>
      <c r="B1451" s="34" t="s">
        <v>14</v>
      </c>
      <c r="C1451" t="str">
        <f t="shared" si="46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5"/>
        <v>0</v>
      </c>
    </row>
    <row r="1452" spans="1:8" x14ac:dyDescent="0.2">
      <c r="A1452" t="s">
        <v>7</v>
      </c>
      <c r="B1452" s="34" t="s">
        <v>14</v>
      </c>
      <c r="C1452" t="str">
        <f t="shared" si="46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5"/>
        <v>0</v>
      </c>
    </row>
    <row r="1453" spans="1:8" x14ac:dyDescent="0.2">
      <c r="A1453" t="s">
        <v>7</v>
      </c>
      <c r="B1453" s="34" t="s">
        <v>14</v>
      </c>
      <c r="C1453" t="str">
        <f t="shared" si="46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5"/>
        <v>0</v>
      </c>
    </row>
    <row r="1454" spans="1:8" x14ac:dyDescent="0.2">
      <c r="A1454" t="s">
        <v>7</v>
      </c>
      <c r="B1454" s="34" t="s">
        <v>14</v>
      </c>
      <c r="C1454" t="str">
        <f t="shared" si="46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5"/>
        <v>0</v>
      </c>
    </row>
    <row r="1455" spans="1:8" x14ac:dyDescent="0.2">
      <c r="A1455" t="s">
        <v>7</v>
      </c>
      <c r="B1455" s="34" t="s">
        <v>14</v>
      </c>
      <c r="C1455" t="str">
        <f t="shared" si="46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5"/>
        <v>0</v>
      </c>
    </row>
    <row r="1456" spans="1:8" x14ac:dyDescent="0.2">
      <c r="A1456" t="s">
        <v>7</v>
      </c>
      <c r="B1456" s="34" t="s">
        <v>14</v>
      </c>
      <c r="C1456" t="str">
        <f t="shared" si="46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5"/>
        <v>0</v>
      </c>
    </row>
    <row r="1457" spans="1:8" x14ac:dyDescent="0.2">
      <c r="A1457" t="s">
        <v>7</v>
      </c>
      <c r="B1457" s="34" t="s">
        <v>14</v>
      </c>
      <c r="C1457" t="str">
        <f t="shared" si="46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5"/>
        <v>0</v>
      </c>
    </row>
    <row r="1458" spans="1:8" x14ac:dyDescent="0.2">
      <c r="A1458" t="s">
        <v>7</v>
      </c>
      <c r="B1458" s="34" t="s">
        <v>14</v>
      </c>
      <c r="C1458" t="str">
        <f t="shared" si="46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5"/>
        <v>0</v>
      </c>
    </row>
    <row r="1459" spans="1:8" x14ac:dyDescent="0.2">
      <c r="A1459" t="s">
        <v>7</v>
      </c>
      <c r="B1459" s="34" t="s">
        <v>14</v>
      </c>
      <c r="C1459" t="str">
        <f t="shared" si="46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5"/>
        <v>0</v>
      </c>
    </row>
    <row r="1460" spans="1:8" x14ac:dyDescent="0.2">
      <c r="A1460" t="s">
        <v>7</v>
      </c>
      <c r="B1460" s="34" t="s">
        <v>14</v>
      </c>
      <c r="C1460" t="str">
        <f t="shared" si="46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5"/>
        <v>0</v>
      </c>
    </row>
    <row r="1461" spans="1:8" x14ac:dyDescent="0.2">
      <c r="A1461" t="s">
        <v>7</v>
      </c>
      <c r="B1461" s="34" t="s">
        <v>14</v>
      </c>
      <c r="C1461" t="str">
        <f t="shared" si="46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5"/>
        <v>0</v>
      </c>
    </row>
    <row r="1462" spans="1:8" x14ac:dyDescent="0.2">
      <c r="A1462" t="s">
        <v>7</v>
      </c>
      <c r="B1462" s="34" t="s">
        <v>14</v>
      </c>
      <c r="C1462" t="str">
        <f t="shared" si="46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5"/>
        <v>0</v>
      </c>
    </row>
    <row r="1463" spans="1:8" x14ac:dyDescent="0.2">
      <c r="A1463" t="s">
        <v>7</v>
      </c>
      <c r="B1463" s="34" t="s">
        <v>14</v>
      </c>
      <c r="C1463" t="str">
        <f t="shared" si="46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5"/>
        <v>0</v>
      </c>
    </row>
    <row r="1464" spans="1:8" x14ac:dyDescent="0.2">
      <c r="A1464" t="s">
        <v>7</v>
      </c>
      <c r="B1464" s="34" t="s">
        <v>14</v>
      </c>
      <c r="C1464" t="str">
        <f t="shared" si="46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5"/>
        <v>0</v>
      </c>
    </row>
    <row r="1465" spans="1:8" x14ac:dyDescent="0.2">
      <c r="A1465" t="s">
        <v>7</v>
      </c>
      <c r="B1465" s="34" t="s">
        <v>14</v>
      </c>
      <c r="C1465" t="str">
        <f t="shared" si="46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5"/>
        <v>0</v>
      </c>
    </row>
    <row r="1466" spans="1:8" x14ac:dyDescent="0.2">
      <c r="A1466" t="s">
        <v>7</v>
      </c>
      <c r="B1466" s="34" t="s">
        <v>14</v>
      </c>
      <c r="C1466" t="str">
        <f t="shared" si="46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5"/>
        <v>0</v>
      </c>
    </row>
    <row r="1467" spans="1:8" x14ac:dyDescent="0.2">
      <c r="A1467" t="s">
        <v>7</v>
      </c>
      <c r="B1467" s="34" t="s">
        <v>14</v>
      </c>
      <c r="C1467" t="str">
        <f t="shared" si="46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5"/>
        <v>0</v>
      </c>
    </row>
    <row r="1468" spans="1:8" x14ac:dyDescent="0.2">
      <c r="A1468" t="s">
        <v>7</v>
      </c>
      <c r="B1468" s="34" t="s">
        <v>14</v>
      </c>
      <c r="C1468" t="str">
        <f t="shared" si="46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5"/>
        <v>0</v>
      </c>
    </row>
    <row r="1469" spans="1:8" x14ac:dyDescent="0.2">
      <c r="A1469" t="s">
        <v>7</v>
      </c>
      <c r="B1469" s="34" t="s">
        <v>14</v>
      </c>
      <c r="C1469" t="str">
        <f t="shared" si="46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5"/>
        <v>0</v>
      </c>
    </row>
    <row r="1470" spans="1:8" x14ac:dyDescent="0.2">
      <c r="A1470" t="s">
        <v>7</v>
      </c>
      <c r="B1470" s="34" t="s">
        <v>14</v>
      </c>
      <c r="C1470" t="str">
        <f t="shared" si="46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5"/>
        <v>0</v>
      </c>
    </row>
    <row r="1471" spans="1:8" x14ac:dyDescent="0.2">
      <c r="A1471" t="s">
        <v>7</v>
      </c>
      <c r="B1471" s="34" t="s">
        <v>14</v>
      </c>
      <c r="C1471" t="str">
        <f t="shared" si="46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5"/>
        <v>0</v>
      </c>
    </row>
    <row r="1472" spans="1:8" x14ac:dyDescent="0.2">
      <c r="A1472" t="s">
        <v>7</v>
      </c>
      <c r="B1472" s="34" t="s">
        <v>14</v>
      </c>
      <c r="C1472" t="str">
        <f t="shared" si="46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5"/>
        <v>0</v>
      </c>
    </row>
    <row r="1473" spans="1:8" x14ac:dyDescent="0.2">
      <c r="A1473" t="s">
        <v>7</v>
      </c>
      <c r="B1473" s="34" t="s">
        <v>14</v>
      </c>
      <c r="C1473" t="str">
        <f t="shared" si="46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5"/>
        <v>0</v>
      </c>
    </row>
    <row r="1474" spans="1:8" x14ac:dyDescent="0.2">
      <c r="A1474" t="s">
        <v>7</v>
      </c>
      <c r="B1474" s="34" t="s">
        <v>14</v>
      </c>
      <c r="C1474" t="str">
        <f t="shared" si="46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5"/>
        <v>0</v>
      </c>
    </row>
    <row r="1475" spans="1:8" x14ac:dyDescent="0.2">
      <c r="A1475" t="s">
        <v>7</v>
      </c>
      <c r="B1475" s="34" t="s">
        <v>14</v>
      </c>
      <c r="C1475" t="str">
        <f t="shared" si="46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ref="H1475:H1538" si="47">F1475-G1475</f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8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7"/>
        <v>0</v>
      </c>
    </row>
    <row r="1477" spans="1:8" x14ac:dyDescent="0.2">
      <c r="A1477" t="s">
        <v>7</v>
      </c>
      <c r="B1477" s="34" t="s">
        <v>14</v>
      </c>
      <c r="C1477" t="str">
        <f t="shared" si="48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7"/>
        <v>0</v>
      </c>
    </row>
    <row r="1478" spans="1:8" x14ac:dyDescent="0.2">
      <c r="A1478" t="s">
        <v>7</v>
      </c>
      <c r="B1478" s="34" t="s">
        <v>14</v>
      </c>
      <c r="C1478" t="str">
        <f t="shared" si="48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7"/>
        <v>0</v>
      </c>
    </row>
    <row r="1479" spans="1:8" x14ac:dyDescent="0.2">
      <c r="A1479" t="s">
        <v>7</v>
      </c>
      <c r="B1479" s="34" t="s">
        <v>14</v>
      </c>
      <c r="C1479" t="str">
        <f t="shared" si="48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7"/>
        <v>0</v>
      </c>
    </row>
    <row r="1480" spans="1:8" x14ac:dyDescent="0.2">
      <c r="A1480" t="s">
        <v>7</v>
      </c>
      <c r="B1480" s="34" t="s">
        <v>14</v>
      </c>
      <c r="C1480" t="str">
        <f t="shared" si="48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si="47"/>
        <v>0</v>
      </c>
    </row>
    <row r="1481" spans="1:8" x14ac:dyDescent="0.2">
      <c r="A1481" t="s">
        <v>7</v>
      </c>
      <c r="B1481" s="34" t="s">
        <v>14</v>
      </c>
      <c r="C1481" t="str">
        <f t="shared" si="48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47"/>
        <v>0</v>
      </c>
    </row>
    <row r="1482" spans="1:8" x14ac:dyDescent="0.2">
      <c r="A1482" t="s">
        <v>7</v>
      </c>
      <c r="B1482" s="34" t="s">
        <v>14</v>
      </c>
      <c r="C1482" t="str">
        <f t="shared" si="48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47"/>
        <v>-1</v>
      </c>
    </row>
    <row r="1483" spans="1:8" x14ac:dyDescent="0.2">
      <c r="A1483" t="s">
        <v>7</v>
      </c>
      <c r="B1483" s="34" t="s">
        <v>14</v>
      </c>
      <c r="C1483" t="str">
        <f t="shared" si="48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47"/>
        <v>-1</v>
      </c>
    </row>
    <row r="1484" spans="1:8" x14ac:dyDescent="0.2">
      <c r="A1484" t="s">
        <v>7</v>
      </c>
      <c r="B1484" s="34" t="s">
        <v>14</v>
      </c>
      <c r="C1484" t="str">
        <f t="shared" si="48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47"/>
        <v>0</v>
      </c>
    </row>
    <row r="1485" spans="1:8" x14ac:dyDescent="0.2">
      <c r="A1485" t="s">
        <v>7</v>
      </c>
      <c r="B1485" s="34" t="s">
        <v>14</v>
      </c>
      <c r="C1485" t="str">
        <f t="shared" si="48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47"/>
        <v>0</v>
      </c>
    </row>
    <row r="1486" spans="1:8" x14ac:dyDescent="0.2">
      <c r="A1486" t="s">
        <v>7</v>
      </c>
      <c r="B1486" s="34" t="s">
        <v>14</v>
      </c>
      <c r="C1486" t="str">
        <f t="shared" si="48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47"/>
        <v>0</v>
      </c>
    </row>
    <row r="1487" spans="1:8" x14ac:dyDescent="0.2">
      <c r="A1487" t="s">
        <v>7</v>
      </c>
      <c r="B1487" s="34" t="s">
        <v>14</v>
      </c>
      <c r="C1487" t="str">
        <f t="shared" si="48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47"/>
        <v>0</v>
      </c>
    </row>
    <row r="1488" spans="1:8" x14ac:dyDescent="0.2">
      <c r="A1488" t="s">
        <v>7</v>
      </c>
      <c r="B1488" s="34" t="s">
        <v>14</v>
      </c>
      <c r="C1488" t="str">
        <f t="shared" si="48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47"/>
        <v>0</v>
      </c>
    </row>
    <row r="1489" spans="1:8" x14ac:dyDescent="0.2">
      <c r="A1489" t="s">
        <v>7</v>
      </c>
      <c r="B1489" s="34" t="s">
        <v>14</v>
      </c>
      <c r="C1489" t="str">
        <f t="shared" si="48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47"/>
        <v>-1</v>
      </c>
    </row>
    <row r="1490" spans="1:8" x14ac:dyDescent="0.2">
      <c r="A1490" t="s">
        <v>7</v>
      </c>
      <c r="B1490" s="34" t="s">
        <v>14</v>
      </c>
      <c r="C1490" t="str">
        <f t="shared" si="48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47"/>
        <v>0</v>
      </c>
    </row>
    <row r="1491" spans="1:8" x14ac:dyDescent="0.2">
      <c r="A1491" t="s">
        <v>7</v>
      </c>
      <c r="B1491" s="34" t="s">
        <v>14</v>
      </c>
      <c r="C1491" t="str">
        <f t="shared" si="48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47"/>
        <v>-1</v>
      </c>
    </row>
    <row r="1492" spans="1:8" x14ac:dyDescent="0.2">
      <c r="A1492" t="s">
        <v>7</v>
      </c>
      <c r="B1492" s="34" t="s">
        <v>14</v>
      </c>
      <c r="C1492" t="str">
        <f t="shared" si="48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47"/>
        <v>0</v>
      </c>
    </row>
    <row r="1493" spans="1:8" x14ac:dyDescent="0.2">
      <c r="A1493" t="s">
        <v>7</v>
      </c>
      <c r="B1493" s="34" t="s">
        <v>14</v>
      </c>
      <c r="C1493" t="str">
        <f t="shared" si="48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47"/>
        <v>0</v>
      </c>
    </row>
    <row r="1494" spans="1:8" x14ac:dyDescent="0.2">
      <c r="A1494" t="s">
        <v>7</v>
      </c>
      <c r="B1494" s="34" t="s">
        <v>14</v>
      </c>
      <c r="C1494" t="str">
        <f t="shared" si="48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47"/>
        <v>0</v>
      </c>
    </row>
    <row r="1495" spans="1:8" x14ac:dyDescent="0.2">
      <c r="A1495" t="s">
        <v>7</v>
      </c>
      <c r="B1495" s="34" t="s">
        <v>14</v>
      </c>
      <c r="C1495" t="str">
        <f t="shared" si="48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47"/>
        <v>0</v>
      </c>
    </row>
    <row r="1496" spans="1:8" x14ac:dyDescent="0.2">
      <c r="A1496" t="s">
        <v>7</v>
      </c>
      <c r="B1496" s="34" t="s">
        <v>14</v>
      </c>
      <c r="C1496" t="str">
        <f t="shared" si="48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47"/>
        <v>0</v>
      </c>
    </row>
    <row r="1497" spans="1:8" x14ac:dyDescent="0.2">
      <c r="A1497" t="s">
        <v>7</v>
      </c>
      <c r="B1497" s="34" t="s">
        <v>14</v>
      </c>
      <c r="C1497" t="str">
        <f t="shared" si="48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47"/>
        <v>-1</v>
      </c>
    </row>
    <row r="1498" spans="1:8" x14ac:dyDescent="0.2">
      <c r="A1498" t="s">
        <v>7</v>
      </c>
      <c r="B1498" s="34" t="s">
        <v>14</v>
      </c>
      <c r="C1498" t="str">
        <f t="shared" si="48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47"/>
        <v>0</v>
      </c>
    </row>
    <row r="1499" spans="1:8" x14ac:dyDescent="0.2">
      <c r="A1499" t="s">
        <v>7</v>
      </c>
      <c r="B1499" s="34" t="s">
        <v>14</v>
      </c>
      <c r="C1499" t="str">
        <f t="shared" si="48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47"/>
        <v>0</v>
      </c>
    </row>
    <row r="1500" spans="1:8" x14ac:dyDescent="0.2">
      <c r="A1500" t="s">
        <v>7</v>
      </c>
      <c r="B1500" s="34" t="s">
        <v>14</v>
      </c>
      <c r="C1500" t="str">
        <f t="shared" si="48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47"/>
        <v>0</v>
      </c>
    </row>
    <row r="1501" spans="1:8" x14ac:dyDescent="0.2">
      <c r="A1501" t="s">
        <v>7</v>
      </c>
      <c r="B1501" s="34" t="s">
        <v>14</v>
      </c>
      <c r="C1501" t="str">
        <f t="shared" si="48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47"/>
        <v>0</v>
      </c>
    </row>
    <row r="1502" spans="1:8" x14ac:dyDescent="0.2">
      <c r="A1502" t="s">
        <v>7</v>
      </c>
      <c r="B1502" s="34" t="s">
        <v>14</v>
      </c>
      <c r="C1502" t="str">
        <f t="shared" si="48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47"/>
        <v>0</v>
      </c>
    </row>
    <row r="1503" spans="1:8" x14ac:dyDescent="0.2">
      <c r="A1503" t="s">
        <v>7</v>
      </c>
      <c r="B1503" s="34" t="s">
        <v>14</v>
      </c>
      <c r="C1503" t="str">
        <f t="shared" si="48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47"/>
        <v>0</v>
      </c>
    </row>
    <row r="1504" spans="1:8" x14ac:dyDescent="0.2">
      <c r="A1504" t="s">
        <v>7</v>
      </c>
      <c r="B1504" s="34" t="s">
        <v>14</v>
      </c>
      <c r="C1504" t="str">
        <f t="shared" si="48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47"/>
        <v>0</v>
      </c>
    </row>
    <row r="1505" spans="1:8" x14ac:dyDescent="0.2">
      <c r="A1505" t="s">
        <v>7</v>
      </c>
      <c r="B1505" s="34" t="s">
        <v>14</v>
      </c>
      <c r="C1505" t="str">
        <f t="shared" si="48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47"/>
        <v>0</v>
      </c>
    </row>
    <row r="1506" spans="1:8" x14ac:dyDescent="0.2">
      <c r="A1506" t="s">
        <v>7</v>
      </c>
      <c r="B1506" s="34" t="s">
        <v>14</v>
      </c>
      <c r="C1506" t="str">
        <f t="shared" si="48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47"/>
        <v>0</v>
      </c>
    </row>
    <row r="1507" spans="1:8" x14ac:dyDescent="0.2">
      <c r="A1507" t="s">
        <v>7</v>
      </c>
      <c r="B1507" s="34" t="s">
        <v>14</v>
      </c>
      <c r="C1507" t="str">
        <f t="shared" si="48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47"/>
        <v>0</v>
      </c>
    </row>
    <row r="1508" spans="1:8" x14ac:dyDescent="0.2">
      <c r="A1508" t="s">
        <v>7</v>
      </c>
      <c r="B1508" s="34" t="s">
        <v>14</v>
      </c>
      <c r="C1508" t="str">
        <f t="shared" si="48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47"/>
        <v>0</v>
      </c>
    </row>
    <row r="1509" spans="1:8" x14ac:dyDescent="0.2">
      <c r="A1509" t="s">
        <v>7</v>
      </c>
      <c r="B1509" s="34" t="s">
        <v>14</v>
      </c>
      <c r="C1509" t="str">
        <f t="shared" si="48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47"/>
        <v>0</v>
      </c>
    </row>
    <row r="1510" spans="1:8" x14ac:dyDescent="0.2">
      <c r="A1510" t="s">
        <v>7</v>
      </c>
      <c r="B1510" s="34" t="s">
        <v>14</v>
      </c>
      <c r="C1510" t="str">
        <f t="shared" si="48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47"/>
        <v>0</v>
      </c>
    </row>
    <row r="1511" spans="1:8" x14ac:dyDescent="0.2">
      <c r="A1511" t="s">
        <v>7</v>
      </c>
      <c r="B1511" s="34" t="s">
        <v>14</v>
      </c>
      <c r="C1511" t="str">
        <f t="shared" si="48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47"/>
        <v>0</v>
      </c>
    </row>
    <row r="1512" spans="1:8" x14ac:dyDescent="0.2">
      <c r="A1512" t="s">
        <v>7</v>
      </c>
      <c r="B1512" s="34" t="s">
        <v>14</v>
      </c>
      <c r="C1512" t="str">
        <f t="shared" si="48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47"/>
        <v>0</v>
      </c>
    </row>
    <row r="1513" spans="1:8" x14ac:dyDescent="0.2">
      <c r="A1513" t="s">
        <v>7</v>
      </c>
      <c r="B1513" s="34" t="s">
        <v>14</v>
      </c>
      <c r="C1513" t="str">
        <f t="shared" si="48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47"/>
        <v>-2</v>
      </c>
    </row>
    <row r="1514" spans="1:8" x14ac:dyDescent="0.2">
      <c r="A1514" t="s">
        <v>7</v>
      </c>
      <c r="B1514" s="34" t="s">
        <v>14</v>
      </c>
      <c r="C1514" t="str">
        <f t="shared" si="48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47"/>
        <v>-2</v>
      </c>
    </row>
    <row r="1515" spans="1:8" x14ac:dyDescent="0.2">
      <c r="A1515" t="s">
        <v>7</v>
      </c>
      <c r="B1515" s="34" t="s">
        <v>14</v>
      </c>
      <c r="C1515" t="str">
        <f t="shared" si="48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47"/>
        <v>0</v>
      </c>
    </row>
    <row r="1516" spans="1:8" x14ac:dyDescent="0.2">
      <c r="A1516" t="s">
        <v>7</v>
      </c>
      <c r="B1516" s="34" t="s">
        <v>14</v>
      </c>
      <c r="C1516" t="str">
        <f t="shared" si="48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47"/>
        <v>0</v>
      </c>
    </row>
    <row r="1517" spans="1:8" x14ac:dyDescent="0.2">
      <c r="A1517" t="s">
        <v>7</v>
      </c>
      <c r="B1517" s="34" t="s">
        <v>14</v>
      </c>
      <c r="C1517" t="str">
        <f t="shared" si="48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47"/>
        <v>0</v>
      </c>
    </row>
    <row r="1518" spans="1:8" x14ac:dyDescent="0.2">
      <c r="A1518" t="s">
        <v>7</v>
      </c>
      <c r="B1518" s="34" t="s">
        <v>14</v>
      </c>
      <c r="C1518" t="str">
        <f t="shared" si="48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47"/>
        <v>-2</v>
      </c>
    </row>
    <row r="1519" spans="1:8" x14ac:dyDescent="0.2">
      <c r="A1519" t="s">
        <v>7</v>
      </c>
      <c r="B1519" s="34" t="s">
        <v>14</v>
      </c>
      <c r="C1519" t="str">
        <f t="shared" si="48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47"/>
        <v>0</v>
      </c>
    </row>
    <row r="1520" spans="1:8" x14ac:dyDescent="0.2">
      <c r="A1520" t="s">
        <v>7</v>
      </c>
      <c r="B1520" s="34" t="s">
        <v>14</v>
      </c>
      <c r="C1520" t="str">
        <f t="shared" si="48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47"/>
        <v>-2</v>
      </c>
    </row>
    <row r="1521" spans="1:8" x14ac:dyDescent="0.2">
      <c r="A1521" t="s">
        <v>7</v>
      </c>
      <c r="B1521" s="34" t="s">
        <v>14</v>
      </c>
      <c r="C1521" t="str">
        <f t="shared" si="48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47"/>
        <v>0</v>
      </c>
    </row>
    <row r="1522" spans="1:8" x14ac:dyDescent="0.2">
      <c r="A1522" t="s">
        <v>7</v>
      </c>
      <c r="B1522" s="34" t="s">
        <v>14</v>
      </c>
      <c r="C1522" t="str">
        <f t="shared" si="48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47"/>
        <v>-2</v>
      </c>
    </row>
    <row r="1523" spans="1:8" x14ac:dyDescent="0.2">
      <c r="A1523" t="s">
        <v>7</v>
      </c>
      <c r="B1523" s="34" t="s">
        <v>14</v>
      </c>
      <c r="C1523" t="str">
        <f t="shared" si="48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47"/>
        <v>0</v>
      </c>
    </row>
    <row r="1524" spans="1:8" x14ac:dyDescent="0.2">
      <c r="A1524" t="s">
        <v>7</v>
      </c>
      <c r="B1524" s="34" t="s">
        <v>14</v>
      </c>
      <c r="C1524" t="str">
        <f t="shared" si="48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47"/>
        <v>-2</v>
      </c>
    </row>
    <row r="1525" spans="1:8" x14ac:dyDescent="0.2">
      <c r="A1525" t="s">
        <v>7</v>
      </c>
      <c r="B1525" s="34" t="s">
        <v>14</v>
      </c>
      <c r="C1525" t="str">
        <f t="shared" si="48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47"/>
        <v>0</v>
      </c>
    </row>
    <row r="1526" spans="1:8" x14ac:dyDescent="0.2">
      <c r="A1526" t="s">
        <v>7</v>
      </c>
      <c r="B1526" s="34" t="s">
        <v>14</v>
      </c>
      <c r="C1526" t="str">
        <f t="shared" si="48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47"/>
        <v>0</v>
      </c>
    </row>
    <row r="1527" spans="1:8" x14ac:dyDescent="0.2">
      <c r="A1527" t="s">
        <v>7</v>
      </c>
      <c r="B1527" s="34" t="s">
        <v>14</v>
      </c>
      <c r="C1527" t="str">
        <f t="shared" si="48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47"/>
        <v>0</v>
      </c>
    </row>
    <row r="1528" spans="1:8" x14ac:dyDescent="0.2">
      <c r="A1528" t="s">
        <v>7</v>
      </c>
      <c r="B1528" s="34" t="s">
        <v>14</v>
      </c>
      <c r="C1528" t="str">
        <f t="shared" si="48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47"/>
        <v>0</v>
      </c>
    </row>
    <row r="1529" spans="1:8" x14ac:dyDescent="0.2">
      <c r="A1529" t="s">
        <v>7</v>
      </c>
      <c r="B1529" s="34" t="s">
        <v>14</v>
      </c>
      <c r="C1529" t="str">
        <f t="shared" si="48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47"/>
        <v>0</v>
      </c>
    </row>
    <row r="1530" spans="1:8" x14ac:dyDescent="0.2">
      <c r="A1530" t="s">
        <v>7</v>
      </c>
      <c r="B1530" s="34" t="s">
        <v>14</v>
      </c>
      <c r="C1530" t="str">
        <f t="shared" si="48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47"/>
        <v>-2</v>
      </c>
    </row>
    <row r="1531" spans="1:8" x14ac:dyDescent="0.2">
      <c r="A1531" t="s">
        <v>7</v>
      </c>
      <c r="B1531" s="34" t="s">
        <v>14</v>
      </c>
      <c r="C1531" t="str">
        <f t="shared" si="48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47"/>
        <v>0</v>
      </c>
    </row>
    <row r="1532" spans="1:8" x14ac:dyDescent="0.2">
      <c r="A1532" t="s">
        <v>7</v>
      </c>
      <c r="B1532" s="34" t="s">
        <v>14</v>
      </c>
      <c r="C1532" t="str">
        <f t="shared" si="48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47"/>
        <v>-3</v>
      </c>
    </row>
    <row r="1533" spans="1:8" x14ac:dyDescent="0.2">
      <c r="A1533" t="s">
        <v>7</v>
      </c>
      <c r="B1533" s="34" t="s">
        <v>14</v>
      </c>
      <c r="C1533" t="str">
        <f t="shared" si="48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47"/>
        <v>-3</v>
      </c>
    </row>
    <row r="1534" spans="1:8" x14ac:dyDescent="0.2">
      <c r="A1534" t="s">
        <v>7</v>
      </c>
      <c r="B1534" s="34" t="s">
        <v>14</v>
      </c>
      <c r="C1534" t="str">
        <f t="shared" si="48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47"/>
        <v>0</v>
      </c>
    </row>
    <row r="1535" spans="1:8" x14ac:dyDescent="0.2">
      <c r="A1535" t="s">
        <v>7</v>
      </c>
      <c r="B1535" s="34" t="s">
        <v>14</v>
      </c>
      <c r="C1535" t="str">
        <f t="shared" si="48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47"/>
        <v>0</v>
      </c>
    </row>
    <row r="1536" spans="1:8" x14ac:dyDescent="0.2">
      <c r="A1536" t="s">
        <v>7</v>
      </c>
      <c r="B1536" s="34" t="s">
        <v>14</v>
      </c>
      <c r="C1536" t="str">
        <f t="shared" si="48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47"/>
        <v>-3</v>
      </c>
    </row>
    <row r="1537" spans="1:8" x14ac:dyDescent="0.2">
      <c r="A1537" t="s">
        <v>7</v>
      </c>
      <c r="B1537" s="34" t="s">
        <v>14</v>
      </c>
      <c r="C1537" t="str">
        <f t="shared" si="48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47"/>
        <v>0</v>
      </c>
    </row>
    <row r="1538" spans="1:8" x14ac:dyDescent="0.2">
      <c r="A1538" t="s">
        <v>7</v>
      </c>
      <c r="B1538" s="34" t="s">
        <v>14</v>
      </c>
      <c r="C1538" t="str">
        <f t="shared" si="48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47"/>
        <v>0</v>
      </c>
    </row>
    <row r="1539" spans="1:8" x14ac:dyDescent="0.2">
      <c r="A1539" t="s">
        <v>7</v>
      </c>
      <c r="B1539" s="34" t="s">
        <v>14</v>
      </c>
      <c r="C1539" t="str">
        <f t="shared" si="48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ref="H1539:H1602" si="49">F1539-G1539</f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0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49"/>
        <v>0</v>
      </c>
    </row>
    <row r="1541" spans="1:8" x14ac:dyDescent="0.2">
      <c r="A1541" t="s">
        <v>7</v>
      </c>
      <c r="B1541" s="34" t="s">
        <v>14</v>
      </c>
      <c r="C1541" t="str">
        <f t="shared" si="50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49"/>
        <v>-3</v>
      </c>
    </row>
    <row r="1542" spans="1:8" x14ac:dyDescent="0.2">
      <c r="A1542" t="s">
        <v>7</v>
      </c>
      <c r="B1542" s="34" t="s">
        <v>14</v>
      </c>
      <c r="C1542" t="str">
        <f t="shared" si="50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49"/>
        <v>-3</v>
      </c>
    </row>
    <row r="1543" spans="1:8" x14ac:dyDescent="0.2">
      <c r="A1543" t="s">
        <v>7</v>
      </c>
      <c r="B1543" s="34" t="s">
        <v>14</v>
      </c>
      <c r="C1543" t="str">
        <f t="shared" si="50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49"/>
        <v>0</v>
      </c>
    </row>
    <row r="1544" spans="1:8" x14ac:dyDescent="0.2">
      <c r="A1544" t="s">
        <v>7</v>
      </c>
      <c r="B1544" s="34" t="s">
        <v>14</v>
      </c>
      <c r="C1544" t="str">
        <f t="shared" si="50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si="49"/>
        <v>-3</v>
      </c>
    </row>
    <row r="1545" spans="1:8" x14ac:dyDescent="0.2">
      <c r="A1545" t="s">
        <v>7</v>
      </c>
      <c r="B1545" s="34" t="s">
        <v>14</v>
      </c>
      <c r="C1545" t="str">
        <f t="shared" si="50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49"/>
        <v>-3</v>
      </c>
    </row>
    <row r="1546" spans="1:8" x14ac:dyDescent="0.2">
      <c r="A1546" t="s">
        <v>7</v>
      </c>
      <c r="B1546" s="34" t="s">
        <v>14</v>
      </c>
      <c r="C1546" t="str">
        <f t="shared" si="50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49"/>
        <v>-3</v>
      </c>
    </row>
    <row r="1547" spans="1:8" x14ac:dyDescent="0.2">
      <c r="A1547" t="s">
        <v>7</v>
      </c>
      <c r="B1547" s="34" t="s">
        <v>14</v>
      </c>
      <c r="C1547" t="str">
        <f t="shared" si="50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49"/>
        <v>0</v>
      </c>
    </row>
    <row r="1548" spans="1:8" x14ac:dyDescent="0.2">
      <c r="A1548" t="s">
        <v>7</v>
      </c>
      <c r="B1548" s="34" t="s">
        <v>14</v>
      </c>
      <c r="C1548" t="str">
        <f t="shared" si="50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49"/>
        <v>-3</v>
      </c>
    </row>
    <row r="1549" spans="1:8" x14ac:dyDescent="0.2">
      <c r="A1549" t="s">
        <v>7</v>
      </c>
      <c r="B1549" s="34" t="s">
        <v>14</v>
      </c>
      <c r="C1549" t="str">
        <f t="shared" si="50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49"/>
        <v>0</v>
      </c>
    </row>
    <row r="1550" spans="1:8" x14ac:dyDescent="0.2">
      <c r="A1550" t="s">
        <v>7</v>
      </c>
      <c r="B1550" s="34" t="s">
        <v>14</v>
      </c>
      <c r="C1550" t="str">
        <f t="shared" si="50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49"/>
        <v>0</v>
      </c>
    </row>
    <row r="1551" spans="1:8" x14ac:dyDescent="0.2">
      <c r="A1551" t="s">
        <v>7</v>
      </c>
      <c r="B1551" s="34" t="s">
        <v>14</v>
      </c>
      <c r="C1551" t="str">
        <f t="shared" si="50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49"/>
        <v>0</v>
      </c>
    </row>
    <row r="1552" spans="1:8" x14ac:dyDescent="0.2">
      <c r="A1552" t="s">
        <v>7</v>
      </c>
      <c r="B1552" s="34" t="s">
        <v>14</v>
      </c>
      <c r="C1552" t="str">
        <f t="shared" si="50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49"/>
        <v>0</v>
      </c>
    </row>
    <row r="1553" spans="1:8" x14ac:dyDescent="0.2">
      <c r="A1553" t="s">
        <v>7</v>
      </c>
      <c r="B1553" s="34" t="s">
        <v>14</v>
      </c>
      <c r="C1553" t="str">
        <f t="shared" si="50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49"/>
        <v>0</v>
      </c>
    </row>
    <row r="1554" spans="1:8" x14ac:dyDescent="0.2">
      <c r="A1554" t="s">
        <v>7</v>
      </c>
      <c r="B1554" s="34" t="s">
        <v>14</v>
      </c>
      <c r="C1554" t="str">
        <f t="shared" si="50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49"/>
        <v>-3</v>
      </c>
    </row>
    <row r="1555" spans="1:8" x14ac:dyDescent="0.2">
      <c r="A1555" t="s">
        <v>7</v>
      </c>
      <c r="B1555" s="34" t="s">
        <v>14</v>
      </c>
      <c r="C1555" t="str">
        <f t="shared" si="50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49"/>
        <v>-3</v>
      </c>
    </row>
    <row r="1556" spans="1:8" x14ac:dyDescent="0.2">
      <c r="A1556" t="s">
        <v>7</v>
      </c>
      <c r="B1556" s="34" t="s">
        <v>14</v>
      </c>
      <c r="C1556" t="str">
        <f t="shared" si="50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49"/>
        <v>0</v>
      </c>
    </row>
    <row r="1557" spans="1:8" x14ac:dyDescent="0.2">
      <c r="A1557" t="s">
        <v>7</v>
      </c>
      <c r="B1557" s="34" t="s">
        <v>14</v>
      </c>
      <c r="C1557" t="str">
        <f t="shared" si="50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49"/>
        <v>-3</v>
      </c>
    </row>
    <row r="1558" spans="1:8" x14ac:dyDescent="0.2">
      <c r="A1558" t="s">
        <v>7</v>
      </c>
      <c r="B1558" s="34" t="s">
        <v>14</v>
      </c>
      <c r="C1558" t="str">
        <f t="shared" si="50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49"/>
        <v>-3</v>
      </c>
    </row>
    <row r="1559" spans="1:8" x14ac:dyDescent="0.2">
      <c r="A1559" t="s">
        <v>7</v>
      </c>
      <c r="B1559" s="34" t="s">
        <v>14</v>
      </c>
      <c r="C1559" t="str">
        <f t="shared" si="50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49"/>
        <v>-3</v>
      </c>
    </row>
    <row r="1560" spans="1:8" x14ac:dyDescent="0.2">
      <c r="A1560" t="s">
        <v>7</v>
      </c>
      <c r="B1560" s="34" t="s">
        <v>14</v>
      </c>
      <c r="C1560" t="str">
        <f t="shared" si="50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49"/>
        <v>0</v>
      </c>
    </row>
    <row r="1561" spans="1:8" x14ac:dyDescent="0.2">
      <c r="A1561" t="s">
        <v>7</v>
      </c>
      <c r="B1561" s="34" t="s">
        <v>14</v>
      </c>
      <c r="C1561" t="str">
        <f t="shared" si="50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49"/>
        <v>0</v>
      </c>
    </row>
    <row r="1562" spans="1:8" x14ac:dyDescent="0.2">
      <c r="A1562" t="s">
        <v>7</v>
      </c>
      <c r="B1562" s="34" t="s">
        <v>14</v>
      </c>
      <c r="C1562" t="str">
        <f t="shared" si="50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49"/>
        <v>-3</v>
      </c>
    </row>
    <row r="1563" spans="1:8" x14ac:dyDescent="0.2">
      <c r="A1563" t="s">
        <v>7</v>
      </c>
      <c r="B1563" s="34" t="s">
        <v>14</v>
      </c>
      <c r="C1563" t="str">
        <f t="shared" si="50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49"/>
        <v>0</v>
      </c>
    </row>
    <row r="1564" spans="1:8" x14ac:dyDescent="0.2">
      <c r="A1564" t="s">
        <v>7</v>
      </c>
      <c r="B1564" s="34" t="s">
        <v>14</v>
      </c>
      <c r="C1564" t="str">
        <f t="shared" si="50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49"/>
        <v>-3</v>
      </c>
    </row>
    <row r="1565" spans="1:8" x14ac:dyDescent="0.2">
      <c r="A1565" t="s">
        <v>7</v>
      </c>
      <c r="B1565" s="34" t="s">
        <v>14</v>
      </c>
      <c r="C1565" t="str">
        <f t="shared" si="50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49"/>
        <v>-4</v>
      </c>
    </row>
    <row r="1566" spans="1:8" x14ac:dyDescent="0.2">
      <c r="A1566" t="s">
        <v>7</v>
      </c>
      <c r="B1566" s="34" t="s">
        <v>14</v>
      </c>
      <c r="C1566" t="str">
        <f t="shared" si="50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49"/>
        <v>-4</v>
      </c>
    </row>
    <row r="1567" spans="1:8" x14ac:dyDescent="0.2">
      <c r="A1567" t="s">
        <v>7</v>
      </c>
      <c r="B1567" s="34" t="s">
        <v>14</v>
      </c>
      <c r="C1567" t="str">
        <f t="shared" si="50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49"/>
        <v>-4</v>
      </c>
    </row>
    <row r="1568" spans="1:8" x14ac:dyDescent="0.2">
      <c r="A1568" t="s">
        <v>7</v>
      </c>
      <c r="B1568" s="34" t="s">
        <v>14</v>
      </c>
      <c r="C1568" t="str">
        <f t="shared" si="50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49"/>
        <v>-4</v>
      </c>
    </row>
    <row r="1569" spans="1:8" x14ac:dyDescent="0.2">
      <c r="A1569" t="s">
        <v>7</v>
      </c>
      <c r="B1569" s="34" t="s">
        <v>14</v>
      </c>
      <c r="C1569" t="str">
        <f t="shared" si="50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49"/>
        <v>-4</v>
      </c>
    </row>
    <row r="1570" spans="1:8" x14ac:dyDescent="0.2">
      <c r="A1570" t="s">
        <v>7</v>
      </c>
      <c r="B1570" s="34" t="s">
        <v>14</v>
      </c>
      <c r="C1570" t="str">
        <f t="shared" si="50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49"/>
        <v>0</v>
      </c>
    </row>
    <row r="1571" spans="1:8" x14ac:dyDescent="0.2">
      <c r="A1571" t="s">
        <v>7</v>
      </c>
      <c r="B1571" s="34" t="s">
        <v>14</v>
      </c>
      <c r="C1571" t="str">
        <f t="shared" si="50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49"/>
        <v>-4</v>
      </c>
    </row>
    <row r="1572" spans="1:8" x14ac:dyDescent="0.2">
      <c r="A1572" t="s">
        <v>7</v>
      </c>
      <c r="B1572" s="34" t="s">
        <v>14</v>
      </c>
      <c r="C1572" t="str">
        <f t="shared" si="50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49"/>
        <v>-4</v>
      </c>
    </row>
    <row r="1573" spans="1:8" x14ac:dyDescent="0.2">
      <c r="A1573" t="s">
        <v>7</v>
      </c>
      <c r="B1573" s="34" t="s">
        <v>14</v>
      </c>
      <c r="C1573" t="str">
        <f t="shared" si="50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49"/>
        <v>0</v>
      </c>
    </row>
    <row r="1574" spans="1:8" x14ac:dyDescent="0.2">
      <c r="A1574" t="s">
        <v>7</v>
      </c>
      <c r="B1574" s="34" t="s">
        <v>14</v>
      </c>
      <c r="C1574" t="str">
        <f t="shared" si="50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49"/>
        <v>0</v>
      </c>
    </row>
    <row r="1575" spans="1:8" x14ac:dyDescent="0.2">
      <c r="A1575" t="s">
        <v>7</v>
      </c>
      <c r="B1575" s="34" t="s">
        <v>14</v>
      </c>
      <c r="C1575" t="str">
        <f t="shared" si="50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49"/>
        <v>0</v>
      </c>
    </row>
    <row r="1576" spans="1:8" x14ac:dyDescent="0.2">
      <c r="A1576" t="s">
        <v>7</v>
      </c>
      <c r="B1576" s="34" t="s">
        <v>14</v>
      </c>
      <c r="C1576" t="str">
        <f t="shared" si="50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49"/>
        <v>-4</v>
      </c>
    </row>
    <row r="1577" spans="1:8" x14ac:dyDescent="0.2">
      <c r="A1577" t="s">
        <v>7</v>
      </c>
      <c r="B1577" s="34" t="s">
        <v>14</v>
      </c>
      <c r="C1577" t="str">
        <f t="shared" si="50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49"/>
        <v>0</v>
      </c>
    </row>
    <row r="1578" spans="1:8" x14ac:dyDescent="0.2">
      <c r="A1578" t="s">
        <v>7</v>
      </c>
      <c r="B1578" s="34" t="s">
        <v>14</v>
      </c>
      <c r="C1578" t="str">
        <f t="shared" si="50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49"/>
        <v>-4</v>
      </c>
    </row>
    <row r="1579" spans="1:8" x14ac:dyDescent="0.2">
      <c r="A1579" t="s">
        <v>7</v>
      </c>
      <c r="B1579" s="34" t="s">
        <v>14</v>
      </c>
      <c r="C1579" t="str">
        <f t="shared" si="50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49"/>
        <v>0</v>
      </c>
    </row>
    <row r="1580" spans="1:8" x14ac:dyDescent="0.2">
      <c r="A1580" t="s">
        <v>7</v>
      </c>
      <c r="B1580" s="34" t="s">
        <v>14</v>
      </c>
      <c r="C1580" t="str">
        <f t="shared" si="50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49"/>
        <v>-4</v>
      </c>
    </row>
    <row r="1581" spans="1:8" x14ac:dyDescent="0.2">
      <c r="A1581" t="s">
        <v>7</v>
      </c>
      <c r="B1581" s="34" t="s">
        <v>14</v>
      </c>
      <c r="C1581" t="str">
        <f t="shared" si="50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49"/>
        <v>0</v>
      </c>
    </row>
    <row r="1582" spans="1:8" x14ac:dyDescent="0.2">
      <c r="A1582" t="s">
        <v>7</v>
      </c>
      <c r="B1582" s="34" t="s">
        <v>14</v>
      </c>
      <c r="C1582" t="str">
        <f t="shared" si="50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49"/>
        <v>-4</v>
      </c>
    </row>
    <row r="1583" spans="1:8" x14ac:dyDescent="0.2">
      <c r="A1583" t="s">
        <v>7</v>
      </c>
      <c r="B1583" s="34" t="s">
        <v>14</v>
      </c>
      <c r="C1583" t="str">
        <f t="shared" si="50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49"/>
        <v>0</v>
      </c>
    </row>
    <row r="1584" spans="1:8" x14ac:dyDescent="0.2">
      <c r="A1584" t="s">
        <v>7</v>
      </c>
      <c r="B1584" s="34" t="s">
        <v>14</v>
      </c>
      <c r="C1584" t="str">
        <f t="shared" si="50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49"/>
        <v>-4</v>
      </c>
    </row>
    <row r="1585" spans="1:8" x14ac:dyDescent="0.2">
      <c r="A1585" t="s">
        <v>7</v>
      </c>
      <c r="B1585" s="34" t="s">
        <v>14</v>
      </c>
      <c r="C1585" t="str">
        <f t="shared" si="50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49"/>
        <v>0</v>
      </c>
    </row>
    <row r="1586" spans="1:8" x14ac:dyDescent="0.2">
      <c r="A1586" t="s">
        <v>7</v>
      </c>
      <c r="B1586" s="34" t="s">
        <v>14</v>
      </c>
      <c r="C1586" t="str">
        <f t="shared" si="50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49"/>
        <v>0</v>
      </c>
    </row>
    <row r="1587" spans="1:8" x14ac:dyDescent="0.2">
      <c r="A1587" t="s">
        <v>7</v>
      </c>
      <c r="B1587" s="34" t="s">
        <v>14</v>
      </c>
      <c r="C1587" t="str">
        <f t="shared" si="50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49"/>
        <v>-4</v>
      </c>
    </row>
    <row r="1588" spans="1:8" x14ac:dyDescent="0.2">
      <c r="A1588" t="s">
        <v>7</v>
      </c>
      <c r="B1588" s="34" t="s">
        <v>14</v>
      </c>
      <c r="C1588" t="str">
        <f t="shared" si="50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49"/>
        <v>-4</v>
      </c>
    </row>
    <row r="1589" spans="1:8" x14ac:dyDescent="0.2">
      <c r="A1589" t="s">
        <v>7</v>
      </c>
      <c r="B1589" s="34" t="s">
        <v>14</v>
      </c>
      <c r="C1589" t="str">
        <f t="shared" si="50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49"/>
        <v>0</v>
      </c>
    </row>
    <row r="1590" spans="1:8" x14ac:dyDescent="0.2">
      <c r="A1590" t="s">
        <v>7</v>
      </c>
      <c r="B1590" s="34" t="s">
        <v>14</v>
      </c>
      <c r="C1590" t="str">
        <f t="shared" si="50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49"/>
        <v>-4</v>
      </c>
    </row>
    <row r="1591" spans="1:8" x14ac:dyDescent="0.2">
      <c r="A1591" t="s">
        <v>7</v>
      </c>
      <c r="B1591" s="34" t="s">
        <v>14</v>
      </c>
      <c r="C1591" t="str">
        <f t="shared" si="50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49"/>
        <v>0</v>
      </c>
    </row>
    <row r="1592" spans="1:8" x14ac:dyDescent="0.2">
      <c r="A1592" t="s">
        <v>7</v>
      </c>
      <c r="B1592" s="34" t="s">
        <v>14</v>
      </c>
      <c r="C1592" t="str">
        <f t="shared" si="50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49"/>
        <v>0</v>
      </c>
    </row>
    <row r="1593" spans="1:8" x14ac:dyDescent="0.2">
      <c r="A1593" t="s">
        <v>7</v>
      </c>
      <c r="B1593" s="34" t="s">
        <v>14</v>
      </c>
      <c r="C1593" t="str">
        <f t="shared" si="50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49"/>
        <v>-5</v>
      </c>
    </row>
    <row r="1594" spans="1:8" x14ac:dyDescent="0.2">
      <c r="A1594" t="s">
        <v>7</v>
      </c>
      <c r="B1594" s="34" t="s">
        <v>14</v>
      </c>
      <c r="C1594" t="str">
        <f t="shared" si="50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49"/>
        <v>-5</v>
      </c>
    </row>
    <row r="1595" spans="1:8" x14ac:dyDescent="0.2">
      <c r="A1595" t="s">
        <v>7</v>
      </c>
      <c r="B1595" s="34" t="s">
        <v>14</v>
      </c>
      <c r="C1595" t="str">
        <f t="shared" si="50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49"/>
        <v>-5</v>
      </c>
    </row>
    <row r="1596" spans="1:8" x14ac:dyDescent="0.2">
      <c r="A1596" t="s">
        <v>7</v>
      </c>
      <c r="B1596" s="34" t="s">
        <v>14</v>
      </c>
      <c r="C1596" t="str">
        <f t="shared" si="50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49"/>
        <v>-5</v>
      </c>
    </row>
    <row r="1597" spans="1:8" x14ac:dyDescent="0.2">
      <c r="A1597" t="s">
        <v>7</v>
      </c>
      <c r="B1597" s="34" t="s">
        <v>14</v>
      </c>
      <c r="C1597" t="str">
        <f t="shared" si="50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49"/>
        <v>-5</v>
      </c>
    </row>
    <row r="1598" spans="1:8" x14ac:dyDescent="0.2">
      <c r="A1598" t="s">
        <v>7</v>
      </c>
      <c r="B1598" s="34" t="s">
        <v>14</v>
      </c>
      <c r="C1598" t="str">
        <f t="shared" si="50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49"/>
        <v>-5</v>
      </c>
    </row>
    <row r="1599" spans="1:8" x14ac:dyDescent="0.2">
      <c r="A1599" t="s">
        <v>7</v>
      </c>
      <c r="B1599" s="34" t="s">
        <v>14</v>
      </c>
      <c r="C1599" t="str">
        <f t="shared" si="50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49"/>
        <v>-5</v>
      </c>
    </row>
    <row r="1600" spans="1:8" x14ac:dyDescent="0.2">
      <c r="A1600" t="s">
        <v>7</v>
      </c>
      <c r="B1600" s="34" t="s">
        <v>14</v>
      </c>
      <c r="C1600" t="str">
        <f t="shared" si="50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49"/>
        <v>-5</v>
      </c>
    </row>
    <row r="1601" spans="1:8" x14ac:dyDescent="0.2">
      <c r="A1601" t="s">
        <v>7</v>
      </c>
      <c r="B1601" s="34" t="s">
        <v>14</v>
      </c>
      <c r="C1601" t="str">
        <f t="shared" si="50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49"/>
        <v>-5</v>
      </c>
    </row>
    <row r="1602" spans="1:8" x14ac:dyDescent="0.2">
      <c r="A1602" t="s">
        <v>7</v>
      </c>
      <c r="B1602" s="34" t="s">
        <v>14</v>
      </c>
      <c r="C1602" t="str">
        <f t="shared" si="50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49"/>
        <v>0</v>
      </c>
    </row>
    <row r="1603" spans="1:8" x14ac:dyDescent="0.2">
      <c r="A1603" t="s">
        <v>7</v>
      </c>
      <c r="B1603" s="34" t="s">
        <v>14</v>
      </c>
      <c r="C1603" t="str">
        <f t="shared" si="50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ref="H1603:H1666" si="51">F1603-G1603</f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2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1"/>
        <v>-5</v>
      </c>
    </row>
    <row r="1605" spans="1:8" x14ac:dyDescent="0.2">
      <c r="A1605" t="s">
        <v>7</v>
      </c>
      <c r="B1605" s="34" t="s">
        <v>14</v>
      </c>
      <c r="C1605" t="str">
        <f t="shared" si="52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1"/>
        <v>-5</v>
      </c>
    </row>
    <row r="1606" spans="1:8" x14ac:dyDescent="0.2">
      <c r="A1606" t="s">
        <v>7</v>
      </c>
      <c r="B1606" s="34" t="s">
        <v>14</v>
      </c>
      <c r="C1606" t="str">
        <f t="shared" si="52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1"/>
        <v>-5</v>
      </c>
    </row>
    <row r="1607" spans="1:8" x14ac:dyDescent="0.2">
      <c r="A1607" t="s">
        <v>7</v>
      </c>
      <c r="B1607" s="34" t="s">
        <v>14</v>
      </c>
      <c r="C1607" t="str">
        <f t="shared" si="52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1"/>
        <v>0</v>
      </c>
    </row>
    <row r="1608" spans="1:8" x14ac:dyDescent="0.2">
      <c r="A1608" t="s">
        <v>7</v>
      </c>
      <c r="B1608" s="34" t="s">
        <v>14</v>
      </c>
      <c r="C1608" t="str">
        <f t="shared" si="52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si="51"/>
        <v>-5</v>
      </c>
    </row>
    <row r="1609" spans="1:8" x14ac:dyDescent="0.2">
      <c r="A1609" t="s">
        <v>7</v>
      </c>
      <c r="B1609" s="34" t="s">
        <v>14</v>
      </c>
      <c r="C1609" t="str">
        <f t="shared" si="52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1"/>
        <v>-5</v>
      </c>
    </row>
    <row r="1610" spans="1:8" x14ac:dyDescent="0.2">
      <c r="A1610" t="s">
        <v>7</v>
      </c>
      <c r="B1610" s="34" t="s">
        <v>14</v>
      </c>
      <c r="C1610" t="str">
        <f t="shared" si="52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1"/>
        <v>-5</v>
      </c>
    </row>
    <row r="1611" spans="1:8" x14ac:dyDescent="0.2">
      <c r="A1611" t="s">
        <v>7</v>
      </c>
      <c r="B1611" s="34" t="s">
        <v>14</v>
      </c>
      <c r="C1611" t="str">
        <f t="shared" si="52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1"/>
        <v>-5</v>
      </c>
    </row>
    <row r="1612" spans="1:8" x14ac:dyDescent="0.2">
      <c r="A1612" t="s">
        <v>7</v>
      </c>
      <c r="B1612" s="34" t="s">
        <v>14</v>
      </c>
      <c r="C1612" t="str">
        <f t="shared" si="52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1"/>
        <v>0</v>
      </c>
    </row>
    <row r="1613" spans="1:8" x14ac:dyDescent="0.2">
      <c r="A1613" t="s">
        <v>7</v>
      </c>
      <c r="B1613" s="34" t="s">
        <v>14</v>
      </c>
      <c r="C1613" t="str">
        <f t="shared" si="52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1"/>
        <v>0</v>
      </c>
    </row>
    <row r="1614" spans="1:8" x14ac:dyDescent="0.2">
      <c r="A1614" t="s">
        <v>7</v>
      </c>
      <c r="B1614" s="34" t="s">
        <v>14</v>
      </c>
      <c r="C1614" t="str">
        <f t="shared" si="52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1"/>
        <v>-5</v>
      </c>
    </row>
    <row r="1615" spans="1:8" x14ac:dyDescent="0.2">
      <c r="A1615" t="s">
        <v>7</v>
      </c>
      <c r="B1615" s="34" t="s">
        <v>14</v>
      </c>
      <c r="C1615" t="str">
        <f t="shared" si="52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1"/>
        <v>0</v>
      </c>
    </row>
    <row r="1616" spans="1:8" x14ac:dyDescent="0.2">
      <c r="A1616" t="s">
        <v>7</v>
      </c>
      <c r="B1616" s="34" t="s">
        <v>14</v>
      </c>
      <c r="C1616" t="str">
        <f t="shared" si="52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1"/>
        <v>-6</v>
      </c>
    </row>
    <row r="1617" spans="1:8" x14ac:dyDescent="0.2">
      <c r="A1617" t="s">
        <v>7</v>
      </c>
      <c r="B1617" s="34" t="s">
        <v>14</v>
      </c>
      <c r="C1617" t="str">
        <f t="shared" si="52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1"/>
        <v>-6</v>
      </c>
    </row>
    <row r="1618" spans="1:8" x14ac:dyDescent="0.2">
      <c r="A1618" t="s">
        <v>7</v>
      </c>
      <c r="B1618" s="34" t="s">
        <v>14</v>
      </c>
      <c r="C1618" t="str">
        <f t="shared" si="52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1"/>
        <v>-6</v>
      </c>
    </row>
    <row r="1619" spans="1:8" x14ac:dyDescent="0.2">
      <c r="A1619" t="s">
        <v>7</v>
      </c>
      <c r="B1619" s="34" t="s">
        <v>14</v>
      </c>
      <c r="C1619" t="str">
        <f t="shared" si="52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1"/>
        <v>-6</v>
      </c>
    </row>
    <row r="1620" spans="1:8" x14ac:dyDescent="0.2">
      <c r="A1620" t="s">
        <v>7</v>
      </c>
      <c r="B1620" s="34" t="s">
        <v>14</v>
      </c>
      <c r="C1620" t="str">
        <f t="shared" si="52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1"/>
        <v>-6</v>
      </c>
    </row>
    <row r="1621" spans="1:8" x14ac:dyDescent="0.2">
      <c r="A1621" t="s">
        <v>7</v>
      </c>
      <c r="B1621" s="34" t="s">
        <v>14</v>
      </c>
      <c r="C1621" t="str">
        <f t="shared" si="52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1"/>
        <v>-6</v>
      </c>
    </row>
    <row r="1622" spans="1:8" x14ac:dyDescent="0.2">
      <c r="A1622" t="s">
        <v>7</v>
      </c>
      <c r="B1622" s="34" t="s">
        <v>14</v>
      </c>
      <c r="C1622" t="str">
        <f t="shared" si="52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1"/>
        <v>-6</v>
      </c>
    </row>
    <row r="1623" spans="1:8" x14ac:dyDescent="0.2">
      <c r="A1623" t="s">
        <v>7</v>
      </c>
      <c r="B1623" s="34" t="s">
        <v>14</v>
      </c>
      <c r="C1623" t="str">
        <f t="shared" si="52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1"/>
        <v>-6</v>
      </c>
    </row>
    <row r="1624" spans="1:8" x14ac:dyDescent="0.2">
      <c r="A1624" t="s">
        <v>7</v>
      </c>
      <c r="B1624" s="34" t="s">
        <v>14</v>
      </c>
      <c r="C1624" t="str">
        <f t="shared" si="52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1"/>
        <v>0</v>
      </c>
    </row>
    <row r="1625" spans="1:8" x14ac:dyDescent="0.2">
      <c r="A1625" t="s">
        <v>7</v>
      </c>
      <c r="B1625" s="34" t="s">
        <v>14</v>
      </c>
      <c r="C1625" t="str">
        <f t="shared" si="52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1"/>
        <v>-6</v>
      </c>
    </row>
    <row r="1626" spans="1:8" x14ac:dyDescent="0.2">
      <c r="A1626" t="s">
        <v>7</v>
      </c>
      <c r="B1626" s="34" t="s">
        <v>14</v>
      </c>
      <c r="C1626" t="str">
        <f t="shared" si="52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1"/>
        <v>-6</v>
      </c>
    </row>
    <row r="1627" spans="1:8" x14ac:dyDescent="0.2">
      <c r="A1627" t="s">
        <v>7</v>
      </c>
      <c r="B1627" s="34" t="s">
        <v>14</v>
      </c>
      <c r="C1627" t="str">
        <f t="shared" si="52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1"/>
        <v>-6</v>
      </c>
    </row>
    <row r="1628" spans="1:8" x14ac:dyDescent="0.2">
      <c r="A1628" t="s">
        <v>7</v>
      </c>
      <c r="B1628" s="34" t="s">
        <v>14</v>
      </c>
      <c r="C1628" t="str">
        <f t="shared" si="52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1"/>
        <v>-6</v>
      </c>
    </row>
    <row r="1629" spans="1:8" x14ac:dyDescent="0.2">
      <c r="A1629" t="s">
        <v>7</v>
      </c>
      <c r="B1629" s="34" t="s">
        <v>14</v>
      </c>
      <c r="C1629" t="str">
        <f t="shared" si="52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1"/>
        <v>-6</v>
      </c>
    </row>
    <row r="1630" spans="1:8" x14ac:dyDescent="0.2">
      <c r="A1630" t="s">
        <v>7</v>
      </c>
      <c r="B1630" s="34" t="s">
        <v>14</v>
      </c>
      <c r="C1630" t="str">
        <f t="shared" si="52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1"/>
        <v>0</v>
      </c>
    </row>
    <row r="1631" spans="1:8" x14ac:dyDescent="0.2">
      <c r="A1631" t="s">
        <v>7</v>
      </c>
      <c r="B1631" s="34" t="s">
        <v>14</v>
      </c>
      <c r="C1631" t="str">
        <f t="shared" si="52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1"/>
        <v>-6</v>
      </c>
    </row>
    <row r="1632" spans="1:8" x14ac:dyDescent="0.2">
      <c r="A1632" t="s">
        <v>7</v>
      </c>
      <c r="B1632" s="34" t="s">
        <v>14</v>
      </c>
      <c r="C1632" t="str">
        <f t="shared" si="52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1"/>
        <v>0</v>
      </c>
    </row>
    <row r="1633" spans="1:8" x14ac:dyDescent="0.2">
      <c r="A1633" t="s">
        <v>7</v>
      </c>
      <c r="B1633" s="34" t="s">
        <v>14</v>
      </c>
      <c r="C1633" t="str">
        <f t="shared" si="52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1"/>
        <v>-6</v>
      </c>
    </row>
    <row r="1634" spans="1:8" x14ac:dyDescent="0.2">
      <c r="A1634" t="s">
        <v>7</v>
      </c>
      <c r="B1634" s="34" t="s">
        <v>14</v>
      </c>
      <c r="C1634" t="str">
        <f t="shared" si="52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1"/>
        <v>0</v>
      </c>
    </row>
    <row r="1635" spans="1:8" x14ac:dyDescent="0.2">
      <c r="A1635" t="s">
        <v>7</v>
      </c>
      <c r="B1635" s="34" t="s">
        <v>14</v>
      </c>
      <c r="C1635" t="str">
        <f t="shared" si="52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1"/>
        <v>-6</v>
      </c>
    </row>
    <row r="1636" spans="1:8" x14ac:dyDescent="0.2">
      <c r="A1636" t="s">
        <v>7</v>
      </c>
      <c r="B1636" s="34" t="s">
        <v>14</v>
      </c>
      <c r="C1636" t="str">
        <f t="shared" si="52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1"/>
        <v>-6</v>
      </c>
    </row>
    <row r="1637" spans="1:8" x14ac:dyDescent="0.2">
      <c r="A1637" t="s">
        <v>7</v>
      </c>
      <c r="B1637" s="34" t="s">
        <v>14</v>
      </c>
      <c r="C1637" t="str">
        <f t="shared" si="52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1"/>
        <v>-6</v>
      </c>
    </row>
    <row r="1638" spans="1:8" x14ac:dyDescent="0.2">
      <c r="A1638" t="s">
        <v>7</v>
      </c>
      <c r="B1638" s="34" t="s">
        <v>14</v>
      </c>
      <c r="C1638" t="str">
        <f t="shared" si="52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1"/>
        <v>-6</v>
      </c>
    </row>
    <row r="1639" spans="1:8" x14ac:dyDescent="0.2">
      <c r="A1639" t="s">
        <v>7</v>
      </c>
      <c r="B1639" s="34" t="s">
        <v>14</v>
      </c>
      <c r="C1639" t="str">
        <f t="shared" si="52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1"/>
        <v>-6</v>
      </c>
    </row>
    <row r="1640" spans="1:8" x14ac:dyDescent="0.2">
      <c r="A1640" t="s">
        <v>7</v>
      </c>
      <c r="B1640" s="34" t="s">
        <v>14</v>
      </c>
      <c r="C1640" t="str">
        <f t="shared" si="52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1"/>
        <v>-6</v>
      </c>
    </row>
    <row r="1641" spans="1:8" x14ac:dyDescent="0.2">
      <c r="A1641" t="s">
        <v>7</v>
      </c>
      <c r="B1641" s="34" t="s">
        <v>14</v>
      </c>
      <c r="C1641" t="str">
        <f t="shared" si="52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1"/>
        <v>-6</v>
      </c>
    </row>
    <row r="1642" spans="1:8" x14ac:dyDescent="0.2">
      <c r="A1642" t="s">
        <v>7</v>
      </c>
      <c r="B1642" s="34" t="s">
        <v>14</v>
      </c>
      <c r="C1642" t="str">
        <f t="shared" si="52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1"/>
        <v>-6</v>
      </c>
    </row>
    <row r="1643" spans="1:8" x14ac:dyDescent="0.2">
      <c r="A1643" t="s">
        <v>7</v>
      </c>
      <c r="B1643" s="34" t="s">
        <v>14</v>
      </c>
      <c r="C1643" t="str">
        <f t="shared" si="52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1"/>
        <v>-6</v>
      </c>
    </row>
    <row r="1644" spans="1:8" x14ac:dyDescent="0.2">
      <c r="A1644" t="s">
        <v>7</v>
      </c>
      <c r="B1644" s="34" t="s">
        <v>14</v>
      </c>
      <c r="C1644" t="str">
        <f t="shared" si="52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1"/>
        <v>-6</v>
      </c>
    </row>
    <row r="1645" spans="1:8" x14ac:dyDescent="0.2">
      <c r="A1645" t="s">
        <v>7</v>
      </c>
      <c r="B1645" s="34" t="s">
        <v>14</v>
      </c>
      <c r="C1645" t="str">
        <f t="shared" si="52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1"/>
        <v>0</v>
      </c>
    </row>
    <row r="1646" spans="1:8" x14ac:dyDescent="0.2">
      <c r="A1646" t="s">
        <v>7</v>
      </c>
      <c r="B1646" s="34" t="s">
        <v>14</v>
      </c>
      <c r="C1646" t="str">
        <f t="shared" si="52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1"/>
        <v>-6</v>
      </c>
    </row>
    <row r="1647" spans="1:8" x14ac:dyDescent="0.2">
      <c r="A1647" t="s">
        <v>7</v>
      </c>
      <c r="B1647" s="34" t="s">
        <v>14</v>
      </c>
      <c r="C1647" t="str">
        <f t="shared" si="52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1"/>
        <v>-6</v>
      </c>
    </row>
    <row r="1648" spans="1:8" x14ac:dyDescent="0.2">
      <c r="A1648" t="s">
        <v>7</v>
      </c>
      <c r="B1648" s="34" t="s">
        <v>14</v>
      </c>
      <c r="C1648" t="str">
        <f t="shared" si="52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1"/>
        <v>-6</v>
      </c>
    </row>
    <row r="1649" spans="1:8" x14ac:dyDescent="0.2">
      <c r="A1649" s="3" t="s">
        <v>7</v>
      </c>
      <c r="B1649" t="s">
        <v>14</v>
      </c>
      <c r="C1649" t="str">
        <f t="shared" si="52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 t="shared" si="51"/>
        <v>24</v>
      </c>
    </row>
    <row r="1650" spans="1:8" x14ac:dyDescent="0.2">
      <c r="A1650" s="3" t="s">
        <v>7</v>
      </c>
      <c r="B1650" t="s">
        <v>14</v>
      </c>
      <c r="C1650" t="str">
        <f t="shared" si="52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si="51"/>
        <v>21</v>
      </c>
    </row>
    <row r="1651" spans="1:8" x14ac:dyDescent="0.2">
      <c r="A1651" s="3" t="s">
        <v>7</v>
      </c>
      <c r="B1651" t="s">
        <v>14</v>
      </c>
      <c r="C1651" t="str">
        <f t="shared" si="52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1"/>
        <v>20</v>
      </c>
    </row>
    <row r="1652" spans="1:8" x14ac:dyDescent="0.2">
      <c r="A1652" s="3" t="s">
        <v>7</v>
      </c>
      <c r="B1652" t="s">
        <v>14</v>
      </c>
      <c r="C1652" t="str">
        <f t="shared" si="52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1"/>
        <v>13</v>
      </c>
    </row>
    <row r="1653" spans="1:8" x14ac:dyDescent="0.2">
      <c r="A1653" s="3" t="s">
        <v>7</v>
      </c>
      <c r="B1653" t="s">
        <v>14</v>
      </c>
      <c r="C1653" t="str">
        <f t="shared" si="52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1"/>
        <v>10</v>
      </c>
    </row>
    <row r="1654" spans="1:8" x14ac:dyDescent="0.2">
      <c r="A1654" s="3" t="s">
        <v>7</v>
      </c>
      <c r="B1654" t="s">
        <v>14</v>
      </c>
      <c r="C1654" t="str">
        <f t="shared" si="52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1"/>
        <v>10</v>
      </c>
    </row>
    <row r="1655" spans="1:8" x14ac:dyDescent="0.2">
      <c r="A1655" s="3" t="s">
        <v>7</v>
      </c>
      <c r="B1655" t="s">
        <v>14</v>
      </c>
      <c r="C1655" t="str">
        <f t="shared" si="52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1"/>
        <v>9</v>
      </c>
    </row>
    <row r="1656" spans="1:8" x14ac:dyDescent="0.2">
      <c r="A1656" s="3" t="s">
        <v>7</v>
      </c>
      <c r="B1656" t="s">
        <v>14</v>
      </c>
      <c r="C1656" t="str">
        <f t="shared" si="52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1"/>
        <v>8</v>
      </c>
    </row>
    <row r="1657" spans="1:8" x14ac:dyDescent="0.2">
      <c r="A1657" s="3" t="s">
        <v>7</v>
      </c>
      <c r="B1657" t="s">
        <v>14</v>
      </c>
      <c r="C1657" t="str">
        <f t="shared" si="52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1"/>
        <v>8</v>
      </c>
    </row>
    <row r="1658" spans="1:8" x14ac:dyDescent="0.2">
      <c r="A1658" s="3" t="s">
        <v>7</v>
      </c>
      <c r="B1658" t="s">
        <v>14</v>
      </c>
      <c r="C1658" t="str">
        <f t="shared" si="52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1"/>
        <v>8</v>
      </c>
    </row>
    <row r="1659" spans="1:8" x14ac:dyDescent="0.2">
      <c r="A1659" s="3" t="s">
        <v>7</v>
      </c>
      <c r="B1659" t="s">
        <v>14</v>
      </c>
      <c r="C1659" t="str">
        <f t="shared" si="52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1"/>
        <v>6</v>
      </c>
    </row>
    <row r="1660" spans="1:8" x14ac:dyDescent="0.2">
      <c r="A1660" s="3" t="s">
        <v>7</v>
      </c>
      <c r="B1660" t="s">
        <v>14</v>
      </c>
      <c r="C1660" t="str">
        <f t="shared" si="52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1"/>
        <v>6</v>
      </c>
    </row>
    <row r="1661" spans="1:8" x14ac:dyDescent="0.2">
      <c r="A1661" s="3" t="s">
        <v>7</v>
      </c>
      <c r="B1661" t="s">
        <v>14</v>
      </c>
      <c r="C1661" t="str">
        <f t="shared" si="52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1"/>
        <v>4</v>
      </c>
    </row>
    <row r="1662" spans="1:8" x14ac:dyDescent="0.2">
      <c r="A1662" s="3" t="s">
        <v>7</v>
      </c>
      <c r="B1662" t="s">
        <v>14</v>
      </c>
      <c r="C1662" t="str">
        <f t="shared" si="52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1"/>
        <v>4</v>
      </c>
    </row>
    <row r="1663" spans="1:8" x14ac:dyDescent="0.2">
      <c r="A1663" s="3" t="s">
        <v>7</v>
      </c>
      <c r="B1663" t="s">
        <v>14</v>
      </c>
      <c r="C1663" t="str">
        <f t="shared" si="52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1"/>
        <v>3</v>
      </c>
    </row>
    <row r="1664" spans="1:8" x14ac:dyDescent="0.2">
      <c r="A1664" s="3" t="s">
        <v>7</v>
      </c>
      <c r="B1664" t="s">
        <v>14</v>
      </c>
      <c r="C1664" t="str">
        <f t="shared" si="52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1"/>
        <v>1</v>
      </c>
    </row>
    <row r="1665" spans="1:8" x14ac:dyDescent="0.2">
      <c r="A1665" s="3" t="s">
        <v>7</v>
      </c>
      <c r="B1665" t="s">
        <v>14</v>
      </c>
      <c r="C1665" t="str">
        <f t="shared" si="52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1"/>
        <v>1</v>
      </c>
    </row>
    <row r="1666" spans="1:8" x14ac:dyDescent="0.2">
      <c r="A1666" s="3" t="s">
        <v>7</v>
      </c>
      <c r="B1666" t="s">
        <v>14</v>
      </c>
      <c r="C1666" t="str">
        <f t="shared" si="52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1"/>
        <v>1</v>
      </c>
    </row>
    <row r="1667" spans="1:8" x14ac:dyDescent="0.2">
      <c r="A1667" s="3" t="s">
        <v>7</v>
      </c>
      <c r="B1667" t="s">
        <v>14</v>
      </c>
      <c r="C1667" t="str">
        <f t="shared" si="52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ref="H1667:H1730" si="53">F1667-G1667</f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4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3"/>
        <v>0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 t="shared" si="54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3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3"/>
        <v>0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3"/>
        <v>-3</v>
      </c>
    </row>
    <row r="1685" spans="1:8" x14ac:dyDescent="0.2">
      <c r="A1685" s="3" t="s">
        <v>7</v>
      </c>
      <c r="B1685" t="s">
        <v>14</v>
      </c>
      <c r="C1685" t="str">
        <f t="shared" si="54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3"/>
        <v>-4</v>
      </c>
    </row>
    <row r="1686" spans="1:8" x14ac:dyDescent="0.2">
      <c r="A1686" s="3" t="s">
        <v>7</v>
      </c>
      <c r="B1686" t="s">
        <v>14</v>
      </c>
      <c r="C1686" t="str">
        <f t="shared" si="54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3"/>
        <v>0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3"/>
        <v>-4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3"/>
        <v>-5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3"/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si="53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3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3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3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3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3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3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3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3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3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3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3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3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3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3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3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3"/>
        <v>-6</v>
      </c>
    </row>
    <row r="1731" spans="1:8" x14ac:dyDescent="0.2">
      <c r="A1731" s="3" t="s">
        <v>7</v>
      </c>
      <c r="B1731" t="s">
        <v>14</v>
      </c>
      <c r="C1731" t="str">
        <f t="shared" si="54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ref="H1731:H1794" si="55">F1731-G1731</f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6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s="3" t="s">
        <v>7</v>
      </c>
      <c r="B1760" t="s">
        <v>14</v>
      </c>
      <c r="C1760" t="str">
        <f t="shared" si="56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 t="shared" si="55"/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si="55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5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5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5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5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5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5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5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5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5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5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5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5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5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5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5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5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5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5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5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5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5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5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5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5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5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5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5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5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5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5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5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5"/>
        <v>4</v>
      </c>
    </row>
    <row r="1795" spans="1:8" x14ac:dyDescent="0.2">
      <c r="A1795" t="s">
        <v>7</v>
      </c>
      <c r="B1795" s="1" t="s">
        <v>17</v>
      </c>
      <c r="C1795" t="str">
        <f t="shared" si="56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ref="H1795:H1858" si="57">F1795-G1795</f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58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si="57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57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57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57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57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57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57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57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57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57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57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57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57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57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57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57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57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57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57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57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57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57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57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57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57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57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57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57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57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57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57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57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57"/>
        <v>-2</v>
      </c>
    </row>
    <row r="1859" spans="1:8" x14ac:dyDescent="0.2">
      <c r="A1859" t="s">
        <v>7</v>
      </c>
      <c r="B1859" s="1" t="s">
        <v>17</v>
      </c>
      <c r="C1859" t="str">
        <f t="shared" si="58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ref="H1859:H1922" si="59">F1859-G1859</f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0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59"/>
        <v>0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59"/>
        <v>0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si="59"/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59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59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59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59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59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59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59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59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59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59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59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59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59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59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59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59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59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59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59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59"/>
        <v>0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59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59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59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59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59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59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59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59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59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59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59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59"/>
        <v>-5</v>
      </c>
    </row>
    <row r="1923" spans="1:8" x14ac:dyDescent="0.2">
      <c r="A1923" t="s">
        <v>7</v>
      </c>
      <c r="B1923" s="1" t="s">
        <v>17</v>
      </c>
      <c r="C1923" t="str">
        <f t="shared" si="60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ref="H1923:H1986" si="61">F1923-G1923</f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2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si="61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1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1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1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1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1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1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1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1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1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1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1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1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1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1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1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1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1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1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1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1"/>
        <v>0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1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1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1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1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1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1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1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1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1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1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1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1"/>
        <v>-7</v>
      </c>
    </row>
    <row r="1987" spans="1:8" x14ac:dyDescent="0.2">
      <c r="A1987" t="s">
        <v>7</v>
      </c>
      <c r="B1987" s="1" t="s">
        <v>17</v>
      </c>
      <c r="C1987" t="str">
        <f t="shared" si="62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ref="H1987:H2050" si="63">F1987-G1987</f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4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3"/>
        <v>0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si="63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3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3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3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3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3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3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3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3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3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3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3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3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3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3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3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3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3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3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3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3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3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3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3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3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3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3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3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3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3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3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3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3"/>
        <v>-8</v>
      </c>
    </row>
    <row r="2051" spans="1:8" x14ac:dyDescent="0.2">
      <c r="A2051" t="s">
        <v>7</v>
      </c>
      <c r="B2051" s="1" t="s">
        <v>17</v>
      </c>
      <c r="C2051" t="str">
        <f t="shared" si="64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ref="H2051:H2114" si="65">F2051-G2051</f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6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5"/>
        <v>0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si="65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5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5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5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5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5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5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5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5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5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5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5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5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5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5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5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5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5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5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5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5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5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5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5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5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5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>
        <f t="shared" si="65"/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>
        <f t="shared" si="65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>
        <f t="shared" si="65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>
        <f t="shared" si="65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>
        <f t="shared" si="65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>
        <f t="shared" si="65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>
        <f t="shared" si="65"/>
        <v>22</v>
      </c>
    </row>
    <row r="2115" spans="1:8" x14ac:dyDescent="0.2">
      <c r="A2115" t="s">
        <v>7</v>
      </c>
      <c r="B2115" s="1" t="s">
        <v>17</v>
      </c>
      <c r="C2115" t="str">
        <f t="shared" si="66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>
        <f t="shared" ref="H2115:H2178" si="67">F2115-G2115</f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68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>
        <f t="shared" si="67"/>
        <v>21</v>
      </c>
    </row>
    <row r="2117" spans="1:8" x14ac:dyDescent="0.2">
      <c r="A2117" t="s">
        <v>7</v>
      </c>
      <c r="B2117" s="1" t="s">
        <v>17</v>
      </c>
      <c r="C2117" t="str">
        <f t="shared" si="68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>
        <f t="shared" si="67"/>
        <v>20</v>
      </c>
    </row>
    <row r="2118" spans="1:8" x14ac:dyDescent="0.2">
      <c r="A2118" t="s">
        <v>7</v>
      </c>
      <c r="B2118" s="1" t="s">
        <v>17</v>
      </c>
      <c r="C2118" t="str">
        <f t="shared" si="68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>
        <f t="shared" si="67"/>
        <v>19</v>
      </c>
    </row>
    <row r="2119" spans="1:8" x14ac:dyDescent="0.2">
      <c r="A2119" t="s">
        <v>7</v>
      </c>
      <c r="B2119" s="1" t="s">
        <v>17</v>
      </c>
      <c r="C2119" t="str">
        <f t="shared" si="68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>
        <f t="shared" si="67"/>
        <v>19</v>
      </c>
    </row>
    <row r="2120" spans="1:8" x14ac:dyDescent="0.2">
      <c r="A2120" t="s">
        <v>7</v>
      </c>
      <c r="B2120" s="1" t="s">
        <v>17</v>
      </c>
      <c r="C2120" t="str">
        <f t="shared" si="68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>
        <f t="shared" si="67"/>
        <v>18</v>
      </c>
    </row>
    <row r="2121" spans="1:8" x14ac:dyDescent="0.2">
      <c r="A2121" t="s">
        <v>7</v>
      </c>
      <c r="B2121" s="1" t="s">
        <v>17</v>
      </c>
      <c r="C2121" t="str">
        <f t="shared" si="68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>
        <f t="shared" si="67"/>
        <v>18</v>
      </c>
    </row>
    <row r="2122" spans="1:8" x14ac:dyDescent="0.2">
      <c r="A2122" t="s">
        <v>7</v>
      </c>
      <c r="B2122" s="1" t="s">
        <v>17</v>
      </c>
      <c r="C2122" t="str">
        <f t="shared" si="68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>
        <f t="shared" si="67"/>
        <v>18</v>
      </c>
    </row>
    <row r="2123" spans="1:8" x14ac:dyDescent="0.2">
      <c r="A2123" t="s">
        <v>7</v>
      </c>
      <c r="B2123" s="1" t="s">
        <v>17</v>
      </c>
      <c r="C2123" t="str">
        <f t="shared" si="68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>
        <f t="shared" si="67"/>
        <v>18</v>
      </c>
    </row>
    <row r="2124" spans="1:8" x14ac:dyDescent="0.2">
      <c r="A2124" t="s">
        <v>7</v>
      </c>
      <c r="B2124" s="1" t="s">
        <v>17</v>
      </c>
      <c r="C2124" t="str">
        <f t="shared" si="68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>
        <f t="shared" si="67"/>
        <v>18</v>
      </c>
    </row>
    <row r="2125" spans="1:8" x14ac:dyDescent="0.2">
      <c r="A2125" t="s">
        <v>7</v>
      </c>
      <c r="B2125" s="1" t="s">
        <v>17</v>
      </c>
      <c r="C2125" t="str">
        <f t="shared" si="68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>
        <f t="shared" si="67"/>
        <v>18</v>
      </c>
    </row>
    <row r="2126" spans="1:8" x14ac:dyDescent="0.2">
      <c r="A2126" t="s">
        <v>7</v>
      </c>
      <c r="B2126" s="1" t="s">
        <v>17</v>
      </c>
      <c r="C2126" t="str">
        <f t="shared" si="68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>
        <f t="shared" si="67"/>
        <v>17</v>
      </c>
    </row>
    <row r="2127" spans="1:8" x14ac:dyDescent="0.2">
      <c r="A2127" t="s">
        <v>7</v>
      </c>
      <c r="B2127" s="1" t="s">
        <v>17</v>
      </c>
      <c r="C2127" t="str">
        <f t="shared" si="68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>
        <f t="shared" si="67"/>
        <v>17</v>
      </c>
    </row>
    <row r="2128" spans="1:8" x14ac:dyDescent="0.2">
      <c r="A2128" t="s">
        <v>7</v>
      </c>
      <c r="B2128" s="1" t="s">
        <v>17</v>
      </c>
      <c r="C2128" t="str">
        <f t="shared" si="68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>
        <f t="shared" si="67"/>
        <v>17</v>
      </c>
    </row>
    <row r="2129" spans="1:8" x14ac:dyDescent="0.2">
      <c r="A2129" t="s">
        <v>7</v>
      </c>
      <c r="B2129" s="1" t="s">
        <v>17</v>
      </c>
      <c r="C2129" t="str">
        <f t="shared" si="68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>
        <f t="shared" si="67"/>
        <v>16</v>
      </c>
    </row>
    <row r="2130" spans="1:8" x14ac:dyDescent="0.2">
      <c r="A2130" t="s">
        <v>7</v>
      </c>
      <c r="B2130" s="1" t="s">
        <v>17</v>
      </c>
      <c r="C2130" t="str">
        <f t="shared" si="68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>
        <f t="shared" si="67"/>
        <v>16</v>
      </c>
    </row>
    <row r="2131" spans="1:8" x14ac:dyDescent="0.2">
      <c r="A2131" t="s">
        <v>7</v>
      </c>
      <c r="B2131" s="1" t="s">
        <v>17</v>
      </c>
      <c r="C2131" t="str">
        <f t="shared" si="68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>
        <f t="shared" si="67"/>
        <v>15</v>
      </c>
    </row>
    <row r="2132" spans="1:8" x14ac:dyDescent="0.2">
      <c r="A2132" t="s">
        <v>7</v>
      </c>
      <c r="B2132" s="1" t="s">
        <v>17</v>
      </c>
      <c r="C2132" t="str">
        <f t="shared" si="68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>
        <f t="shared" si="67"/>
        <v>15</v>
      </c>
    </row>
    <row r="2133" spans="1:8" x14ac:dyDescent="0.2">
      <c r="A2133" t="s">
        <v>7</v>
      </c>
      <c r="B2133" s="1" t="s">
        <v>17</v>
      </c>
      <c r="C2133" t="str">
        <f t="shared" si="68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>
        <f t="shared" si="67"/>
        <v>15</v>
      </c>
    </row>
    <row r="2134" spans="1:8" x14ac:dyDescent="0.2">
      <c r="A2134" t="s">
        <v>7</v>
      </c>
      <c r="B2134" s="1" t="s">
        <v>17</v>
      </c>
      <c r="C2134" t="str">
        <f t="shared" si="68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>
        <f t="shared" si="67"/>
        <v>15</v>
      </c>
    </row>
    <row r="2135" spans="1:8" x14ac:dyDescent="0.2">
      <c r="A2135" t="s">
        <v>7</v>
      </c>
      <c r="B2135" s="1" t="s">
        <v>17</v>
      </c>
      <c r="C2135" t="str">
        <f t="shared" si="68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>
        <f t="shared" si="67"/>
        <v>15</v>
      </c>
    </row>
    <row r="2136" spans="1:8" x14ac:dyDescent="0.2">
      <c r="A2136" t="s">
        <v>7</v>
      </c>
      <c r="B2136" s="1" t="s">
        <v>17</v>
      </c>
      <c r="C2136" t="str">
        <f t="shared" si="68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>
        <f t="shared" si="67"/>
        <v>14</v>
      </c>
    </row>
    <row r="2137" spans="1:8" x14ac:dyDescent="0.2">
      <c r="A2137" t="s">
        <v>7</v>
      </c>
      <c r="B2137" s="1" t="s">
        <v>17</v>
      </c>
      <c r="C2137" t="str">
        <f t="shared" si="68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>
        <f t="shared" si="67"/>
        <v>14</v>
      </c>
    </row>
    <row r="2138" spans="1:8" x14ac:dyDescent="0.2">
      <c r="A2138" t="s">
        <v>7</v>
      </c>
      <c r="B2138" s="1" t="s">
        <v>17</v>
      </c>
      <c r="C2138" t="str">
        <f t="shared" si="68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>
        <f t="shared" si="67"/>
        <v>13</v>
      </c>
    </row>
    <row r="2139" spans="1:8" x14ac:dyDescent="0.2">
      <c r="A2139" t="s">
        <v>7</v>
      </c>
      <c r="B2139" s="1" t="s">
        <v>17</v>
      </c>
      <c r="C2139" t="str">
        <f t="shared" si="68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>
        <f t="shared" si="67"/>
        <v>13</v>
      </c>
    </row>
    <row r="2140" spans="1:8" x14ac:dyDescent="0.2">
      <c r="A2140" t="s">
        <v>7</v>
      </c>
      <c r="B2140" s="1" t="s">
        <v>17</v>
      </c>
      <c r="C2140" t="str">
        <f t="shared" si="68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>
        <f t="shared" si="67"/>
        <v>13</v>
      </c>
    </row>
    <row r="2141" spans="1:8" x14ac:dyDescent="0.2">
      <c r="A2141" t="s">
        <v>7</v>
      </c>
      <c r="B2141" s="1" t="s">
        <v>17</v>
      </c>
      <c r="C2141" t="str">
        <f t="shared" si="68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>
        <f t="shared" si="67"/>
        <v>13</v>
      </c>
    </row>
    <row r="2142" spans="1:8" x14ac:dyDescent="0.2">
      <c r="A2142" t="s">
        <v>7</v>
      </c>
      <c r="B2142" s="1" t="s">
        <v>17</v>
      </c>
      <c r="C2142" t="str">
        <f t="shared" si="68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>
        <f t="shared" si="67"/>
        <v>12</v>
      </c>
    </row>
    <row r="2143" spans="1:8" x14ac:dyDescent="0.2">
      <c r="A2143" t="s">
        <v>7</v>
      </c>
      <c r="B2143" s="1" t="s">
        <v>17</v>
      </c>
      <c r="C2143" t="str">
        <f t="shared" si="68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>
        <f t="shared" si="67"/>
        <v>12</v>
      </c>
    </row>
    <row r="2144" spans="1:8" x14ac:dyDescent="0.2">
      <c r="A2144" t="s">
        <v>7</v>
      </c>
      <c r="B2144" s="1" t="s">
        <v>17</v>
      </c>
      <c r="C2144" t="str">
        <f t="shared" si="68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>
        <f t="shared" si="67"/>
        <v>12</v>
      </c>
    </row>
    <row r="2145" spans="1:8" x14ac:dyDescent="0.2">
      <c r="A2145" t="s">
        <v>7</v>
      </c>
      <c r="B2145" s="1" t="s">
        <v>17</v>
      </c>
      <c r="C2145" t="str">
        <f t="shared" si="68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>
        <f t="shared" si="67"/>
        <v>12</v>
      </c>
    </row>
    <row r="2146" spans="1:8" x14ac:dyDescent="0.2">
      <c r="A2146" t="s">
        <v>7</v>
      </c>
      <c r="B2146" s="1" t="s">
        <v>17</v>
      </c>
      <c r="C2146" t="str">
        <f t="shared" si="68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>
        <f t="shared" si="67"/>
        <v>12</v>
      </c>
    </row>
    <row r="2147" spans="1:8" x14ac:dyDescent="0.2">
      <c r="A2147" t="s">
        <v>7</v>
      </c>
      <c r="B2147" s="1" t="s">
        <v>17</v>
      </c>
      <c r="C2147" t="str">
        <f t="shared" si="68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>
        <f t="shared" si="67"/>
        <v>12</v>
      </c>
    </row>
    <row r="2148" spans="1:8" x14ac:dyDescent="0.2">
      <c r="A2148" t="s">
        <v>7</v>
      </c>
      <c r="B2148" s="1" t="s">
        <v>17</v>
      </c>
      <c r="C2148" t="str">
        <f t="shared" si="68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>
        <f t="shared" si="67"/>
        <v>12</v>
      </c>
    </row>
    <row r="2149" spans="1:8" x14ac:dyDescent="0.2">
      <c r="A2149" t="s">
        <v>7</v>
      </c>
      <c r="B2149" s="1" t="s">
        <v>17</v>
      </c>
      <c r="C2149" t="str">
        <f t="shared" si="68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>
        <f t="shared" si="67"/>
        <v>11</v>
      </c>
    </row>
    <row r="2150" spans="1:8" x14ac:dyDescent="0.2">
      <c r="A2150" t="s">
        <v>7</v>
      </c>
      <c r="B2150" s="1" t="s">
        <v>17</v>
      </c>
      <c r="C2150" t="str">
        <f t="shared" si="68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>
        <f t="shared" si="67"/>
        <v>11</v>
      </c>
    </row>
    <row r="2151" spans="1:8" x14ac:dyDescent="0.2">
      <c r="A2151" t="s">
        <v>7</v>
      </c>
      <c r="B2151" s="1" t="s">
        <v>17</v>
      </c>
      <c r="C2151" t="str">
        <f t="shared" si="68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>
        <f t="shared" si="67"/>
        <v>11</v>
      </c>
    </row>
    <row r="2152" spans="1:8" x14ac:dyDescent="0.2">
      <c r="A2152" t="s">
        <v>7</v>
      </c>
      <c r="B2152" s="1" t="s">
        <v>17</v>
      </c>
      <c r="C2152" t="str">
        <f t="shared" si="68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>
        <f t="shared" si="67"/>
        <v>11</v>
      </c>
    </row>
    <row r="2153" spans="1:8" x14ac:dyDescent="0.2">
      <c r="A2153" t="s">
        <v>7</v>
      </c>
      <c r="B2153" s="1" t="s">
        <v>17</v>
      </c>
      <c r="C2153" t="str">
        <f t="shared" si="68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>
        <f t="shared" si="67"/>
        <v>11</v>
      </c>
    </row>
    <row r="2154" spans="1:8" x14ac:dyDescent="0.2">
      <c r="A2154" t="s">
        <v>7</v>
      </c>
      <c r="B2154" s="1" t="s">
        <v>17</v>
      </c>
      <c r="C2154" t="str">
        <f t="shared" si="68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>
        <f t="shared" si="67"/>
        <v>11</v>
      </c>
    </row>
    <row r="2155" spans="1:8" x14ac:dyDescent="0.2">
      <c r="A2155" t="s">
        <v>7</v>
      </c>
      <c r="B2155" s="1" t="s">
        <v>17</v>
      </c>
      <c r="C2155" t="str">
        <f t="shared" si="68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>
        <f t="shared" si="67"/>
        <v>10</v>
      </c>
    </row>
    <row r="2156" spans="1:8" x14ac:dyDescent="0.2">
      <c r="A2156" t="s">
        <v>7</v>
      </c>
      <c r="B2156" s="1" t="s">
        <v>17</v>
      </c>
      <c r="C2156" t="str">
        <f t="shared" si="68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>
        <f t="shared" si="67"/>
        <v>10</v>
      </c>
    </row>
    <row r="2157" spans="1:8" x14ac:dyDescent="0.2">
      <c r="A2157" t="s">
        <v>7</v>
      </c>
      <c r="B2157" s="1" t="s">
        <v>17</v>
      </c>
      <c r="C2157" t="str">
        <f t="shared" si="68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>
        <f t="shared" si="67"/>
        <v>10</v>
      </c>
    </row>
    <row r="2158" spans="1:8" x14ac:dyDescent="0.2">
      <c r="A2158" t="s">
        <v>7</v>
      </c>
      <c r="B2158" s="1" t="s">
        <v>17</v>
      </c>
      <c r="C2158" t="str">
        <f t="shared" si="68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>
        <f t="shared" si="67"/>
        <v>10</v>
      </c>
    </row>
    <row r="2159" spans="1:8" x14ac:dyDescent="0.2">
      <c r="A2159" t="s">
        <v>7</v>
      </c>
      <c r="B2159" s="1" t="s">
        <v>17</v>
      </c>
      <c r="C2159" t="str">
        <f t="shared" si="68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>
        <f t="shared" si="67"/>
        <v>9</v>
      </c>
    </row>
    <row r="2160" spans="1:8" x14ac:dyDescent="0.2">
      <c r="A2160" t="s">
        <v>7</v>
      </c>
      <c r="B2160" s="1" t="s">
        <v>17</v>
      </c>
      <c r="C2160" t="str">
        <f t="shared" si="68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>
        <f t="shared" si="67"/>
        <v>9</v>
      </c>
    </row>
    <row r="2161" spans="1:8" x14ac:dyDescent="0.2">
      <c r="A2161" t="s">
        <v>7</v>
      </c>
      <c r="B2161" s="1" t="s">
        <v>17</v>
      </c>
      <c r="C2161" t="str">
        <f t="shared" si="68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>
        <f t="shared" si="67"/>
        <v>9</v>
      </c>
    </row>
    <row r="2162" spans="1:8" x14ac:dyDescent="0.2">
      <c r="A2162" t="s">
        <v>7</v>
      </c>
      <c r="B2162" s="1" t="s">
        <v>17</v>
      </c>
      <c r="C2162" t="str">
        <f t="shared" si="68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>
        <f t="shared" si="67"/>
        <v>9</v>
      </c>
    </row>
    <row r="2163" spans="1:8" x14ac:dyDescent="0.2">
      <c r="A2163" t="s">
        <v>7</v>
      </c>
      <c r="B2163" s="1" t="s">
        <v>17</v>
      </c>
      <c r="C2163" t="str">
        <f t="shared" si="68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>
        <f t="shared" si="67"/>
        <v>9</v>
      </c>
    </row>
    <row r="2164" spans="1:8" x14ac:dyDescent="0.2">
      <c r="A2164" t="s">
        <v>7</v>
      </c>
      <c r="B2164" s="1" t="s">
        <v>17</v>
      </c>
      <c r="C2164" t="str">
        <f t="shared" si="68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>
        <f t="shared" si="67"/>
        <v>9</v>
      </c>
    </row>
    <row r="2165" spans="1:8" x14ac:dyDescent="0.2">
      <c r="A2165" t="s">
        <v>7</v>
      </c>
      <c r="B2165" s="1" t="s">
        <v>17</v>
      </c>
      <c r="C2165" t="str">
        <f t="shared" si="68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>
        <f t="shared" si="67"/>
        <v>9</v>
      </c>
    </row>
    <row r="2166" spans="1:8" x14ac:dyDescent="0.2">
      <c r="A2166" t="s">
        <v>7</v>
      </c>
      <c r="B2166" s="1" t="s">
        <v>17</v>
      </c>
      <c r="C2166" t="str">
        <f t="shared" si="68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>
        <f t="shared" si="67"/>
        <v>9</v>
      </c>
    </row>
    <row r="2167" spans="1:8" x14ac:dyDescent="0.2">
      <c r="A2167" t="s">
        <v>7</v>
      </c>
      <c r="B2167" s="1" t="s">
        <v>17</v>
      </c>
      <c r="C2167" t="str">
        <f t="shared" si="68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>
        <f t="shared" si="67"/>
        <v>8</v>
      </c>
    </row>
    <row r="2168" spans="1:8" x14ac:dyDescent="0.2">
      <c r="A2168" t="s">
        <v>7</v>
      </c>
      <c r="B2168" s="1" t="s">
        <v>17</v>
      </c>
      <c r="C2168" t="str">
        <f t="shared" si="68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>
        <f t="shared" si="67"/>
        <v>8</v>
      </c>
    </row>
    <row r="2169" spans="1:8" x14ac:dyDescent="0.2">
      <c r="A2169" t="s">
        <v>7</v>
      </c>
      <c r="B2169" s="1" t="s">
        <v>17</v>
      </c>
      <c r="C2169" t="str">
        <f t="shared" si="68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>
        <f t="shared" si="67"/>
        <v>8</v>
      </c>
    </row>
    <row r="2170" spans="1:8" x14ac:dyDescent="0.2">
      <c r="A2170" t="s">
        <v>7</v>
      </c>
      <c r="B2170" s="1" t="s">
        <v>17</v>
      </c>
      <c r="C2170" t="str">
        <f t="shared" si="68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>
        <f t="shared" si="67"/>
        <v>8</v>
      </c>
    </row>
    <row r="2171" spans="1:8" x14ac:dyDescent="0.2">
      <c r="A2171" t="s">
        <v>7</v>
      </c>
      <c r="B2171" s="1" t="s">
        <v>17</v>
      </c>
      <c r="C2171" t="str">
        <f t="shared" si="68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>
        <f t="shared" si="67"/>
        <v>7</v>
      </c>
    </row>
    <row r="2172" spans="1:8" x14ac:dyDescent="0.2">
      <c r="A2172" t="s">
        <v>7</v>
      </c>
      <c r="B2172" s="1" t="s">
        <v>17</v>
      </c>
      <c r="C2172" t="str">
        <f t="shared" si="68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>
        <f t="shared" si="67"/>
        <v>7</v>
      </c>
    </row>
    <row r="2173" spans="1:8" x14ac:dyDescent="0.2">
      <c r="A2173" t="s">
        <v>7</v>
      </c>
      <c r="B2173" s="1" t="s">
        <v>17</v>
      </c>
      <c r="C2173" t="str">
        <f t="shared" si="68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>
        <f t="shared" si="67"/>
        <v>7</v>
      </c>
    </row>
    <row r="2174" spans="1:8" x14ac:dyDescent="0.2">
      <c r="A2174" t="s">
        <v>7</v>
      </c>
      <c r="B2174" s="1" t="s">
        <v>17</v>
      </c>
      <c r="C2174" t="str">
        <f t="shared" si="68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>
        <f t="shared" si="67"/>
        <v>7</v>
      </c>
    </row>
    <row r="2175" spans="1:8" x14ac:dyDescent="0.2">
      <c r="A2175" t="s">
        <v>7</v>
      </c>
      <c r="B2175" s="1" t="s">
        <v>17</v>
      </c>
      <c r="C2175" t="str">
        <f t="shared" si="68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>
        <f t="shared" si="67"/>
        <v>7</v>
      </c>
    </row>
    <row r="2176" spans="1:8" x14ac:dyDescent="0.2">
      <c r="A2176" t="s">
        <v>7</v>
      </c>
      <c r="B2176" s="1" t="s">
        <v>17</v>
      </c>
      <c r="C2176" t="str">
        <f t="shared" si="68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>
        <f t="shared" si="67"/>
        <v>7</v>
      </c>
    </row>
    <row r="2177" spans="1:8" x14ac:dyDescent="0.2">
      <c r="A2177" t="s">
        <v>7</v>
      </c>
      <c r="B2177" s="1" t="s">
        <v>17</v>
      </c>
      <c r="C2177" t="str">
        <f t="shared" si="68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>
        <f t="shared" si="67"/>
        <v>7</v>
      </c>
    </row>
    <row r="2178" spans="1:8" x14ac:dyDescent="0.2">
      <c r="A2178" t="s">
        <v>7</v>
      </c>
      <c r="B2178" s="1" t="s">
        <v>17</v>
      </c>
      <c r="C2178" t="str">
        <f t="shared" si="68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>
        <f t="shared" si="67"/>
        <v>7</v>
      </c>
    </row>
    <row r="2179" spans="1:8" x14ac:dyDescent="0.2">
      <c r="A2179" t="s">
        <v>7</v>
      </c>
      <c r="B2179" s="1" t="s">
        <v>17</v>
      </c>
      <c r="C2179" t="str">
        <f t="shared" si="68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>
        <f t="shared" ref="H2179:H2242" si="69">F2179-G2179</f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0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>
        <f t="shared" si="69"/>
        <v>6</v>
      </c>
    </row>
    <row r="2181" spans="1:8" x14ac:dyDescent="0.2">
      <c r="A2181" t="s">
        <v>7</v>
      </c>
      <c r="B2181" s="1" t="s">
        <v>17</v>
      </c>
      <c r="C2181" t="str">
        <f t="shared" si="70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>
        <f t="shared" si="69"/>
        <v>6</v>
      </c>
    </row>
    <row r="2182" spans="1:8" x14ac:dyDescent="0.2">
      <c r="A2182" t="s">
        <v>7</v>
      </c>
      <c r="B2182" s="1" t="s">
        <v>17</v>
      </c>
      <c r="C2182" t="str">
        <f t="shared" si="70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>
        <f t="shared" si="69"/>
        <v>6</v>
      </c>
    </row>
    <row r="2183" spans="1:8" x14ac:dyDescent="0.2">
      <c r="A2183" t="s">
        <v>7</v>
      </c>
      <c r="B2183" s="1" t="s">
        <v>17</v>
      </c>
      <c r="C2183" t="str">
        <f t="shared" si="70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>
        <f t="shared" si="69"/>
        <v>5</v>
      </c>
    </row>
    <row r="2184" spans="1:8" x14ac:dyDescent="0.2">
      <c r="A2184" t="s">
        <v>7</v>
      </c>
      <c r="B2184" s="1" t="s">
        <v>17</v>
      </c>
      <c r="C2184" t="str">
        <f t="shared" si="70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>
        <f t="shared" si="69"/>
        <v>5</v>
      </c>
    </row>
    <row r="2185" spans="1:8" x14ac:dyDescent="0.2">
      <c r="A2185" t="s">
        <v>7</v>
      </c>
      <c r="B2185" s="1" t="s">
        <v>17</v>
      </c>
      <c r="C2185" t="str">
        <f t="shared" si="70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>
        <f t="shared" si="69"/>
        <v>5</v>
      </c>
    </row>
    <row r="2186" spans="1:8" x14ac:dyDescent="0.2">
      <c r="A2186" t="s">
        <v>7</v>
      </c>
      <c r="B2186" s="1" t="s">
        <v>17</v>
      </c>
      <c r="C2186" t="str">
        <f t="shared" si="70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>
        <f t="shared" si="69"/>
        <v>5</v>
      </c>
    </row>
    <row r="2187" spans="1:8" x14ac:dyDescent="0.2">
      <c r="A2187" t="s">
        <v>7</v>
      </c>
      <c r="B2187" s="1" t="s">
        <v>17</v>
      </c>
      <c r="C2187" t="str">
        <f t="shared" si="70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>
        <f t="shared" si="69"/>
        <v>5</v>
      </c>
    </row>
    <row r="2188" spans="1:8" x14ac:dyDescent="0.2">
      <c r="A2188" t="s">
        <v>7</v>
      </c>
      <c r="B2188" s="1" t="s">
        <v>17</v>
      </c>
      <c r="C2188" t="str">
        <f t="shared" si="70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>
        <f t="shared" si="69"/>
        <v>5</v>
      </c>
    </row>
    <row r="2189" spans="1:8" x14ac:dyDescent="0.2">
      <c r="A2189" t="s">
        <v>7</v>
      </c>
      <c r="B2189" s="1" t="s">
        <v>17</v>
      </c>
      <c r="C2189" t="str">
        <f t="shared" si="70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>
        <f t="shared" si="69"/>
        <v>5</v>
      </c>
    </row>
    <row r="2190" spans="1:8" x14ac:dyDescent="0.2">
      <c r="A2190" t="s">
        <v>7</v>
      </c>
      <c r="B2190" s="1" t="s">
        <v>17</v>
      </c>
      <c r="C2190" t="str">
        <f t="shared" si="70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>
        <f t="shared" si="69"/>
        <v>4</v>
      </c>
    </row>
    <row r="2191" spans="1:8" x14ac:dyDescent="0.2">
      <c r="A2191" t="s">
        <v>7</v>
      </c>
      <c r="B2191" s="1" t="s">
        <v>17</v>
      </c>
      <c r="C2191" t="str">
        <f t="shared" si="70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>
        <f t="shared" si="69"/>
        <v>4</v>
      </c>
    </row>
    <row r="2192" spans="1:8" x14ac:dyDescent="0.2">
      <c r="A2192" t="s">
        <v>7</v>
      </c>
      <c r="B2192" s="1" t="s">
        <v>17</v>
      </c>
      <c r="C2192" t="str">
        <f t="shared" si="70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>
        <f t="shared" si="69"/>
        <v>4</v>
      </c>
    </row>
    <row r="2193" spans="1:8" x14ac:dyDescent="0.2">
      <c r="A2193" t="s">
        <v>7</v>
      </c>
      <c r="B2193" s="1" t="s">
        <v>17</v>
      </c>
      <c r="C2193" t="str">
        <f t="shared" si="70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>
        <f t="shared" si="69"/>
        <v>4</v>
      </c>
    </row>
    <row r="2194" spans="1:8" x14ac:dyDescent="0.2">
      <c r="A2194" t="s">
        <v>7</v>
      </c>
      <c r="B2194" s="1" t="s">
        <v>17</v>
      </c>
      <c r="C2194" t="str">
        <f t="shared" si="70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>
        <f t="shared" si="69"/>
        <v>4</v>
      </c>
    </row>
    <row r="2195" spans="1:8" x14ac:dyDescent="0.2">
      <c r="A2195" t="s">
        <v>7</v>
      </c>
      <c r="B2195" s="1" t="s">
        <v>17</v>
      </c>
      <c r="C2195" t="str">
        <f t="shared" si="70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>
        <f t="shared" si="69"/>
        <v>3</v>
      </c>
    </row>
    <row r="2196" spans="1:8" x14ac:dyDescent="0.2">
      <c r="A2196" t="s">
        <v>7</v>
      </c>
      <c r="B2196" s="1" t="s">
        <v>17</v>
      </c>
      <c r="C2196" t="str">
        <f t="shared" si="70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>
        <f t="shared" si="69"/>
        <v>3</v>
      </c>
    </row>
    <row r="2197" spans="1:8" x14ac:dyDescent="0.2">
      <c r="A2197" t="s">
        <v>7</v>
      </c>
      <c r="B2197" s="1" t="s">
        <v>17</v>
      </c>
      <c r="C2197" t="str">
        <f t="shared" si="70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>
        <f t="shared" si="69"/>
        <v>3</v>
      </c>
    </row>
    <row r="2198" spans="1:8" x14ac:dyDescent="0.2">
      <c r="A2198" t="s">
        <v>7</v>
      </c>
      <c r="B2198" s="1" t="s">
        <v>17</v>
      </c>
      <c r="C2198" t="str">
        <f t="shared" si="70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>
        <f t="shared" si="69"/>
        <v>3</v>
      </c>
    </row>
    <row r="2199" spans="1:8" x14ac:dyDescent="0.2">
      <c r="A2199" t="s">
        <v>7</v>
      </c>
      <c r="B2199" s="1" t="s">
        <v>17</v>
      </c>
      <c r="C2199" t="str">
        <f t="shared" si="70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>
        <f t="shared" si="69"/>
        <v>3</v>
      </c>
    </row>
    <row r="2200" spans="1:8" x14ac:dyDescent="0.2">
      <c r="A2200" t="s">
        <v>7</v>
      </c>
      <c r="B2200" s="1" t="s">
        <v>17</v>
      </c>
      <c r="C2200" t="str">
        <f t="shared" si="70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>
        <f t="shared" si="69"/>
        <v>3</v>
      </c>
    </row>
    <row r="2201" spans="1:8" x14ac:dyDescent="0.2">
      <c r="A2201" t="s">
        <v>7</v>
      </c>
      <c r="B2201" s="1" t="s">
        <v>17</v>
      </c>
      <c r="C2201" t="str">
        <f t="shared" si="70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>
        <f t="shared" si="69"/>
        <v>2</v>
      </c>
    </row>
    <row r="2202" spans="1:8" x14ac:dyDescent="0.2">
      <c r="A2202" t="s">
        <v>7</v>
      </c>
      <c r="B2202" s="1" t="s">
        <v>17</v>
      </c>
      <c r="C2202" t="str">
        <f t="shared" si="70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>
        <f t="shared" si="69"/>
        <v>2</v>
      </c>
    </row>
    <row r="2203" spans="1:8" x14ac:dyDescent="0.2">
      <c r="A2203" t="s">
        <v>7</v>
      </c>
      <c r="B2203" s="1" t="s">
        <v>17</v>
      </c>
      <c r="C2203" t="str">
        <f t="shared" si="70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>
        <f t="shared" si="69"/>
        <v>2</v>
      </c>
    </row>
    <row r="2204" spans="1:8" x14ac:dyDescent="0.2">
      <c r="A2204" t="s">
        <v>7</v>
      </c>
      <c r="B2204" s="1" t="s">
        <v>17</v>
      </c>
      <c r="C2204" t="str">
        <f t="shared" si="70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>
        <f t="shared" si="69"/>
        <v>1</v>
      </c>
    </row>
    <row r="2205" spans="1:8" x14ac:dyDescent="0.2">
      <c r="A2205" t="s">
        <v>7</v>
      </c>
      <c r="B2205" s="1" t="s">
        <v>17</v>
      </c>
      <c r="C2205" t="str">
        <f t="shared" si="70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>
        <f t="shared" si="69"/>
        <v>1</v>
      </c>
    </row>
    <row r="2206" spans="1:8" x14ac:dyDescent="0.2">
      <c r="A2206" t="s">
        <v>7</v>
      </c>
      <c r="B2206" s="1" t="s">
        <v>17</v>
      </c>
      <c r="C2206" t="str">
        <f t="shared" si="70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>
        <f t="shared" si="69"/>
        <v>1</v>
      </c>
    </row>
    <row r="2207" spans="1:8" x14ac:dyDescent="0.2">
      <c r="A2207" t="s">
        <v>7</v>
      </c>
      <c r="B2207" s="1" t="s">
        <v>17</v>
      </c>
      <c r="C2207" t="str">
        <f t="shared" si="70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>
        <f t="shared" si="69"/>
        <v>1</v>
      </c>
    </row>
    <row r="2208" spans="1:8" x14ac:dyDescent="0.2">
      <c r="A2208" t="s">
        <v>7</v>
      </c>
      <c r="B2208" s="1" t="s">
        <v>17</v>
      </c>
      <c r="C2208" t="str">
        <f t="shared" si="70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>
        <f t="shared" si="69"/>
        <v>1</v>
      </c>
    </row>
    <row r="2209" spans="1:8" x14ac:dyDescent="0.2">
      <c r="A2209" t="s">
        <v>7</v>
      </c>
      <c r="B2209" s="1" t="s">
        <v>17</v>
      </c>
      <c r="C2209" t="str">
        <f t="shared" si="70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>
        <f t="shared" si="69"/>
        <v>1</v>
      </c>
    </row>
    <row r="2210" spans="1:8" x14ac:dyDescent="0.2">
      <c r="A2210" t="s">
        <v>7</v>
      </c>
      <c r="B2210" s="1" t="s">
        <v>17</v>
      </c>
      <c r="C2210" t="str">
        <f t="shared" si="70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>
        <f t="shared" si="69"/>
        <v>1</v>
      </c>
    </row>
    <row r="2211" spans="1:8" x14ac:dyDescent="0.2">
      <c r="A2211" t="s">
        <v>7</v>
      </c>
      <c r="B2211" s="1" t="s">
        <v>17</v>
      </c>
      <c r="C2211" t="str">
        <f t="shared" si="70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>
        <f t="shared" si="69"/>
        <v>1</v>
      </c>
    </row>
    <row r="2212" spans="1:8" x14ac:dyDescent="0.2">
      <c r="A2212" t="s">
        <v>7</v>
      </c>
      <c r="B2212" s="1" t="s">
        <v>17</v>
      </c>
      <c r="C2212" t="str">
        <f t="shared" si="70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>
        <f t="shared" si="69"/>
        <v>0</v>
      </c>
    </row>
    <row r="2213" spans="1:8" x14ac:dyDescent="0.2">
      <c r="A2213" t="s">
        <v>7</v>
      </c>
      <c r="B2213" s="1" t="s">
        <v>17</v>
      </c>
      <c r="C2213" t="str">
        <f t="shared" si="70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>
        <f t="shared" si="69"/>
        <v>0</v>
      </c>
    </row>
    <row r="2214" spans="1:8" x14ac:dyDescent="0.2">
      <c r="A2214" t="s">
        <v>7</v>
      </c>
      <c r="B2214" s="1" t="s">
        <v>17</v>
      </c>
      <c r="C2214" t="str">
        <f t="shared" si="70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>
        <f t="shared" si="69"/>
        <v>0</v>
      </c>
    </row>
    <row r="2215" spans="1:8" x14ac:dyDescent="0.2">
      <c r="A2215" t="s">
        <v>7</v>
      </c>
      <c r="B2215" s="1" t="s">
        <v>17</v>
      </c>
      <c r="C2215" t="str">
        <f t="shared" si="70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>
        <f t="shared" si="69"/>
        <v>0</v>
      </c>
    </row>
    <row r="2216" spans="1:8" x14ac:dyDescent="0.2">
      <c r="A2216" t="s">
        <v>7</v>
      </c>
      <c r="B2216" s="1" t="s">
        <v>17</v>
      </c>
      <c r="C2216" t="str">
        <f t="shared" si="70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>
        <f t="shared" si="69"/>
        <v>0</v>
      </c>
    </row>
    <row r="2217" spans="1:8" x14ac:dyDescent="0.2">
      <c r="A2217" t="s">
        <v>7</v>
      </c>
      <c r="B2217" s="1" t="s">
        <v>17</v>
      </c>
      <c r="C2217" t="str">
        <f t="shared" si="70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>
        <f t="shared" si="69"/>
        <v>0</v>
      </c>
    </row>
    <row r="2218" spans="1:8" x14ac:dyDescent="0.2">
      <c r="A2218" t="s">
        <v>7</v>
      </c>
      <c r="B2218" s="1" t="s">
        <v>17</v>
      </c>
      <c r="C2218" t="str">
        <f t="shared" si="70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>
        <f t="shared" si="69"/>
        <v>-1</v>
      </c>
    </row>
    <row r="2219" spans="1:8" x14ac:dyDescent="0.2">
      <c r="A2219" t="s">
        <v>7</v>
      </c>
      <c r="B2219" s="1" t="s">
        <v>17</v>
      </c>
      <c r="C2219" t="str">
        <f t="shared" si="70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>
        <f t="shared" si="69"/>
        <v>-1</v>
      </c>
    </row>
    <row r="2220" spans="1:8" x14ac:dyDescent="0.2">
      <c r="A2220" t="s">
        <v>7</v>
      </c>
      <c r="B2220" s="1" t="s">
        <v>17</v>
      </c>
      <c r="C2220" t="str">
        <f t="shared" si="70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>
        <f t="shared" si="69"/>
        <v>0</v>
      </c>
    </row>
    <row r="2221" spans="1:8" x14ac:dyDescent="0.2">
      <c r="A2221" t="s">
        <v>7</v>
      </c>
      <c r="B2221" s="1" t="s">
        <v>17</v>
      </c>
      <c r="C2221" t="str">
        <f t="shared" si="70"/>
        <v>Cumple</v>
      </c>
      <c r="D2221" s="17">
        <v>3432</v>
      </c>
      <c r="E2221" s="19" t="s">
        <v>11</v>
      </c>
      <c r="F2221" s="5">
        <v>20</v>
      </c>
      <c r="G2221" s="3">
        <v>20</v>
      </c>
      <c r="H2221">
        <f t="shared" si="69"/>
        <v>0</v>
      </c>
    </row>
    <row r="2222" spans="1:8" x14ac:dyDescent="0.2">
      <c r="A2222" t="s">
        <v>7</v>
      </c>
      <c r="B2222" s="1" t="s">
        <v>17</v>
      </c>
      <c r="C2222" t="str">
        <f t="shared" si="70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>
        <f t="shared" si="69"/>
        <v>0</v>
      </c>
    </row>
    <row r="2223" spans="1:8" x14ac:dyDescent="0.2">
      <c r="A2223" t="s">
        <v>7</v>
      </c>
      <c r="B2223" s="1" t="s">
        <v>17</v>
      </c>
      <c r="C2223" t="str">
        <f t="shared" si="70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>
        <f t="shared" si="69"/>
        <v>-1</v>
      </c>
    </row>
    <row r="2224" spans="1:8" x14ac:dyDescent="0.2">
      <c r="A2224" t="s">
        <v>7</v>
      </c>
      <c r="B2224" s="1" t="s">
        <v>17</v>
      </c>
      <c r="C2224" t="str">
        <f t="shared" si="70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>
        <f t="shared" si="69"/>
        <v>-1</v>
      </c>
    </row>
    <row r="2225" spans="1:8" x14ac:dyDescent="0.2">
      <c r="A2225" t="s">
        <v>7</v>
      </c>
      <c r="B2225" s="1" t="s">
        <v>17</v>
      </c>
      <c r="C2225" t="str">
        <f t="shared" si="70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>
        <f t="shared" si="69"/>
        <v>-2</v>
      </c>
    </row>
    <row r="2226" spans="1:8" x14ac:dyDescent="0.2">
      <c r="A2226" t="s">
        <v>7</v>
      </c>
      <c r="B2226" s="1" t="s">
        <v>17</v>
      </c>
      <c r="C2226" t="str">
        <f t="shared" si="70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>
        <f t="shared" si="69"/>
        <v>-2</v>
      </c>
    </row>
    <row r="2227" spans="1:8" x14ac:dyDescent="0.2">
      <c r="A2227" t="s">
        <v>7</v>
      </c>
      <c r="B2227" s="1" t="s">
        <v>17</v>
      </c>
      <c r="C2227" t="str">
        <f t="shared" si="70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>
        <f t="shared" si="69"/>
        <v>-2</v>
      </c>
    </row>
    <row r="2228" spans="1:8" x14ac:dyDescent="0.2">
      <c r="A2228" t="s">
        <v>7</v>
      </c>
      <c r="B2228" s="1" t="s">
        <v>17</v>
      </c>
      <c r="C2228" t="str">
        <f t="shared" si="70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>
        <f t="shared" si="69"/>
        <v>-2</v>
      </c>
    </row>
    <row r="2229" spans="1:8" x14ac:dyDescent="0.2">
      <c r="A2229" t="s">
        <v>7</v>
      </c>
      <c r="B2229" s="1" t="s">
        <v>17</v>
      </c>
      <c r="C2229" t="str">
        <f t="shared" si="70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>
        <f t="shared" si="69"/>
        <v>-2</v>
      </c>
    </row>
    <row r="2230" spans="1:8" x14ac:dyDescent="0.2">
      <c r="A2230" t="s">
        <v>7</v>
      </c>
      <c r="B2230" s="1" t="s">
        <v>17</v>
      </c>
      <c r="C2230" t="str">
        <f t="shared" si="70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>
        <f t="shared" si="69"/>
        <v>-3</v>
      </c>
    </row>
    <row r="2231" spans="1:8" x14ac:dyDescent="0.2">
      <c r="A2231" t="s">
        <v>7</v>
      </c>
      <c r="B2231" s="1" t="s">
        <v>17</v>
      </c>
      <c r="C2231" t="str">
        <f t="shared" si="70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>
        <f t="shared" si="69"/>
        <v>-3</v>
      </c>
    </row>
    <row r="2232" spans="1:8" x14ac:dyDescent="0.2">
      <c r="A2232" t="s">
        <v>7</v>
      </c>
      <c r="B2232" s="1" t="s">
        <v>17</v>
      </c>
      <c r="C2232" t="str">
        <f t="shared" si="70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>
        <f t="shared" si="69"/>
        <v>-3</v>
      </c>
    </row>
    <row r="2233" spans="1:8" x14ac:dyDescent="0.2">
      <c r="A2233" t="s">
        <v>7</v>
      </c>
      <c r="B2233" s="1" t="s">
        <v>17</v>
      </c>
      <c r="C2233" t="str">
        <f t="shared" si="70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>
        <f t="shared" si="69"/>
        <v>0</v>
      </c>
    </row>
    <row r="2234" spans="1:8" x14ac:dyDescent="0.2">
      <c r="A2234" t="s">
        <v>7</v>
      </c>
      <c r="B2234" s="1" t="s">
        <v>17</v>
      </c>
      <c r="C2234" t="str">
        <f t="shared" si="70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>
        <f t="shared" si="69"/>
        <v>-4</v>
      </c>
    </row>
    <row r="2235" spans="1:8" x14ac:dyDescent="0.2">
      <c r="A2235" t="s">
        <v>7</v>
      </c>
      <c r="B2235" s="1" t="s">
        <v>17</v>
      </c>
      <c r="C2235" t="str">
        <f t="shared" si="70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>
        <f t="shared" si="69"/>
        <v>-4</v>
      </c>
    </row>
    <row r="2236" spans="1:8" x14ac:dyDescent="0.2">
      <c r="A2236" t="s">
        <v>7</v>
      </c>
      <c r="B2236" s="1" t="s">
        <v>17</v>
      </c>
      <c r="C2236" t="str">
        <f t="shared" si="70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>
        <f t="shared" si="69"/>
        <v>-4</v>
      </c>
    </row>
    <row r="2237" spans="1:8" x14ac:dyDescent="0.2">
      <c r="A2237" t="s">
        <v>7</v>
      </c>
      <c r="B2237" s="1" t="s">
        <v>17</v>
      </c>
      <c r="C2237" t="str">
        <f t="shared" si="70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>
        <f t="shared" si="69"/>
        <v>-4</v>
      </c>
    </row>
    <row r="2238" spans="1:8" x14ac:dyDescent="0.2">
      <c r="A2238" t="s">
        <v>7</v>
      </c>
      <c r="B2238" s="1" t="s">
        <v>17</v>
      </c>
      <c r="C2238" t="str">
        <f t="shared" si="70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>
        <f t="shared" si="69"/>
        <v>-4</v>
      </c>
    </row>
    <row r="2239" spans="1:8" x14ac:dyDescent="0.2">
      <c r="A2239" t="s">
        <v>7</v>
      </c>
      <c r="B2239" s="1" t="s">
        <v>17</v>
      </c>
      <c r="C2239" t="str">
        <f t="shared" si="70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>
        <f t="shared" si="69"/>
        <v>-5</v>
      </c>
    </row>
    <row r="2240" spans="1:8" x14ac:dyDescent="0.2">
      <c r="A2240" t="s">
        <v>7</v>
      </c>
      <c r="B2240" s="1" t="s">
        <v>17</v>
      </c>
      <c r="C2240" t="str">
        <f t="shared" si="70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>
        <f t="shared" si="69"/>
        <v>0</v>
      </c>
    </row>
    <row r="2241" spans="1:8" x14ac:dyDescent="0.2">
      <c r="A2241" t="s">
        <v>7</v>
      </c>
      <c r="B2241" s="1" t="s">
        <v>17</v>
      </c>
      <c r="C2241" t="str">
        <f t="shared" si="70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>
        <f t="shared" si="69"/>
        <v>-5</v>
      </c>
    </row>
    <row r="2242" spans="1:8" x14ac:dyDescent="0.2">
      <c r="A2242" t="s">
        <v>7</v>
      </c>
      <c r="B2242" s="1" t="s">
        <v>17</v>
      </c>
      <c r="C2242" t="str">
        <f t="shared" si="70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>
        <f t="shared" si="69"/>
        <v>-5</v>
      </c>
    </row>
    <row r="2243" spans="1:8" x14ac:dyDescent="0.2">
      <c r="A2243" t="s">
        <v>7</v>
      </c>
      <c r="B2243" s="1" t="s">
        <v>17</v>
      </c>
      <c r="C2243" t="str">
        <f t="shared" si="70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>
        <f t="shared" ref="H2243:H2306" si="71">F2243-G2243</f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2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>
        <f t="shared" si="71"/>
        <v>-6</v>
      </c>
    </row>
    <row r="2245" spans="1:8" x14ac:dyDescent="0.2">
      <c r="A2245" t="s">
        <v>7</v>
      </c>
      <c r="B2245" s="1" t="s">
        <v>17</v>
      </c>
      <c r="C2245" t="str">
        <f t="shared" si="72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>
        <f t="shared" si="71"/>
        <v>0</v>
      </c>
    </row>
    <row r="2246" spans="1:8" x14ac:dyDescent="0.2">
      <c r="A2246" t="s">
        <v>7</v>
      </c>
      <c r="B2246" s="1" t="s">
        <v>17</v>
      </c>
      <c r="C2246" t="str">
        <f t="shared" si="72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>
        <f t="shared" si="71"/>
        <v>-6</v>
      </c>
    </row>
    <row r="2247" spans="1:8" x14ac:dyDescent="0.2">
      <c r="A2247" t="s">
        <v>7</v>
      </c>
      <c r="B2247" s="1" t="s">
        <v>17</v>
      </c>
      <c r="C2247" t="str">
        <f t="shared" si="72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>
        <f t="shared" si="71"/>
        <v>-6</v>
      </c>
    </row>
    <row r="2248" spans="1:8" x14ac:dyDescent="0.2">
      <c r="A2248" t="s">
        <v>7</v>
      </c>
      <c r="B2248" s="1" t="s">
        <v>17</v>
      </c>
      <c r="C2248" t="str">
        <f t="shared" si="72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>
        <f t="shared" si="71"/>
        <v>-7</v>
      </c>
    </row>
    <row r="2249" spans="1:8" x14ac:dyDescent="0.2">
      <c r="A2249" t="s">
        <v>7</v>
      </c>
      <c r="B2249" s="1" t="s">
        <v>17</v>
      </c>
      <c r="C2249" t="str">
        <f t="shared" si="72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>
        <f t="shared" si="71"/>
        <v>-7</v>
      </c>
    </row>
    <row r="2250" spans="1:8" x14ac:dyDescent="0.2">
      <c r="A2250" t="s">
        <v>7</v>
      </c>
      <c r="B2250" s="1" t="s">
        <v>17</v>
      </c>
      <c r="C2250" t="str">
        <f t="shared" si="72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>
        <f t="shared" si="71"/>
        <v>0</v>
      </c>
    </row>
    <row r="2251" spans="1:8" x14ac:dyDescent="0.2">
      <c r="A2251" t="s">
        <v>7</v>
      </c>
      <c r="B2251" s="1" t="s">
        <v>17</v>
      </c>
      <c r="C2251" t="str">
        <f t="shared" si="72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>
        <f t="shared" si="71"/>
        <v>-7</v>
      </c>
    </row>
    <row r="2252" spans="1:8" x14ac:dyDescent="0.2">
      <c r="A2252" t="s">
        <v>7</v>
      </c>
      <c r="B2252" s="1" t="s">
        <v>17</v>
      </c>
      <c r="C2252" t="str">
        <f t="shared" si="72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>
        <f t="shared" si="71"/>
        <v>-8</v>
      </c>
    </row>
    <row r="2253" spans="1:8" x14ac:dyDescent="0.2">
      <c r="A2253" t="s">
        <v>7</v>
      </c>
      <c r="B2253" s="1" t="s">
        <v>17</v>
      </c>
      <c r="C2253" t="str">
        <f t="shared" si="72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>
        <f t="shared" si="71"/>
        <v>-8</v>
      </c>
    </row>
    <row r="2254" spans="1:8" x14ac:dyDescent="0.2">
      <c r="A2254" t="s">
        <v>7</v>
      </c>
      <c r="B2254" s="1" t="s">
        <v>17</v>
      </c>
      <c r="C2254" t="str">
        <f t="shared" si="72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>
        <f t="shared" si="71"/>
        <v>-8</v>
      </c>
    </row>
    <row r="2255" spans="1:8" x14ac:dyDescent="0.2">
      <c r="A2255" t="s">
        <v>7</v>
      </c>
      <c r="B2255" s="1" t="s">
        <v>17</v>
      </c>
      <c r="C2255" t="str">
        <f t="shared" si="72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>
        <f t="shared" si="71"/>
        <v>-9</v>
      </c>
    </row>
    <row r="2256" spans="1:8" x14ac:dyDescent="0.2">
      <c r="A2256" t="s">
        <v>7</v>
      </c>
      <c r="B2256" s="1" t="s">
        <v>17</v>
      </c>
      <c r="C2256" t="str">
        <f t="shared" si="72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>
        <f t="shared" si="71"/>
        <v>0</v>
      </c>
    </row>
    <row r="2257" spans="1:8" x14ac:dyDescent="0.2">
      <c r="A2257" t="s">
        <v>7</v>
      </c>
      <c r="B2257" s="1" t="s">
        <v>17</v>
      </c>
      <c r="C2257" t="str">
        <f t="shared" si="72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>
        <f t="shared" si="71"/>
        <v>-9</v>
      </c>
    </row>
    <row r="2258" spans="1:8" x14ac:dyDescent="0.2">
      <c r="A2258" t="s">
        <v>7</v>
      </c>
      <c r="B2258" s="1" t="s">
        <v>17</v>
      </c>
      <c r="C2258" t="str">
        <f t="shared" si="72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>
        <f t="shared" si="71"/>
        <v>-9</v>
      </c>
    </row>
    <row r="2259" spans="1:8" x14ac:dyDescent="0.2">
      <c r="A2259" t="s">
        <v>7</v>
      </c>
      <c r="B2259" s="1" t="s">
        <v>17</v>
      </c>
      <c r="C2259" t="str">
        <f t="shared" si="72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>
        <f t="shared" si="71"/>
        <v>-11</v>
      </c>
    </row>
    <row r="2260" spans="1:8" x14ac:dyDescent="0.2">
      <c r="A2260" t="s">
        <v>7</v>
      </c>
      <c r="B2260" s="1" t="s">
        <v>17</v>
      </c>
      <c r="C2260" t="str">
        <f t="shared" si="72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>
        <f t="shared" si="71"/>
        <v>-11</v>
      </c>
    </row>
    <row r="2261" spans="1:8" x14ac:dyDescent="0.2">
      <c r="A2261" t="s">
        <v>7</v>
      </c>
      <c r="B2261" s="1" t="s">
        <v>17</v>
      </c>
      <c r="C2261" t="str">
        <f t="shared" si="72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>
        <f t="shared" si="71"/>
        <v>-11</v>
      </c>
    </row>
    <row r="2262" spans="1:8" x14ac:dyDescent="0.2">
      <c r="A2262" t="s">
        <v>7</v>
      </c>
      <c r="B2262" s="1" t="s">
        <v>17</v>
      </c>
      <c r="C2262" t="str">
        <f t="shared" si="72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>
        <f t="shared" si="71"/>
        <v>-11</v>
      </c>
    </row>
    <row r="2263" spans="1:8" x14ac:dyDescent="0.2">
      <c r="A2263" t="s">
        <v>7</v>
      </c>
      <c r="B2263" s="1" t="s">
        <v>17</v>
      </c>
      <c r="C2263" t="str">
        <f t="shared" si="72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>
        <f t="shared" si="71"/>
        <v>-12</v>
      </c>
    </row>
    <row r="2264" spans="1:8" x14ac:dyDescent="0.2">
      <c r="A2264" t="s">
        <v>7</v>
      </c>
      <c r="B2264" s="1" t="s">
        <v>17</v>
      </c>
      <c r="C2264" t="str">
        <f t="shared" si="72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>
        <f t="shared" si="71"/>
        <v>-12</v>
      </c>
    </row>
    <row r="2265" spans="1:8" x14ac:dyDescent="0.2">
      <c r="A2265" t="s">
        <v>7</v>
      </c>
      <c r="B2265" s="1" t="s">
        <v>17</v>
      </c>
      <c r="C2265" t="str">
        <f t="shared" si="72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>
        <f t="shared" si="71"/>
        <v>-12</v>
      </c>
    </row>
    <row r="2266" spans="1:8" x14ac:dyDescent="0.2">
      <c r="A2266" t="s">
        <v>7</v>
      </c>
      <c r="B2266" s="1" t="s">
        <v>17</v>
      </c>
      <c r="C2266" t="str">
        <f t="shared" si="72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>
        <f t="shared" si="71"/>
        <v>-12</v>
      </c>
    </row>
    <row r="2267" spans="1:8" x14ac:dyDescent="0.2">
      <c r="A2267" t="s">
        <v>7</v>
      </c>
      <c r="B2267" s="1" t="s">
        <v>17</v>
      </c>
      <c r="C2267" t="str">
        <f t="shared" si="72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>
        <f t="shared" si="71"/>
        <v>-12</v>
      </c>
    </row>
    <row r="2268" spans="1:8" x14ac:dyDescent="0.2">
      <c r="A2268" t="s">
        <v>7</v>
      </c>
      <c r="B2268" s="1" t="s">
        <v>17</v>
      </c>
      <c r="C2268" t="str">
        <f t="shared" si="72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>
        <f t="shared" si="71"/>
        <v>-12</v>
      </c>
    </row>
    <row r="2269" spans="1:8" x14ac:dyDescent="0.2">
      <c r="A2269" t="s">
        <v>7</v>
      </c>
      <c r="B2269" s="1" t="s">
        <v>17</v>
      </c>
      <c r="C2269" t="str">
        <f t="shared" si="72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>
        <f t="shared" si="71"/>
        <v>0</v>
      </c>
    </row>
    <row r="2270" spans="1:8" x14ac:dyDescent="0.2">
      <c r="A2270" t="s">
        <v>7</v>
      </c>
      <c r="B2270" s="1" t="s">
        <v>17</v>
      </c>
      <c r="C2270" t="str">
        <f t="shared" si="72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>
        <f t="shared" si="71"/>
        <v>-13</v>
      </c>
    </row>
    <row r="2271" spans="1:8" x14ac:dyDescent="0.2">
      <c r="A2271" t="s">
        <v>7</v>
      </c>
      <c r="B2271" s="1" t="s">
        <v>17</v>
      </c>
      <c r="C2271" t="str">
        <f t="shared" si="72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>
        <f t="shared" si="71"/>
        <v>-13</v>
      </c>
    </row>
    <row r="2272" spans="1:8" x14ac:dyDescent="0.2">
      <c r="A2272" t="s">
        <v>7</v>
      </c>
      <c r="B2272" s="1" t="s">
        <v>17</v>
      </c>
      <c r="C2272" t="str">
        <f t="shared" si="72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>
        <f t="shared" si="71"/>
        <v>-13</v>
      </c>
    </row>
    <row r="2273" spans="1:8" x14ac:dyDescent="0.2">
      <c r="A2273" t="s">
        <v>7</v>
      </c>
      <c r="B2273" s="1" t="s">
        <v>17</v>
      </c>
      <c r="C2273" t="str">
        <f t="shared" si="72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>
        <f t="shared" si="71"/>
        <v>-14</v>
      </c>
    </row>
    <row r="2274" spans="1:8" x14ac:dyDescent="0.2">
      <c r="A2274" t="s">
        <v>7</v>
      </c>
      <c r="B2274" s="1" t="s">
        <v>17</v>
      </c>
      <c r="C2274" t="str">
        <f t="shared" si="72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>
        <f t="shared" si="71"/>
        <v>-14</v>
      </c>
    </row>
    <row r="2275" spans="1:8" x14ac:dyDescent="0.2">
      <c r="A2275" t="s">
        <v>7</v>
      </c>
      <c r="B2275" s="1" t="s">
        <v>17</v>
      </c>
      <c r="C2275" t="str">
        <f t="shared" si="72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>
        <f t="shared" si="71"/>
        <v>-14</v>
      </c>
    </row>
    <row r="2276" spans="1:8" x14ac:dyDescent="0.2">
      <c r="A2276" t="s">
        <v>7</v>
      </c>
      <c r="B2276" s="1" t="s">
        <v>17</v>
      </c>
      <c r="C2276" t="str">
        <f t="shared" si="72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>
        <f t="shared" si="71"/>
        <v>-14</v>
      </c>
    </row>
    <row r="2277" spans="1:8" x14ac:dyDescent="0.2">
      <c r="A2277" t="s">
        <v>7</v>
      </c>
      <c r="B2277" s="1" t="s">
        <v>17</v>
      </c>
      <c r="C2277" t="str">
        <f t="shared" si="72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>
        <f t="shared" si="71"/>
        <v>-14</v>
      </c>
    </row>
    <row r="2278" spans="1:8" x14ac:dyDescent="0.2">
      <c r="A2278" t="s">
        <v>7</v>
      </c>
      <c r="B2278" s="1" t="s">
        <v>17</v>
      </c>
      <c r="C2278" t="str">
        <f t="shared" si="72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>
        <f t="shared" si="71"/>
        <v>-15</v>
      </c>
    </row>
    <row r="2279" spans="1:8" x14ac:dyDescent="0.2">
      <c r="A2279" t="s">
        <v>7</v>
      </c>
      <c r="B2279" s="1" t="s">
        <v>17</v>
      </c>
      <c r="C2279" t="str">
        <f t="shared" si="72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>
        <f t="shared" si="71"/>
        <v>-15</v>
      </c>
    </row>
    <row r="2280" spans="1:8" x14ac:dyDescent="0.2">
      <c r="A2280" t="s">
        <v>7</v>
      </c>
      <c r="B2280" s="1" t="s">
        <v>17</v>
      </c>
      <c r="C2280" t="str">
        <f t="shared" si="72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>
        <f t="shared" si="71"/>
        <v>-15</v>
      </c>
    </row>
    <row r="2281" spans="1:8" x14ac:dyDescent="0.2">
      <c r="A2281" t="s">
        <v>7</v>
      </c>
      <c r="B2281" s="1" t="s">
        <v>17</v>
      </c>
      <c r="C2281" t="str">
        <f t="shared" si="72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>
        <f t="shared" si="71"/>
        <v>-16</v>
      </c>
    </row>
    <row r="2282" spans="1:8" x14ac:dyDescent="0.2">
      <c r="A2282" t="s">
        <v>7</v>
      </c>
      <c r="B2282" s="1" t="s">
        <v>17</v>
      </c>
      <c r="C2282" t="str">
        <f t="shared" si="72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>
        <f t="shared" si="71"/>
        <v>-16</v>
      </c>
    </row>
    <row r="2283" spans="1:8" x14ac:dyDescent="0.2">
      <c r="A2283" t="s">
        <v>7</v>
      </c>
      <c r="B2283" s="1" t="s">
        <v>17</v>
      </c>
      <c r="C2283" t="str">
        <f t="shared" si="72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>
        <f t="shared" si="71"/>
        <v>-16</v>
      </c>
    </row>
    <row r="2284" spans="1:8" x14ac:dyDescent="0.2">
      <c r="A2284" t="s">
        <v>7</v>
      </c>
      <c r="B2284" s="1" t="s">
        <v>17</v>
      </c>
      <c r="C2284" t="str">
        <f t="shared" si="72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>
        <f t="shared" si="71"/>
        <v>-17</v>
      </c>
    </row>
    <row r="2285" spans="1:8" x14ac:dyDescent="0.2">
      <c r="A2285" t="s">
        <v>7</v>
      </c>
      <c r="B2285" s="1" t="s">
        <v>17</v>
      </c>
      <c r="C2285" t="str">
        <f t="shared" si="72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>
        <f t="shared" si="71"/>
        <v>-17</v>
      </c>
    </row>
    <row r="2286" spans="1:8" x14ac:dyDescent="0.2">
      <c r="A2286" t="s">
        <v>7</v>
      </c>
      <c r="B2286" s="1" t="s">
        <v>17</v>
      </c>
      <c r="C2286" t="str">
        <f t="shared" si="72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>
        <f t="shared" si="71"/>
        <v>-17</v>
      </c>
    </row>
    <row r="2287" spans="1:8" x14ac:dyDescent="0.2">
      <c r="A2287" t="s">
        <v>7</v>
      </c>
      <c r="B2287" s="1" t="s">
        <v>17</v>
      </c>
      <c r="C2287" t="str">
        <f t="shared" si="72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>
        <f t="shared" si="71"/>
        <v>-18</v>
      </c>
    </row>
    <row r="2288" spans="1:8" x14ac:dyDescent="0.2">
      <c r="A2288" t="s">
        <v>7</v>
      </c>
      <c r="B2288" s="1" t="s">
        <v>17</v>
      </c>
      <c r="C2288" t="str">
        <f t="shared" si="72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>
        <f t="shared" si="71"/>
        <v>-18</v>
      </c>
    </row>
    <row r="2289" spans="1:8" x14ac:dyDescent="0.2">
      <c r="A2289" t="s">
        <v>7</v>
      </c>
      <c r="B2289" s="1" t="s">
        <v>17</v>
      </c>
      <c r="C2289" t="str">
        <f t="shared" si="72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>
        <f t="shared" si="71"/>
        <v>-18</v>
      </c>
    </row>
    <row r="2290" spans="1:8" x14ac:dyDescent="0.2">
      <c r="A2290" t="s">
        <v>7</v>
      </c>
      <c r="B2290" s="1" t="s">
        <v>17</v>
      </c>
      <c r="C2290" t="str">
        <f t="shared" si="72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>
        <f t="shared" si="71"/>
        <v>0</v>
      </c>
    </row>
    <row r="2291" spans="1:8" x14ac:dyDescent="0.2">
      <c r="A2291" t="s">
        <v>7</v>
      </c>
      <c r="B2291" s="1" t="s">
        <v>17</v>
      </c>
      <c r="C2291" t="str">
        <f t="shared" si="72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>
        <f t="shared" si="71"/>
        <v>-19</v>
      </c>
    </row>
    <row r="2292" spans="1:8" x14ac:dyDescent="0.2">
      <c r="A2292" t="s">
        <v>7</v>
      </c>
      <c r="B2292" s="1" t="s">
        <v>17</v>
      </c>
      <c r="C2292" t="str">
        <f t="shared" si="72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>
        <f t="shared" si="71"/>
        <v>-19</v>
      </c>
    </row>
    <row r="2293" spans="1:8" x14ac:dyDescent="0.2">
      <c r="A2293" t="s">
        <v>7</v>
      </c>
      <c r="B2293" s="1" t="s">
        <v>17</v>
      </c>
      <c r="C2293" t="str">
        <f t="shared" si="72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>
        <f t="shared" si="71"/>
        <v>-19</v>
      </c>
    </row>
    <row r="2294" spans="1:8" x14ac:dyDescent="0.2">
      <c r="A2294" t="s">
        <v>18</v>
      </c>
      <c r="B2294" s="1" t="s">
        <v>17</v>
      </c>
      <c r="C2294" t="str">
        <f t="shared" si="72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>
        <f t="shared" si="71"/>
        <v>-20</v>
      </c>
    </row>
    <row r="2295" spans="1:8" x14ac:dyDescent="0.2">
      <c r="A2295" t="s">
        <v>18</v>
      </c>
      <c r="B2295" s="1" t="s">
        <v>17</v>
      </c>
      <c r="C2295" t="str">
        <f t="shared" si="72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>
        <f t="shared" si="71"/>
        <v>-20</v>
      </c>
    </row>
    <row r="2296" spans="1:8" x14ac:dyDescent="0.2">
      <c r="A2296" t="s">
        <v>18</v>
      </c>
      <c r="B2296" s="1" t="s">
        <v>17</v>
      </c>
      <c r="C2296" t="str">
        <f t="shared" si="72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>
        <f t="shared" si="71"/>
        <v>-20</v>
      </c>
    </row>
    <row r="2297" spans="1:8" x14ac:dyDescent="0.2">
      <c r="A2297" t="s">
        <v>18</v>
      </c>
      <c r="B2297" s="1" t="s">
        <v>17</v>
      </c>
      <c r="C2297" t="str">
        <f t="shared" si="72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>
        <f t="shared" si="71"/>
        <v>-20</v>
      </c>
    </row>
    <row r="2298" spans="1:8" x14ac:dyDescent="0.2">
      <c r="A2298" t="s">
        <v>7</v>
      </c>
      <c r="B2298" s="1" t="s">
        <v>17</v>
      </c>
      <c r="C2298" t="str">
        <f t="shared" si="72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>
        <f t="shared" si="71"/>
        <v>-20</v>
      </c>
    </row>
    <row r="2299" spans="1:8" x14ac:dyDescent="0.2">
      <c r="A2299" t="s">
        <v>18</v>
      </c>
      <c r="B2299" s="1" t="s">
        <v>17</v>
      </c>
      <c r="C2299" t="str">
        <f t="shared" si="72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>
        <f t="shared" si="71"/>
        <v>-20</v>
      </c>
    </row>
    <row r="2300" spans="1:8" x14ac:dyDescent="0.2">
      <c r="A2300" t="s">
        <v>18</v>
      </c>
      <c r="B2300" s="1" t="s">
        <v>17</v>
      </c>
      <c r="C2300" t="str">
        <f t="shared" si="72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>
        <f t="shared" si="71"/>
        <v>-20</v>
      </c>
    </row>
    <row r="2301" spans="1:8" x14ac:dyDescent="0.2">
      <c r="A2301" t="s">
        <v>18</v>
      </c>
      <c r="B2301" s="1" t="s">
        <v>17</v>
      </c>
      <c r="C2301" t="str">
        <f t="shared" si="72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>
        <f t="shared" si="71"/>
        <v>-20</v>
      </c>
    </row>
    <row r="2302" spans="1:8" x14ac:dyDescent="0.2">
      <c r="A2302" t="s">
        <v>18</v>
      </c>
      <c r="B2302" s="1" t="s">
        <v>17</v>
      </c>
      <c r="C2302" t="str">
        <f t="shared" si="72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>
        <f t="shared" si="71"/>
        <v>-20</v>
      </c>
    </row>
    <row r="2303" spans="1:8" x14ac:dyDescent="0.2">
      <c r="A2303" t="s">
        <v>19</v>
      </c>
      <c r="B2303" s="1" t="s">
        <v>17</v>
      </c>
      <c r="C2303" t="str">
        <f t="shared" si="72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>
        <f t="shared" si="71"/>
        <v>-20</v>
      </c>
    </row>
    <row r="2304" spans="1:8" x14ac:dyDescent="0.2">
      <c r="A2304" t="s">
        <v>18</v>
      </c>
      <c r="B2304" s="1" t="s">
        <v>17</v>
      </c>
      <c r="C2304" t="str">
        <f t="shared" si="72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>
        <f t="shared" si="71"/>
        <v>-20</v>
      </c>
    </row>
    <row r="2305" spans="1:8" x14ac:dyDescent="0.2">
      <c r="A2305" t="s">
        <v>18</v>
      </c>
      <c r="B2305" s="1" t="s">
        <v>17</v>
      </c>
      <c r="C2305" t="str">
        <f t="shared" si="72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>
        <f t="shared" si="71"/>
        <v>-20</v>
      </c>
    </row>
    <row r="2306" spans="1:8" x14ac:dyDescent="0.2">
      <c r="A2306" t="s">
        <v>7</v>
      </c>
      <c r="B2306" s="1" t="s">
        <v>17</v>
      </c>
      <c r="C2306" t="str">
        <f t="shared" si="72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>
        <f t="shared" si="71"/>
        <v>-20</v>
      </c>
    </row>
    <row r="2307" spans="1:8" x14ac:dyDescent="0.2">
      <c r="A2307" t="s">
        <v>18</v>
      </c>
      <c r="B2307" s="1" t="s">
        <v>17</v>
      </c>
      <c r="C2307" t="str">
        <f t="shared" si="72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>
        <f t="shared" ref="H2307:H2370" si="73">F2307-G2307</f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4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>
        <f t="shared" si="73"/>
        <v>-20</v>
      </c>
    </row>
    <row r="2309" spans="1:8" x14ac:dyDescent="0.2">
      <c r="A2309" t="s">
        <v>18</v>
      </c>
      <c r="B2309" s="1" t="s">
        <v>17</v>
      </c>
      <c r="C2309" t="str">
        <f t="shared" si="74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>
        <f t="shared" si="73"/>
        <v>-20</v>
      </c>
    </row>
    <row r="2310" spans="1:8" x14ac:dyDescent="0.2">
      <c r="A2310" t="s">
        <v>18</v>
      </c>
      <c r="B2310" s="1" t="s">
        <v>17</v>
      </c>
      <c r="C2310" t="str">
        <f t="shared" si="74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>
        <f t="shared" si="73"/>
        <v>-20</v>
      </c>
    </row>
    <row r="2311" spans="1:8" x14ac:dyDescent="0.2">
      <c r="A2311" t="s">
        <v>18</v>
      </c>
      <c r="B2311" s="1" t="s">
        <v>17</v>
      </c>
      <c r="C2311" t="str">
        <f t="shared" si="74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>
        <f t="shared" si="73"/>
        <v>-20</v>
      </c>
    </row>
    <row r="2312" spans="1:8" x14ac:dyDescent="0.2">
      <c r="A2312" t="s">
        <v>7</v>
      </c>
      <c r="B2312" s="1" t="s">
        <v>17</v>
      </c>
      <c r="C2312" t="str">
        <f t="shared" si="74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>
        <f t="shared" si="73"/>
        <v>-20</v>
      </c>
    </row>
    <row r="2313" spans="1:8" x14ac:dyDescent="0.2">
      <c r="A2313" t="s">
        <v>18</v>
      </c>
      <c r="B2313" s="1" t="s">
        <v>17</v>
      </c>
      <c r="C2313" t="str">
        <f t="shared" si="74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>
        <f t="shared" si="73"/>
        <v>-20</v>
      </c>
    </row>
    <row r="2314" spans="1:8" x14ac:dyDescent="0.2">
      <c r="A2314" t="s">
        <v>18</v>
      </c>
      <c r="B2314" s="1" t="s">
        <v>17</v>
      </c>
      <c r="C2314" t="str">
        <f t="shared" si="74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>
        <f t="shared" si="73"/>
        <v>-20</v>
      </c>
    </row>
    <row r="2315" spans="1:8" x14ac:dyDescent="0.2">
      <c r="A2315" t="s">
        <v>7</v>
      </c>
      <c r="B2315" s="1" t="s">
        <v>17</v>
      </c>
      <c r="C2315" t="str">
        <f t="shared" si="74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>
        <f t="shared" si="73"/>
        <v>0</v>
      </c>
    </row>
    <row r="2316" spans="1:8" x14ac:dyDescent="0.2">
      <c r="A2316" t="s">
        <v>18</v>
      </c>
      <c r="B2316" s="1" t="s">
        <v>17</v>
      </c>
      <c r="C2316" t="str">
        <f t="shared" si="74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>
        <f t="shared" si="73"/>
        <v>0</v>
      </c>
    </row>
    <row r="2317" spans="1:8" x14ac:dyDescent="0.2">
      <c r="A2317" t="s">
        <v>7</v>
      </c>
      <c r="B2317" s="1" t="s">
        <v>17</v>
      </c>
      <c r="C2317" t="str">
        <f t="shared" si="74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>
        <f t="shared" si="73"/>
        <v>-20</v>
      </c>
    </row>
    <row r="2318" spans="1:8" x14ac:dyDescent="0.2">
      <c r="A2318" t="s">
        <v>18</v>
      </c>
      <c r="B2318" s="1" t="s">
        <v>17</v>
      </c>
      <c r="C2318" t="str">
        <f t="shared" si="74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>
        <f t="shared" si="73"/>
        <v>-20</v>
      </c>
    </row>
    <row r="2319" spans="1:8" x14ac:dyDescent="0.2">
      <c r="A2319" t="s">
        <v>18</v>
      </c>
      <c r="B2319" s="1" t="s">
        <v>17</v>
      </c>
      <c r="C2319" t="str">
        <f t="shared" si="74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>
        <f t="shared" si="73"/>
        <v>-20</v>
      </c>
    </row>
    <row r="2320" spans="1:8" x14ac:dyDescent="0.2">
      <c r="A2320" t="s">
        <v>7</v>
      </c>
      <c r="B2320" t="s">
        <v>17</v>
      </c>
      <c r="C2320" t="str">
        <f t="shared" si="74"/>
        <v>Cumple</v>
      </c>
      <c r="D2320" s="17">
        <v>818</v>
      </c>
      <c r="E2320" s="19" t="s">
        <v>13</v>
      </c>
      <c r="F2320">
        <v>13</v>
      </c>
      <c r="G2320">
        <v>6</v>
      </c>
      <c r="H2320">
        <f t="shared" si="73"/>
        <v>7</v>
      </c>
    </row>
    <row r="2321" spans="1:8" x14ac:dyDescent="0.2">
      <c r="A2321" t="s">
        <v>7</v>
      </c>
      <c r="B2321" t="s">
        <v>17</v>
      </c>
      <c r="C2321" t="str">
        <f t="shared" si="74"/>
        <v>Cumple</v>
      </c>
      <c r="D2321" s="17">
        <v>1890</v>
      </c>
      <c r="E2321" s="19" t="s">
        <v>13</v>
      </c>
      <c r="F2321">
        <v>13</v>
      </c>
      <c r="G2321">
        <v>6</v>
      </c>
      <c r="H2321">
        <f t="shared" si="73"/>
        <v>7</v>
      </c>
    </row>
    <row r="2322" spans="1:8" x14ac:dyDescent="0.2">
      <c r="A2322" t="s">
        <v>7</v>
      </c>
      <c r="B2322" t="s">
        <v>17</v>
      </c>
      <c r="C2322" t="str">
        <f t="shared" si="74"/>
        <v>Cumple</v>
      </c>
      <c r="D2322" s="17">
        <v>3695</v>
      </c>
      <c r="E2322" s="19" t="s">
        <v>13</v>
      </c>
      <c r="F2322">
        <v>13</v>
      </c>
      <c r="G2322">
        <v>6</v>
      </c>
      <c r="H2322">
        <f t="shared" si="73"/>
        <v>7</v>
      </c>
    </row>
    <row r="2323" spans="1:8" x14ac:dyDescent="0.2">
      <c r="A2323" t="s">
        <v>7</v>
      </c>
      <c r="B2323" t="s">
        <v>17</v>
      </c>
      <c r="C2323" t="str">
        <f t="shared" si="74"/>
        <v>Cumple</v>
      </c>
      <c r="D2323" s="17">
        <v>2502</v>
      </c>
      <c r="E2323" s="19" t="s">
        <v>13</v>
      </c>
      <c r="F2323">
        <v>12</v>
      </c>
      <c r="G2323">
        <v>6</v>
      </c>
      <c r="H2323">
        <f t="shared" si="73"/>
        <v>6</v>
      </c>
    </row>
    <row r="2324" spans="1:8" x14ac:dyDescent="0.2">
      <c r="A2324" t="s">
        <v>7</v>
      </c>
      <c r="B2324" t="s">
        <v>17</v>
      </c>
      <c r="C2324" t="str">
        <f t="shared" si="74"/>
        <v>Cumple</v>
      </c>
      <c r="D2324" s="17">
        <v>219</v>
      </c>
      <c r="E2324" s="19" t="s">
        <v>13</v>
      </c>
      <c r="F2324">
        <v>11</v>
      </c>
      <c r="G2324">
        <v>6</v>
      </c>
      <c r="H2324">
        <f t="shared" si="73"/>
        <v>5</v>
      </c>
    </row>
    <row r="2325" spans="1:8" x14ac:dyDescent="0.2">
      <c r="A2325" t="s">
        <v>7</v>
      </c>
      <c r="B2325" t="s">
        <v>17</v>
      </c>
      <c r="C2325" t="str">
        <f t="shared" si="74"/>
        <v>Cumple</v>
      </c>
      <c r="D2325" s="17">
        <v>763</v>
      </c>
      <c r="E2325" s="19" t="s">
        <v>13</v>
      </c>
      <c r="F2325">
        <v>11</v>
      </c>
      <c r="G2325">
        <v>6</v>
      </c>
      <c r="H2325">
        <f t="shared" si="73"/>
        <v>5</v>
      </c>
    </row>
    <row r="2326" spans="1:8" x14ac:dyDescent="0.2">
      <c r="A2326" t="s">
        <v>7</v>
      </c>
      <c r="B2326" t="s">
        <v>17</v>
      </c>
      <c r="C2326" t="str">
        <f t="shared" si="74"/>
        <v>Cumple</v>
      </c>
      <c r="D2326" s="17">
        <v>1541</v>
      </c>
      <c r="E2326" s="19" t="s">
        <v>13</v>
      </c>
      <c r="F2326">
        <v>11</v>
      </c>
      <c r="G2326">
        <v>6</v>
      </c>
      <c r="H2326">
        <f t="shared" si="73"/>
        <v>5</v>
      </c>
    </row>
    <row r="2327" spans="1:8" x14ac:dyDescent="0.2">
      <c r="A2327" t="s">
        <v>7</v>
      </c>
      <c r="B2327" t="s">
        <v>17</v>
      </c>
      <c r="C2327" t="str">
        <f t="shared" si="74"/>
        <v>Cumple</v>
      </c>
      <c r="D2327" s="17">
        <v>1891</v>
      </c>
      <c r="E2327" s="19" t="s">
        <v>13</v>
      </c>
      <c r="F2327">
        <v>11</v>
      </c>
      <c r="G2327">
        <v>6</v>
      </c>
      <c r="H2327">
        <f t="shared" si="73"/>
        <v>5</v>
      </c>
    </row>
    <row r="2328" spans="1:8" x14ac:dyDescent="0.2">
      <c r="A2328" t="s">
        <v>7</v>
      </c>
      <c r="B2328" t="s">
        <v>17</v>
      </c>
      <c r="C2328" t="str">
        <f t="shared" si="74"/>
        <v>Cumple</v>
      </c>
      <c r="D2328" s="17">
        <v>2356</v>
      </c>
      <c r="E2328" s="19" t="s">
        <v>13</v>
      </c>
      <c r="F2328">
        <v>11</v>
      </c>
      <c r="G2328">
        <v>6</v>
      </c>
      <c r="H2328">
        <f t="shared" si="73"/>
        <v>5</v>
      </c>
    </row>
    <row r="2329" spans="1:8" x14ac:dyDescent="0.2">
      <c r="A2329" t="s">
        <v>7</v>
      </c>
      <c r="B2329" t="s">
        <v>17</v>
      </c>
      <c r="C2329" t="str">
        <f t="shared" si="74"/>
        <v>Cumple</v>
      </c>
      <c r="D2329" s="17">
        <v>3566</v>
      </c>
      <c r="E2329" s="19" t="s">
        <v>13</v>
      </c>
      <c r="F2329">
        <v>11</v>
      </c>
      <c r="G2329">
        <v>6</v>
      </c>
      <c r="H2329">
        <f t="shared" si="73"/>
        <v>5</v>
      </c>
    </row>
    <row r="2330" spans="1:8" x14ac:dyDescent="0.2">
      <c r="A2330" t="s">
        <v>7</v>
      </c>
      <c r="B2330" t="s">
        <v>17</v>
      </c>
      <c r="C2330" t="str">
        <f t="shared" si="74"/>
        <v>Cumple</v>
      </c>
      <c r="D2330" s="17">
        <v>3664</v>
      </c>
      <c r="E2330" s="19" t="s">
        <v>13</v>
      </c>
      <c r="F2330">
        <v>11</v>
      </c>
      <c r="G2330">
        <v>6</v>
      </c>
      <c r="H2330">
        <f t="shared" si="73"/>
        <v>5</v>
      </c>
    </row>
    <row r="2331" spans="1:8" x14ac:dyDescent="0.2">
      <c r="A2331" t="s">
        <v>7</v>
      </c>
      <c r="B2331" t="s">
        <v>17</v>
      </c>
      <c r="C2331" t="str">
        <f t="shared" si="74"/>
        <v>Cumple</v>
      </c>
      <c r="D2331" s="17">
        <v>9154</v>
      </c>
      <c r="E2331" s="19" t="s">
        <v>13</v>
      </c>
      <c r="F2331">
        <v>11</v>
      </c>
      <c r="G2331">
        <v>6</v>
      </c>
      <c r="H2331">
        <f t="shared" si="73"/>
        <v>5</v>
      </c>
    </row>
    <row r="2332" spans="1:8" x14ac:dyDescent="0.2">
      <c r="A2332" t="s">
        <v>7</v>
      </c>
      <c r="B2332" t="s">
        <v>17</v>
      </c>
      <c r="C2332" t="str">
        <f t="shared" si="74"/>
        <v>Cumple</v>
      </c>
      <c r="D2332" s="17">
        <v>291</v>
      </c>
      <c r="E2332" s="19" t="s">
        <v>13</v>
      </c>
      <c r="F2332">
        <v>10</v>
      </c>
      <c r="G2332">
        <v>6</v>
      </c>
      <c r="H2332">
        <f t="shared" si="73"/>
        <v>4</v>
      </c>
    </row>
    <row r="2333" spans="1:8" x14ac:dyDescent="0.2">
      <c r="A2333" t="s">
        <v>7</v>
      </c>
      <c r="B2333" t="s">
        <v>17</v>
      </c>
      <c r="C2333" t="str">
        <f t="shared" si="74"/>
        <v>Cumple</v>
      </c>
      <c r="D2333" s="17">
        <v>795</v>
      </c>
      <c r="E2333" s="19" t="s">
        <v>13</v>
      </c>
      <c r="F2333">
        <v>10</v>
      </c>
      <c r="G2333">
        <v>6</v>
      </c>
      <c r="H2333">
        <f t="shared" si="73"/>
        <v>4</v>
      </c>
    </row>
    <row r="2334" spans="1:8" x14ac:dyDescent="0.2">
      <c r="A2334" t="s">
        <v>7</v>
      </c>
      <c r="B2334" t="s">
        <v>17</v>
      </c>
      <c r="C2334" t="str">
        <f t="shared" si="74"/>
        <v>Cumple</v>
      </c>
      <c r="D2334" s="17">
        <v>826</v>
      </c>
      <c r="E2334" s="19" t="s">
        <v>13</v>
      </c>
      <c r="F2334">
        <v>10</v>
      </c>
      <c r="G2334">
        <v>6</v>
      </c>
      <c r="H2334">
        <f t="shared" si="73"/>
        <v>4</v>
      </c>
    </row>
    <row r="2335" spans="1:8" x14ac:dyDescent="0.2">
      <c r="A2335" t="s">
        <v>7</v>
      </c>
      <c r="B2335" t="s">
        <v>17</v>
      </c>
      <c r="C2335" t="str">
        <f t="shared" si="74"/>
        <v>Cumple</v>
      </c>
      <c r="D2335" s="17">
        <v>831</v>
      </c>
      <c r="E2335" s="19" t="s">
        <v>13</v>
      </c>
      <c r="F2335">
        <v>10</v>
      </c>
      <c r="G2335">
        <v>6</v>
      </c>
      <c r="H2335">
        <f t="shared" si="73"/>
        <v>4</v>
      </c>
    </row>
    <row r="2336" spans="1:8" x14ac:dyDescent="0.2">
      <c r="A2336" t="s">
        <v>7</v>
      </c>
      <c r="B2336" t="s">
        <v>17</v>
      </c>
      <c r="C2336" t="str">
        <f t="shared" si="74"/>
        <v>Cumple</v>
      </c>
      <c r="D2336" s="17">
        <v>1480</v>
      </c>
      <c r="E2336" s="19" t="s">
        <v>13</v>
      </c>
      <c r="F2336">
        <v>10</v>
      </c>
      <c r="G2336">
        <v>6</v>
      </c>
      <c r="H2336">
        <f t="shared" si="73"/>
        <v>4</v>
      </c>
    </row>
    <row r="2337" spans="1:8" x14ac:dyDescent="0.2">
      <c r="A2337" t="s">
        <v>7</v>
      </c>
      <c r="B2337" t="s">
        <v>17</v>
      </c>
      <c r="C2337" t="str">
        <f t="shared" si="74"/>
        <v>Cumple</v>
      </c>
      <c r="D2337" s="17">
        <v>1482</v>
      </c>
      <c r="E2337" s="19" t="s">
        <v>13</v>
      </c>
      <c r="F2337">
        <v>10</v>
      </c>
      <c r="G2337">
        <v>6</v>
      </c>
      <c r="H2337">
        <f t="shared" si="73"/>
        <v>4</v>
      </c>
    </row>
    <row r="2338" spans="1:8" x14ac:dyDescent="0.2">
      <c r="A2338" t="s">
        <v>7</v>
      </c>
      <c r="B2338" t="s">
        <v>17</v>
      </c>
      <c r="C2338" t="str">
        <f t="shared" si="74"/>
        <v>Cumple</v>
      </c>
      <c r="D2338" s="17">
        <v>2086</v>
      </c>
      <c r="E2338" s="19" t="s">
        <v>13</v>
      </c>
      <c r="F2338">
        <v>10</v>
      </c>
      <c r="G2338">
        <v>6</v>
      </c>
      <c r="H2338">
        <f t="shared" si="73"/>
        <v>4</v>
      </c>
    </row>
    <row r="2339" spans="1:8" x14ac:dyDescent="0.2">
      <c r="A2339" t="s">
        <v>7</v>
      </c>
      <c r="B2339" t="s">
        <v>17</v>
      </c>
      <c r="C2339" t="str">
        <f t="shared" si="74"/>
        <v>Cumple</v>
      </c>
      <c r="D2339" s="17">
        <v>3079</v>
      </c>
      <c r="E2339" s="19" t="s">
        <v>13</v>
      </c>
      <c r="F2339">
        <v>10</v>
      </c>
      <c r="G2339">
        <v>6</v>
      </c>
      <c r="H2339">
        <f t="shared" si="73"/>
        <v>4</v>
      </c>
    </row>
    <row r="2340" spans="1:8" x14ac:dyDescent="0.2">
      <c r="A2340" t="s">
        <v>7</v>
      </c>
      <c r="B2340" t="s">
        <v>17</v>
      </c>
      <c r="C2340" t="str">
        <f t="shared" si="74"/>
        <v>Cumple</v>
      </c>
      <c r="D2340" s="17">
        <v>3768</v>
      </c>
      <c r="E2340" s="19" t="s">
        <v>13</v>
      </c>
      <c r="F2340">
        <v>10</v>
      </c>
      <c r="G2340">
        <v>6</v>
      </c>
      <c r="H2340">
        <f t="shared" si="73"/>
        <v>4</v>
      </c>
    </row>
    <row r="2341" spans="1:8" x14ac:dyDescent="0.2">
      <c r="A2341" t="s">
        <v>7</v>
      </c>
      <c r="B2341" t="s">
        <v>17</v>
      </c>
      <c r="C2341" t="str">
        <f t="shared" si="74"/>
        <v>Cumple</v>
      </c>
      <c r="D2341" s="17">
        <v>3791</v>
      </c>
      <c r="E2341" s="19" t="s">
        <v>13</v>
      </c>
      <c r="F2341">
        <v>10</v>
      </c>
      <c r="G2341">
        <v>6</v>
      </c>
      <c r="H2341">
        <f t="shared" si="73"/>
        <v>4</v>
      </c>
    </row>
    <row r="2342" spans="1:8" x14ac:dyDescent="0.2">
      <c r="A2342" t="s">
        <v>7</v>
      </c>
      <c r="B2342" t="s">
        <v>17</v>
      </c>
      <c r="C2342" t="str">
        <f t="shared" si="74"/>
        <v>Cumple</v>
      </c>
      <c r="D2342" s="17">
        <v>3818</v>
      </c>
      <c r="E2342" s="19" t="s">
        <v>13</v>
      </c>
      <c r="F2342">
        <v>10</v>
      </c>
      <c r="G2342">
        <v>6</v>
      </c>
      <c r="H2342">
        <f t="shared" si="73"/>
        <v>4</v>
      </c>
    </row>
    <row r="2343" spans="1:8" x14ac:dyDescent="0.2">
      <c r="A2343" t="s">
        <v>7</v>
      </c>
      <c r="B2343" t="s">
        <v>17</v>
      </c>
      <c r="C2343" t="str">
        <f t="shared" si="74"/>
        <v>Cumple</v>
      </c>
      <c r="D2343" s="17">
        <v>9020</v>
      </c>
      <c r="E2343" s="19" t="s">
        <v>13</v>
      </c>
      <c r="F2343">
        <v>10</v>
      </c>
      <c r="G2343">
        <v>6</v>
      </c>
      <c r="H2343">
        <f t="shared" si="73"/>
        <v>4</v>
      </c>
    </row>
    <row r="2344" spans="1:8" x14ac:dyDescent="0.2">
      <c r="A2344" t="s">
        <v>7</v>
      </c>
      <c r="B2344" t="s">
        <v>17</v>
      </c>
      <c r="C2344" t="str">
        <f t="shared" si="74"/>
        <v>Cumple</v>
      </c>
      <c r="D2344" s="17">
        <v>9575</v>
      </c>
      <c r="E2344" s="19" t="s">
        <v>13</v>
      </c>
      <c r="F2344">
        <v>10</v>
      </c>
      <c r="G2344">
        <v>6</v>
      </c>
      <c r="H2344">
        <f t="shared" si="73"/>
        <v>4</v>
      </c>
    </row>
    <row r="2345" spans="1:8" x14ac:dyDescent="0.2">
      <c r="A2345" t="s">
        <v>7</v>
      </c>
      <c r="B2345" t="s">
        <v>17</v>
      </c>
      <c r="C2345" t="str">
        <f t="shared" si="74"/>
        <v>Cumple</v>
      </c>
      <c r="D2345" s="17">
        <v>9795</v>
      </c>
      <c r="E2345" s="19" t="s">
        <v>13</v>
      </c>
      <c r="F2345">
        <v>10</v>
      </c>
      <c r="G2345">
        <v>6</v>
      </c>
      <c r="H2345">
        <f t="shared" si="73"/>
        <v>4</v>
      </c>
    </row>
    <row r="2346" spans="1:8" x14ac:dyDescent="0.2">
      <c r="A2346" t="s">
        <v>7</v>
      </c>
      <c r="B2346" t="s">
        <v>17</v>
      </c>
      <c r="C2346" t="str">
        <f t="shared" si="74"/>
        <v>Cumple</v>
      </c>
      <c r="D2346" s="17">
        <v>9967</v>
      </c>
      <c r="E2346" s="19" t="s">
        <v>13</v>
      </c>
      <c r="F2346">
        <v>10</v>
      </c>
      <c r="G2346">
        <v>6</v>
      </c>
      <c r="H2346">
        <f t="shared" si="73"/>
        <v>4</v>
      </c>
    </row>
    <row r="2347" spans="1:8" x14ac:dyDescent="0.2">
      <c r="A2347" t="s">
        <v>7</v>
      </c>
      <c r="B2347" t="s">
        <v>17</v>
      </c>
      <c r="C2347" t="str">
        <f t="shared" si="74"/>
        <v>Cumple</v>
      </c>
      <c r="D2347" s="17">
        <v>213</v>
      </c>
      <c r="E2347" s="19" t="s">
        <v>13</v>
      </c>
      <c r="F2347">
        <v>9</v>
      </c>
      <c r="G2347">
        <v>6</v>
      </c>
      <c r="H2347">
        <f t="shared" si="73"/>
        <v>3</v>
      </c>
    </row>
    <row r="2348" spans="1:8" x14ac:dyDescent="0.2">
      <c r="A2348" t="s">
        <v>7</v>
      </c>
      <c r="B2348" t="s">
        <v>17</v>
      </c>
      <c r="C2348" t="str">
        <f t="shared" si="74"/>
        <v>Cumple</v>
      </c>
      <c r="D2348" s="17">
        <v>220</v>
      </c>
      <c r="E2348" s="19" t="s">
        <v>13</v>
      </c>
      <c r="F2348">
        <v>9</v>
      </c>
      <c r="G2348">
        <v>6</v>
      </c>
      <c r="H2348">
        <f t="shared" si="73"/>
        <v>3</v>
      </c>
    </row>
    <row r="2349" spans="1:8" x14ac:dyDescent="0.2">
      <c r="A2349" t="s">
        <v>7</v>
      </c>
      <c r="B2349" t="s">
        <v>17</v>
      </c>
      <c r="C2349" t="str">
        <f t="shared" si="74"/>
        <v>Cumple</v>
      </c>
      <c r="D2349" s="17">
        <v>793</v>
      </c>
      <c r="E2349" s="19" t="s">
        <v>13</v>
      </c>
      <c r="F2349">
        <v>9</v>
      </c>
      <c r="G2349">
        <v>6</v>
      </c>
      <c r="H2349">
        <f t="shared" si="73"/>
        <v>3</v>
      </c>
    </row>
    <row r="2350" spans="1:8" x14ac:dyDescent="0.2">
      <c r="A2350" t="s">
        <v>7</v>
      </c>
      <c r="B2350" t="s">
        <v>17</v>
      </c>
      <c r="C2350" t="str">
        <f t="shared" si="74"/>
        <v>Cumple</v>
      </c>
      <c r="D2350" s="17">
        <v>927</v>
      </c>
      <c r="E2350" s="19" t="s">
        <v>13</v>
      </c>
      <c r="F2350">
        <v>9</v>
      </c>
      <c r="G2350">
        <v>6</v>
      </c>
      <c r="H2350">
        <f t="shared" si="73"/>
        <v>3</v>
      </c>
    </row>
    <row r="2351" spans="1:8" x14ac:dyDescent="0.2">
      <c r="A2351" t="s">
        <v>7</v>
      </c>
      <c r="B2351" t="s">
        <v>17</v>
      </c>
      <c r="C2351" t="str">
        <f t="shared" si="74"/>
        <v>Cumple</v>
      </c>
      <c r="D2351" s="17">
        <v>1429</v>
      </c>
      <c r="E2351" s="19" t="s">
        <v>13</v>
      </c>
      <c r="F2351">
        <v>9</v>
      </c>
      <c r="G2351">
        <v>6</v>
      </c>
      <c r="H2351">
        <f t="shared" si="73"/>
        <v>3</v>
      </c>
    </row>
    <row r="2352" spans="1:8" x14ac:dyDescent="0.2">
      <c r="A2352" t="s">
        <v>7</v>
      </c>
      <c r="B2352" t="s">
        <v>17</v>
      </c>
      <c r="C2352" t="str">
        <f t="shared" si="74"/>
        <v>Cumple</v>
      </c>
      <c r="D2352" s="17">
        <v>1468</v>
      </c>
      <c r="E2352" s="19" t="s">
        <v>13</v>
      </c>
      <c r="F2352">
        <v>9</v>
      </c>
      <c r="G2352">
        <v>6</v>
      </c>
      <c r="H2352">
        <f t="shared" si="73"/>
        <v>3</v>
      </c>
    </row>
    <row r="2353" spans="1:8" x14ac:dyDescent="0.2">
      <c r="A2353" t="s">
        <v>7</v>
      </c>
      <c r="B2353" t="s">
        <v>17</v>
      </c>
      <c r="C2353" t="str">
        <f t="shared" si="74"/>
        <v>Cumple</v>
      </c>
      <c r="D2353" s="17">
        <v>2810</v>
      </c>
      <c r="E2353" s="19" t="s">
        <v>13</v>
      </c>
      <c r="F2353">
        <v>9</v>
      </c>
      <c r="G2353">
        <v>6</v>
      </c>
      <c r="H2353">
        <f t="shared" si="73"/>
        <v>3</v>
      </c>
    </row>
    <row r="2354" spans="1:8" x14ac:dyDescent="0.2">
      <c r="A2354" t="s">
        <v>7</v>
      </c>
      <c r="B2354" t="s">
        <v>17</v>
      </c>
      <c r="C2354" t="str">
        <f t="shared" si="74"/>
        <v>Cumple</v>
      </c>
      <c r="D2354" s="17">
        <v>3595</v>
      </c>
      <c r="E2354" s="19" t="s">
        <v>13</v>
      </c>
      <c r="F2354">
        <v>9</v>
      </c>
      <c r="G2354">
        <v>6</v>
      </c>
      <c r="H2354">
        <f t="shared" si="73"/>
        <v>3</v>
      </c>
    </row>
    <row r="2355" spans="1:8" x14ac:dyDescent="0.2">
      <c r="A2355" t="s">
        <v>7</v>
      </c>
      <c r="B2355" t="s">
        <v>17</v>
      </c>
      <c r="C2355" t="str">
        <f t="shared" si="74"/>
        <v>Cumple</v>
      </c>
      <c r="D2355" s="17">
        <v>3666</v>
      </c>
      <c r="E2355" s="19" t="s">
        <v>13</v>
      </c>
      <c r="F2355">
        <v>9</v>
      </c>
      <c r="G2355">
        <v>6</v>
      </c>
      <c r="H2355">
        <f t="shared" si="73"/>
        <v>3</v>
      </c>
    </row>
    <row r="2356" spans="1:8" x14ac:dyDescent="0.2">
      <c r="A2356" t="s">
        <v>7</v>
      </c>
      <c r="B2356" t="s">
        <v>17</v>
      </c>
      <c r="C2356" t="str">
        <f t="shared" si="74"/>
        <v>Cumple</v>
      </c>
      <c r="D2356" s="17">
        <v>3744</v>
      </c>
      <c r="E2356" s="19" t="s">
        <v>13</v>
      </c>
      <c r="F2356">
        <v>9</v>
      </c>
      <c r="G2356">
        <v>6</v>
      </c>
      <c r="H2356">
        <f t="shared" si="73"/>
        <v>3</v>
      </c>
    </row>
    <row r="2357" spans="1:8" x14ac:dyDescent="0.2">
      <c r="A2357" t="s">
        <v>7</v>
      </c>
      <c r="B2357" t="s">
        <v>17</v>
      </c>
      <c r="C2357" t="str">
        <f t="shared" si="74"/>
        <v>Cumple</v>
      </c>
      <c r="D2357" s="17">
        <v>9448</v>
      </c>
      <c r="E2357" s="19" t="s">
        <v>13</v>
      </c>
      <c r="F2357">
        <v>9</v>
      </c>
      <c r="G2357">
        <v>6</v>
      </c>
      <c r="H2357">
        <f t="shared" si="73"/>
        <v>3</v>
      </c>
    </row>
    <row r="2358" spans="1:8" x14ac:dyDescent="0.2">
      <c r="A2358" t="s">
        <v>7</v>
      </c>
      <c r="B2358" t="s">
        <v>17</v>
      </c>
      <c r="C2358" t="str">
        <f t="shared" si="74"/>
        <v>Cumple</v>
      </c>
      <c r="D2358" s="17">
        <v>9527</v>
      </c>
      <c r="E2358" s="19" t="s">
        <v>13</v>
      </c>
      <c r="F2358">
        <v>9</v>
      </c>
      <c r="G2358">
        <v>6</v>
      </c>
      <c r="H2358">
        <f t="shared" si="73"/>
        <v>3</v>
      </c>
    </row>
    <row r="2359" spans="1:8" x14ac:dyDescent="0.2">
      <c r="A2359" t="s">
        <v>7</v>
      </c>
      <c r="B2359" t="s">
        <v>17</v>
      </c>
      <c r="C2359" t="str">
        <f t="shared" si="74"/>
        <v>Cumple</v>
      </c>
      <c r="D2359" s="17">
        <v>9686</v>
      </c>
      <c r="E2359" s="19" t="s">
        <v>13</v>
      </c>
      <c r="F2359">
        <v>9</v>
      </c>
      <c r="G2359">
        <v>6</v>
      </c>
      <c r="H2359">
        <f t="shared" si="73"/>
        <v>3</v>
      </c>
    </row>
    <row r="2360" spans="1:8" x14ac:dyDescent="0.2">
      <c r="A2360" t="s">
        <v>7</v>
      </c>
      <c r="B2360" t="s">
        <v>17</v>
      </c>
      <c r="C2360" t="str">
        <f t="shared" si="74"/>
        <v>Cumple</v>
      </c>
      <c r="D2360" s="17">
        <v>9938</v>
      </c>
      <c r="E2360" s="19" t="s">
        <v>13</v>
      </c>
      <c r="F2360">
        <v>9</v>
      </c>
      <c r="G2360">
        <v>6</v>
      </c>
      <c r="H2360">
        <f t="shared" si="73"/>
        <v>3</v>
      </c>
    </row>
    <row r="2361" spans="1:8" x14ac:dyDescent="0.2">
      <c r="A2361" t="s">
        <v>7</v>
      </c>
      <c r="B2361" t="s">
        <v>17</v>
      </c>
      <c r="C2361" t="str">
        <f t="shared" si="74"/>
        <v>Cumple</v>
      </c>
      <c r="D2361" s="17">
        <v>3864</v>
      </c>
      <c r="E2361" s="19" t="s">
        <v>13</v>
      </c>
      <c r="F2361">
        <v>9</v>
      </c>
      <c r="G2361">
        <v>6</v>
      </c>
      <c r="H2361">
        <f t="shared" si="73"/>
        <v>3</v>
      </c>
    </row>
    <row r="2362" spans="1:8" x14ac:dyDescent="0.2">
      <c r="A2362" t="s">
        <v>7</v>
      </c>
      <c r="B2362" t="s">
        <v>17</v>
      </c>
      <c r="C2362" t="str">
        <f t="shared" si="74"/>
        <v>Cumple</v>
      </c>
      <c r="D2362" s="17">
        <v>784</v>
      </c>
      <c r="E2362" s="19" t="s">
        <v>13</v>
      </c>
      <c r="F2362">
        <v>8</v>
      </c>
      <c r="G2362">
        <v>6</v>
      </c>
      <c r="H2362">
        <f t="shared" si="73"/>
        <v>2</v>
      </c>
    </row>
    <row r="2363" spans="1:8" x14ac:dyDescent="0.2">
      <c r="A2363" t="s">
        <v>7</v>
      </c>
      <c r="B2363" t="s">
        <v>17</v>
      </c>
      <c r="C2363" t="str">
        <f t="shared" si="74"/>
        <v>Cumple</v>
      </c>
      <c r="D2363" s="17">
        <v>785</v>
      </c>
      <c r="E2363" s="19" t="s">
        <v>13</v>
      </c>
      <c r="F2363">
        <v>8</v>
      </c>
      <c r="G2363">
        <v>6</v>
      </c>
      <c r="H2363">
        <f t="shared" si="73"/>
        <v>2</v>
      </c>
    </row>
    <row r="2364" spans="1:8" x14ac:dyDescent="0.2">
      <c r="A2364" t="s">
        <v>7</v>
      </c>
      <c r="B2364" t="s">
        <v>17</v>
      </c>
      <c r="C2364" t="str">
        <f t="shared" si="74"/>
        <v>Cumple</v>
      </c>
      <c r="D2364" s="17">
        <v>870</v>
      </c>
      <c r="E2364" s="19" t="s">
        <v>13</v>
      </c>
      <c r="F2364">
        <v>8</v>
      </c>
      <c r="G2364">
        <v>6</v>
      </c>
      <c r="H2364">
        <f t="shared" si="73"/>
        <v>2</v>
      </c>
    </row>
    <row r="2365" spans="1:8" x14ac:dyDescent="0.2">
      <c r="A2365" t="s">
        <v>7</v>
      </c>
      <c r="B2365" t="s">
        <v>17</v>
      </c>
      <c r="C2365" t="str">
        <f t="shared" si="74"/>
        <v>Cumple</v>
      </c>
      <c r="D2365" s="17">
        <v>879</v>
      </c>
      <c r="E2365" s="19" t="s">
        <v>13</v>
      </c>
      <c r="F2365">
        <v>8</v>
      </c>
      <c r="G2365">
        <v>6</v>
      </c>
      <c r="H2365">
        <f t="shared" si="73"/>
        <v>2</v>
      </c>
    </row>
    <row r="2366" spans="1:8" x14ac:dyDescent="0.2">
      <c r="A2366" t="s">
        <v>7</v>
      </c>
      <c r="B2366" t="s">
        <v>17</v>
      </c>
      <c r="C2366" t="str">
        <f t="shared" si="74"/>
        <v>Cumple</v>
      </c>
      <c r="D2366" s="17">
        <v>1401</v>
      </c>
      <c r="E2366" s="19" t="s">
        <v>13</v>
      </c>
      <c r="F2366">
        <v>8</v>
      </c>
      <c r="G2366">
        <v>6</v>
      </c>
      <c r="H2366">
        <f t="shared" si="73"/>
        <v>2</v>
      </c>
    </row>
    <row r="2367" spans="1:8" x14ac:dyDescent="0.2">
      <c r="A2367" t="s">
        <v>7</v>
      </c>
      <c r="B2367" t="s">
        <v>17</v>
      </c>
      <c r="C2367" t="str">
        <f t="shared" si="74"/>
        <v>Cumple</v>
      </c>
      <c r="D2367" s="17">
        <v>1420</v>
      </c>
      <c r="E2367" s="19" t="s">
        <v>13</v>
      </c>
      <c r="F2367">
        <v>8</v>
      </c>
      <c r="G2367">
        <v>6</v>
      </c>
      <c r="H2367">
        <f t="shared" si="73"/>
        <v>2</v>
      </c>
    </row>
    <row r="2368" spans="1:8" x14ac:dyDescent="0.2">
      <c r="A2368" t="s">
        <v>7</v>
      </c>
      <c r="B2368" t="s">
        <v>17</v>
      </c>
      <c r="C2368" t="str">
        <f t="shared" si="74"/>
        <v>Cumple</v>
      </c>
      <c r="D2368" s="17">
        <v>2862</v>
      </c>
      <c r="E2368" s="19" t="s">
        <v>13</v>
      </c>
      <c r="F2368">
        <v>8</v>
      </c>
      <c r="G2368">
        <v>6</v>
      </c>
      <c r="H2368">
        <f t="shared" si="73"/>
        <v>2</v>
      </c>
    </row>
    <row r="2369" spans="1:8" x14ac:dyDescent="0.2">
      <c r="A2369" t="s">
        <v>7</v>
      </c>
      <c r="B2369" t="s">
        <v>17</v>
      </c>
      <c r="C2369" t="str">
        <f t="shared" si="74"/>
        <v>Cumple</v>
      </c>
      <c r="D2369" s="17">
        <v>3180</v>
      </c>
      <c r="E2369" s="19" t="s">
        <v>13</v>
      </c>
      <c r="F2369">
        <v>8</v>
      </c>
      <c r="G2369">
        <v>6</v>
      </c>
      <c r="H2369">
        <f t="shared" si="73"/>
        <v>2</v>
      </c>
    </row>
    <row r="2370" spans="1:8" x14ac:dyDescent="0.2">
      <c r="A2370" t="s">
        <v>7</v>
      </c>
      <c r="B2370" t="s">
        <v>17</v>
      </c>
      <c r="C2370" t="str">
        <f t="shared" si="74"/>
        <v>Cumple</v>
      </c>
      <c r="D2370" s="17">
        <v>3646</v>
      </c>
      <c r="E2370" s="19" t="s">
        <v>13</v>
      </c>
      <c r="F2370">
        <v>8</v>
      </c>
      <c r="G2370">
        <v>6</v>
      </c>
      <c r="H2370">
        <f t="shared" si="73"/>
        <v>2</v>
      </c>
    </row>
    <row r="2371" spans="1:8" x14ac:dyDescent="0.2">
      <c r="A2371" t="s">
        <v>7</v>
      </c>
      <c r="B2371" t="s">
        <v>17</v>
      </c>
      <c r="C2371" t="str">
        <f t="shared" si="74"/>
        <v>Cumple</v>
      </c>
      <c r="D2371" s="17">
        <v>3662</v>
      </c>
      <c r="E2371" s="19" t="s">
        <v>13</v>
      </c>
      <c r="F2371">
        <v>8</v>
      </c>
      <c r="G2371">
        <v>6</v>
      </c>
      <c r="H2371">
        <f t="shared" ref="H2371:H2434" si="75">F2371-G2371</f>
        <v>2</v>
      </c>
    </row>
    <row r="2372" spans="1:8" x14ac:dyDescent="0.2">
      <c r="A2372" t="s">
        <v>7</v>
      </c>
      <c r="B2372" t="s">
        <v>17</v>
      </c>
      <c r="C2372" t="str">
        <f t="shared" ref="C2372:C2435" si="76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>
        <f t="shared" si="75"/>
        <v>2</v>
      </c>
    </row>
    <row r="2373" spans="1:8" x14ac:dyDescent="0.2">
      <c r="A2373" t="s">
        <v>7</v>
      </c>
      <c r="B2373" t="s">
        <v>17</v>
      </c>
      <c r="C2373" t="str">
        <f t="shared" si="76"/>
        <v>Cumple</v>
      </c>
      <c r="D2373" s="17">
        <v>3811</v>
      </c>
      <c r="E2373" s="19" t="s">
        <v>13</v>
      </c>
      <c r="F2373">
        <v>8</v>
      </c>
      <c r="G2373">
        <v>6</v>
      </c>
      <c r="H2373">
        <f t="shared" si="75"/>
        <v>2</v>
      </c>
    </row>
    <row r="2374" spans="1:8" x14ac:dyDescent="0.2">
      <c r="A2374" t="s">
        <v>7</v>
      </c>
      <c r="B2374" t="s">
        <v>17</v>
      </c>
      <c r="C2374" t="str">
        <f t="shared" si="76"/>
        <v>Cumple</v>
      </c>
      <c r="D2374" s="17">
        <v>3842</v>
      </c>
      <c r="E2374" s="19" t="s">
        <v>13</v>
      </c>
      <c r="F2374">
        <v>8</v>
      </c>
      <c r="G2374">
        <v>6</v>
      </c>
      <c r="H2374">
        <f t="shared" si="75"/>
        <v>2</v>
      </c>
    </row>
    <row r="2375" spans="1:8" x14ac:dyDescent="0.2">
      <c r="A2375" t="s">
        <v>7</v>
      </c>
      <c r="B2375" t="s">
        <v>17</v>
      </c>
      <c r="C2375" t="str">
        <f t="shared" si="76"/>
        <v>Cumple</v>
      </c>
      <c r="D2375" s="17">
        <v>9102</v>
      </c>
      <c r="E2375" s="19" t="s">
        <v>13</v>
      </c>
      <c r="F2375">
        <v>8</v>
      </c>
      <c r="G2375">
        <v>6</v>
      </c>
      <c r="H2375">
        <f t="shared" si="75"/>
        <v>2</v>
      </c>
    </row>
    <row r="2376" spans="1:8" x14ac:dyDescent="0.2">
      <c r="A2376" t="s">
        <v>7</v>
      </c>
      <c r="B2376" t="s">
        <v>17</v>
      </c>
      <c r="C2376" t="str">
        <f t="shared" si="76"/>
        <v>Cumple</v>
      </c>
      <c r="D2376" s="17">
        <v>9620</v>
      </c>
      <c r="E2376" s="19" t="s">
        <v>13</v>
      </c>
      <c r="F2376">
        <v>8</v>
      </c>
      <c r="G2376">
        <v>6</v>
      </c>
      <c r="H2376">
        <f t="shared" si="75"/>
        <v>2</v>
      </c>
    </row>
    <row r="2377" spans="1:8" x14ac:dyDescent="0.2">
      <c r="A2377" t="s">
        <v>7</v>
      </c>
      <c r="B2377" t="s">
        <v>17</v>
      </c>
      <c r="C2377" t="str">
        <f t="shared" si="76"/>
        <v>Cumple</v>
      </c>
      <c r="D2377" s="17">
        <v>9720</v>
      </c>
      <c r="E2377" s="19" t="s">
        <v>13</v>
      </c>
      <c r="F2377">
        <v>8</v>
      </c>
      <c r="G2377">
        <v>6</v>
      </c>
      <c r="H2377">
        <f t="shared" si="75"/>
        <v>2</v>
      </c>
    </row>
    <row r="2378" spans="1:8" x14ac:dyDescent="0.2">
      <c r="A2378" t="s">
        <v>7</v>
      </c>
      <c r="B2378" t="s">
        <v>17</v>
      </c>
      <c r="C2378" t="str">
        <f t="shared" si="76"/>
        <v>Cumple</v>
      </c>
      <c r="D2378" s="17">
        <v>9935</v>
      </c>
      <c r="E2378" s="19" t="s">
        <v>13</v>
      </c>
      <c r="F2378">
        <v>8</v>
      </c>
      <c r="G2378">
        <v>6</v>
      </c>
      <c r="H2378">
        <f t="shared" si="75"/>
        <v>2</v>
      </c>
    </row>
    <row r="2379" spans="1:8" x14ac:dyDescent="0.2">
      <c r="A2379" t="s">
        <v>7</v>
      </c>
      <c r="B2379" t="s">
        <v>17</v>
      </c>
      <c r="C2379" t="str">
        <f t="shared" si="76"/>
        <v>Cumple</v>
      </c>
      <c r="D2379" s="17">
        <v>3853</v>
      </c>
      <c r="E2379" s="19" t="s">
        <v>13</v>
      </c>
      <c r="F2379">
        <v>8</v>
      </c>
      <c r="G2379">
        <v>6</v>
      </c>
      <c r="H2379">
        <f t="shared" si="75"/>
        <v>2</v>
      </c>
    </row>
    <row r="2380" spans="1:8" x14ac:dyDescent="0.2">
      <c r="A2380" t="s">
        <v>7</v>
      </c>
      <c r="B2380" t="s">
        <v>17</v>
      </c>
      <c r="C2380" t="str">
        <f t="shared" si="76"/>
        <v>Cumple</v>
      </c>
      <c r="D2380" s="17">
        <v>283</v>
      </c>
      <c r="E2380" s="19" t="s">
        <v>13</v>
      </c>
      <c r="F2380">
        <v>7</v>
      </c>
      <c r="G2380">
        <v>6</v>
      </c>
      <c r="H2380">
        <f t="shared" si="75"/>
        <v>1</v>
      </c>
    </row>
    <row r="2381" spans="1:8" x14ac:dyDescent="0.2">
      <c r="A2381" t="s">
        <v>7</v>
      </c>
      <c r="B2381" t="s">
        <v>17</v>
      </c>
      <c r="C2381" t="str">
        <f t="shared" si="76"/>
        <v>Cumple</v>
      </c>
      <c r="D2381" s="17">
        <v>735</v>
      </c>
      <c r="E2381" s="19" t="s">
        <v>13</v>
      </c>
      <c r="F2381">
        <v>7</v>
      </c>
      <c r="G2381">
        <v>6</v>
      </c>
      <c r="H2381">
        <f t="shared" si="75"/>
        <v>1</v>
      </c>
    </row>
    <row r="2382" spans="1:8" x14ac:dyDescent="0.2">
      <c r="A2382" t="s">
        <v>7</v>
      </c>
      <c r="B2382" t="s">
        <v>17</v>
      </c>
      <c r="C2382" t="str">
        <f t="shared" si="76"/>
        <v>Cumple</v>
      </c>
      <c r="D2382" s="17">
        <v>766</v>
      </c>
      <c r="E2382" s="19" t="s">
        <v>13</v>
      </c>
      <c r="F2382">
        <v>7</v>
      </c>
      <c r="G2382">
        <v>6</v>
      </c>
      <c r="H2382">
        <f t="shared" si="75"/>
        <v>1</v>
      </c>
    </row>
    <row r="2383" spans="1:8" x14ac:dyDescent="0.2">
      <c r="A2383" t="s">
        <v>7</v>
      </c>
      <c r="B2383" t="s">
        <v>17</v>
      </c>
      <c r="C2383" t="str">
        <f t="shared" si="76"/>
        <v>Cumple</v>
      </c>
      <c r="D2383" s="17">
        <v>838</v>
      </c>
      <c r="E2383" s="19" t="s">
        <v>13</v>
      </c>
      <c r="F2383">
        <v>7</v>
      </c>
      <c r="G2383">
        <v>6</v>
      </c>
      <c r="H2383">
        <f t="shared" si="75"/>
        <v>1</v>
      </c>
    </row>
    <row r="2384" spans="1:8" x14ac:dyDescent="0.2">
      <c r="A2384" t="s">
        <v>7</v>
      </c>
      <c r="B2384" t="s">
        <v>17</v>
      </c>
      <c r="C2384" t="str">
        <f t="shared" si="76"/>
        <v>Cumple</v>
      </c>
      <c r="D2384" s="17">
        <v>951</v>
      </c>
      <c r="E2384" s="19" t="s">
        <v>13</v>
      </c>
      <c r="F2384">
        <v>7</v>
      </c>
      <c r="G2384">
        <v>6</v>
      </c>
      <c r="H2384">
        <f t="shared" si="75"/>
        <v>1</v>
      </c>
    </row>
    <row r="2385" spans="1:8" x14ac:dyDescent="0.2">
      <c r="A2385" t="s">
        <v>7</v>
      </c>
      <c r="B2385" t="s">
        <v>17</v>
      </c>
      <c r="C2385" t="str">
        <f t="shared" si="76"/>
        <v>Cumple</v>
      </c>
      <c r="D2385" s="17">
        <v>985</v>
      </c>
      <c r="E2385" s="19" t="s">
        <v>13</v>
      </c>
      <c r="F2385">
        <v>7</v>
      </c>
      <c r="G2385">
        <v>6</v>
      </c>
      <c r="H2385">
        <f t="shared" si="75"/>
        <v>1</v>
      </c>
    </row>
    <row r="2386" spans="1:8" x14ac:dyDescent="0.2">
      <c r="A2386" t="s">
        <v>7</v>
      </c>
      <c r="B2386" t="s">
        <v>17</v>
      </c>
      <c r="C2386" t="str">
        <f t="shared" si="76"/>
        <v>Cumple</v>
      </c>
      <c r="D2386" s="17">
        <v>1402</v>
      </c>
      <c r="E2386" s="19" t="s">
        <v>13</v>
      </c>
      <c r="F2386">
        <v>7</v>
      </c>
      <c r="G2386">
        <v>6</v>
      </c>
      <c r="H2386">
        <f t="shared" si="75"/>
        <v>1</v>
      </c>
    </row>
    <row r="2387" spans="1:8" x14ac:dyDescent="0.2">
      <c r="A2387" t="s">
        <v>7</v>
      </c>
      <c r="B2387" t="s">
        <v>17</v>
      </c>
      <c r="C2387" t="str">
        <f t="shared" si="76"/>
        <v>Cumple</v>
      </c>
      <c r="D2387" s="17">
        <v>1410</v>
      </c>
      <c r="E2387" s="19" t="s">
        <v>13</v>
      </c>
      <c r="F2387">
        <v>7</v>
      </c>
      <c r="G2387">
        <v>6</v>
      </c>
      <c r="H2387">
        <f t="shared" si="75"/>
        <v>1</v>
      </c>
    </row>
    <row r="2388" spans="1:8" x14ac:dyDescent="0.2">
      <c r="A2388" t="s">
        <v>7</v>
      </c>
      <c r="B2388" t="s">
        <v>17</v>
      </c>
      <c r="C2388" t="str">
        <f t="shared" si="76"/>
        <v>Cumple</v>
      </c>
      <c r="D2388" s="17">
        <v>1434</v>
      </c>
      <c r="E2388" s="19" t="s">
        <v>13</v>
      </c>
      <c r="F2388">
        <v>7</v>
      </c>
      <c r="G2388">
        <v>6</v>
      </c>
      <c r="H2388">
        <f t="shared" si="75"/>
        <v>1</v>
      </c>
    </row>
    <row r="2389" spans="1:8" x14ac:dyDescent="0.2">
      <c r="A2389" t="s">
        <v>7</v>
      </c>
      <c r="B2389" t="s">
        <v>17</v>
      </c>
      <c r="C2389" t="str">
        <f t="shared" si="76"/>
        <v>Cumple</v>
      </c>
      <c r="D2389" s="17">
        <v>1466</v>
      </c>
      <c r="E2389" s="19" t="s">
        <v>13</v>
      </c>
      <c r="F2389">
        <v>7</v>
      </c>
      <c r="G2389">
        <v>6</v>
      </c>
      <c r="H2389">
        <f t="shared" si="75"/>
        <v>1</v>
      </c>
    </row>
    <row r="2390" spans="1:8" x14ac:dyDescent="0.2">
      <c r="A2390" t="s">
        <v>7</v>
      </c>
      <c r="B2390" t="s">
        <v>17</v>
      </c>
      <c r="C2390" t="str">
        <f t="shared" si="76"/>
        <v>Cumple</v>
      </c>
      <c r="D2390" s="17">
        <v>1553</v>
      </c>
      <c r="E2390" s="19" t="s">
        <v>13</v>
      </c>
      <c r="F2390">
        <v>7</v>
      </c>
      <c r="G2390">
        <v>6</v>
      </c>
      <c r="H2390">
        <f t="shared" si="75"/>
        <v>1</v>
      </c>
    </row>
    <row r="2391" spans="1:8" x14ac:dyDescent="0.2">
      <c r="A2391" t="s">
        <v>7</v>
      </c>
      <c r="B2391" t="s">
        <v>17</v>
      </c>
      <c r="C2391" t="str">
        <f t="shared" si="76"/>
        <v>Cumple</v>
      </c>
      <c r="D2391" s="17">
        <v>1675</v>
      </c>
      <c r="E2391" s="19" t="s">
        <v>13</v>
      </c>
      <c r="F2391">
        <v>7</v>
      </c>
      <c r="G2391">
        <v>6</v>
      </c>
      <c r="H2391">
        <f t="shared" si="75"/>
        <v>1</v>
      </c>
    </row>
    <row r="2392" spans="1:8" x14ac:dyDescent="0.2">
      <c r="A2392" t="s">
        <v>7</v>
      </c>
      <c r="B2392" t="s">
        <v>17</v>
      </c>
      <c r="C2392" t="str">
        <f t="shared" si="76"/>
        <v>Cumple</v>
      </c>
      <c r="D2392" s="17">
        <v>1813</v>
      </c>
      <c r="E2392" s="19" t="s">
        <v>13</v>
      </c>
      <c r="F2392">
        <v>7</v>
      </c>
      <c r="G2392">
        <v>6</v>
      </c>
      <c r="H2392">
        <f t="shared" si="75"/>
        <v>1</v>
      </c>
    </row>
    <row r="2393" spans="1:8" x14ac:dyDescent="0.2">
      <c r="A2393" t="s">
        <v>7</v>
      </c>
      <c r="B2393" t="s">
        <v>17</v>
      </c>
      <c r="C2393" t="str">
        <f t="shared" si="76"/>
        <v>Cumple</v>
      </c>
      <c r="D2393" s="17">
        <v>1878</v>
      </c>
      <c r="E2393" s="19" t="s">
        <v>13</v>
      </c>
      <c r="F2393">
        <v>7</v>
      </c>
      <c r="G2393">
        <v>6</v>
      </c>
      <c r="H2393">
        <f t="shared" si="75"/>
        <v>1</v>
      </c>
    </row>
    <row r="2394" spans="1:8" x14ac:dyDescent="0.2">
      <c r="A2394" t="s">
        <v>7</v>
      </c>
      <c r="B2394" t="s">
        <v>17</v>
      </c>
      <c r="C2394" t="str">
        <f t="shared" si="76"/>
        <v>Cumple</v>
      </c>
      <c r="D2394" s="17">
        <v>2583</v>
      </c>
      <c r="E2394" s="19" t="s">
        <v>13</v>
      </c>
      <c r="F2394">
        <v>7</v>
      </c>
      <c r="G2394">
        <v>6</v>
      </c>
      <c r="H2394">
        <f t="shared" si="75"/>
        <v>1</v>
      </c>
    </row>
    <row r="2395" spans="1:8" x14ac:dyDescent="0.2">
      <c r="A2395" t="s">
        <v>7</v>
      </c>
      <c r="B2395" t="s">
        <v>17</v>
      </c>
      <c r="C2395" t="str">
        <f t="shared" si="76"/>
        <v>Cumple</v>
      </c>
      <c r="D2395" s="17">
        <v>2851</v>
      </c>
      <c r="E2395" s="19" t="s">
        <v>13</v>
      </c>
      <c r="F2395">
        <v>7</v>
      </c>
      <c r="G2395">
        <v>6</v>
      </c>
      <c r="H2395">
        <f t="shared" si="75"/>
        <v>1</v>
      </c>
    </row>
    <row r="2396" spans="1:8" x14ac:dyDescent="0.2">
      <c r="A2396" t="s">
        <v>7</v>
      </c>
      <c r="B2396" t="s">
        <v>17</v>
      </c>
      <c r="C2396" t="str">
        <f t="shared" si="76"/>
        <v>Cumple</v>
      </c>
      <c r="D2396" s="17">
        <v>2946</v>
      </c>
      <c r="E2396" s="19" t="s">
        <v>13</v>
      </c>
      <c r="F2396">
        <v>7</v>
      </c>
      <c r="G2396">
        <v>6</v>
      </c>
      <c r="H2396">
        <f t="shared" si="75"/>
        <v>1</v>
      </c>
    </row>
    <row r="2397" spans="1:8" x14ac:dyDescent="0.2">
      <c r="A2397" t="s">
        <v>7</v>
      </c>
      <c r="B2397" t="s">
        <v>17</v>
      </c>
      <c r="C2397" t="str">
        <f t="shared" si="76"/>
        <v>Cumple</v>
      </c>
      <c r="D2397" s="17">
        <v>3278</v>
      </c>
      <c r="E2397" s="19" t="s">
        <v>13</v>
      </c>
      <c r="F2397">
        <v>7</v>
      </c>
      <c r="G2397">
        <v>6</v>
      </c>
      <c r="H2397">
        <f t="shared" si="75"/>
        <v>1</v>
      </c>
    </row>
    <row r="2398" spans="1:8" x14ac:dyDescent="0.2">
      <c r="A2398" t="s">
        <v>7</v>
      </c>
      <c r="B2398" t="s">
        <v>17</v>
      </c>
      <c r="C2398" t="str">
        <f t="shared" si="76"/>
        <v>Cumple</v>
      </c>
      <c r="D2398" s="17">
        <v>3593</v>
      </c>
      <c r="E2398" s="19" t="s">
        <v>13</v>
      </c>
      <c r="F2398">
        <v>7</v>
      </c>
      <c r="G2398">
        <v>6</v>
      </c>
      <c r="H2398">
        <f t="shared" si="75"/>
        <v>1</v>
      </c>
    </row>
    <row r="2399" spans="1:8" x14ac:dyDescent="0.2">
      <c r="A2399" t="s">
        <v>7</v>
      </c>
      <c r="B2399" t="s">
        <v>17</v>
      </c>
      <c r="C2399" t="str">
        <f t="shared" si="76"/>
        <v>Cumple</v>
      </c>
      <c r="D2399" s="17">
        <v>3643</v>
      </c>
      <c r="E2399" s="19" t="s">
        <v>13</v>
      </c>
      <c r="F2399">
        <v>7</v>
      </c>
      <c r="G2399">
        <v>6</v>
      </c>
      <c r="H2399">
        <f t="shared" si="75"/>
        <v>1</v>
      </c>
    </row>
    <row r="2400" spans="1:8" x14ac:dyDescent="0.2">
      <c r="A2400" t="s">
        <v>7</v>
      </c>
      <c r="B2400" t="s">
        <v>17</v>
      </c>
      <c r="C2400" t="str">
        <f t="shared" si="76"/>
        <v>Cumple</v>
      </c>
      <c r="D2400" s="17">
        <v>3797</v>
      </c>
      <c r="E2400" s="19" t="s">
        <v>13</v>
      </c>
      <c r="F2400">
        <v>7</v>
      </c>
      <c r="G2400">
        <v>6</v>
      </c>
      <c r="H2400">
        <f t="shared" si="75"/>
        <v>1</v>
      </c>
    </row>
    <row r="2401" spans="1:8" x14ac:dyDescent="0.2">
      <c r="A2401" t="s">
        <v>7</v>
      </c>
      <c r="B2401" t="s">
        <v>17</v>
      </c>
      <c r="C2401" t="str">
        <f t="shared" si="76"/>
        <v>Cumple</v>
      </c>
      <c r="D2401" s="17">
        <v>9296</v>
      </c>
      <c r="E2401" s="19" t="s">
        <v>13</v>
      </c>
      <c r="F2401">
        <v>7</v>
      </c>
      <c r="G2401">
        <v>6</v>
      </c>
      <c r="H2401">
        <f t="shared" si="75"/>
        <v>1</v>
      </c>
    </row>
    <row r="2402" spans="1:8" x14ac:dyDescent="0.2">
      <c r="A2402" t="s">
        <v>7</v>
      </c>
      <c r="B2402" t="s">
        <v>17</v>
      </c>
      <c r="C2402" t="str">
        <f t="shared" si="76"/>
        <v>Cumple</v>
      </c>
      <c r="D2402" s="17">
        <v>9637</v>
      </c>
      <c r="E2402" s="19" t="s">
        <v>13</v>
      </c>
      <c r="F2402">
        <v>7</v>
      </c>
      <c r="G2402">
        <v>6</v>
      </c>
      <c r="H2402">
        <f t="shared" si="75"/>
        <v>1</v>
      </c>
    </row>
    <row r="2403" spans="1:8" x14ac:dyDescent="0.2">
      <c r="A2403" t="s">
        <v>7</v>
      </c>
      <c r="B2403" t="s">
        <v>17</v>
      </c>
      <c r="C2403" t="str">
        <f t="shared" si="76"/>
        <v>Cumple</v>
      </c>
      <c r="D2403" s="17">
        <v>9658</v>
      </c>
      <c r="E2403" s="19" t="s">
        <v>13</v>
      </c>
      <c r="F2403">
        <v>7</v>
      </c>
      <c r="G2403">
        <v>6</v>
      </c>
      <c r="H2403">
        <f t="shared" si="75"/>
        <v>1</v>
      </c>
    </row>
    <row r="2404" spans="1:8" x14ac:dyDescent="0.2">
      <c r="A2404" t="s">
        <v>7</v>
      </c>
      <c r="B2404" t="s">
        <v>17</v>
      </c>
      <c r="C2404" t="str">
        <f t="shared" si="76"/>
        <v>Cumple</v>
      </c>
      <c r="D2404" s="17">
        <v>9672</v>
      </c>
      <c r="E2404" s="19" t="s">
        <v>13</v>
      </c>
      <c r="F2404">
        <v>7</v>
      </c>
      <c r="G2404">
        <v>6</v>
      </c>
      <c r="H2404">
        <f t="shared" si="75"/>
        <v>1</v>
      </c>
    </row>
    <row r="2405" spans="1:8" x14ac:dyDescent="0.2">
      <c r="A2405" t="s">
        <v>7</v>
      </c>
      <c r="B2405" t="s">
        <v>17</v>
      </c>
      <c r="C2405" t="str">
        <f t="shared" si="76"/>
        <v>Cumple</v>
      </c>
      <c r="D2405" s="17">
        <v>9685</v>
      </c>
      <c r="E2405" s="19" t="s">
        <v>13</v>
      </c>
      <c r="F2405">
        <v>7</v>
      </c>
      <c r="G2405">
        <v>6</v>
      </c>
      <c r="H2405">
        <f t="shared" si="75"/>
        <v>1</v>
      </c>
    </row>
    <row r="2406" spans="1:8" x14ac:dyDescent="0.2">
      <c r="A2406" t="s">
        <v>7</v>
      </c>
      <c r="B2406" t="s">
        <v>17</v>
      </c>
      <c r="C2406" t="str">
        <f t="shared" si="76"/>
        <v>Cumple</v>
      </c>
      <c r="D2406" s="17">
        <v>9742</v>
      </c>
      <c r="E2406" s="19" t="s">
        <v>13</v>
      </c>
      <c r="F2406">
        <v>7</v>
      </c>
      <c r="G2406">
        <v>6</v>
      </c>
      <c r="H2406">
        <f t="shared" si="75"/>
        <v>1</v>
      </c>
    </row>
    <row r="2407" spans="1:8" x14ac:dyDescent="0.2">
      <c r="A2407" t="s">
        <v>7</v>
      </c>
      <c r="B2407" t="s">
        <v>17</v>
      </c>
      <c r="C2407" t="str">
        <f t="shared" si="76"/>
        <v>Cumple</v>
      </c>
      <c r="D2407" s="17">
        <v>3861</v>
      </c>
      <c r="E2407" s="19" t="s">
        <v>13</v>
      </c>
      <c r="F2407">
        <v>7</v>
      </c>
      <c r="G2407">
        <v>6</v>
      </c>
      <c r="H2407">
        <f t="shared" si="75"/>
        <v>1</v>
      </c>
    </row>
    <row r="2408" spans="1:8" x14ac:dyDescent="0.2">
      <c r="A2408" t="s">
        <v>7</v>
      </c>
      <c r="B2408" t="s">
        <v>17</v>
      </c>
      <c r="C2408" t="str">
        <f t="shared" si="76"/>
        <v>Cumple</v>
      </c>
      <c r="D2408" s="17">
        <v>222</v>
      </c>
      <c r="E2408" s="19" t="s">
        <v>13</v>
      </c>
      <c r="F2408">
        <v>6</v>
      </c>
      <c r="G2408">
        <v>6</v>
      </c>
      <c r="H2408">
        <f t="shared" si="75"/>
        <v>0</v>
      </c>
    </row>
    <row r="2409" spans="1:8" x14ac:dyDescent="0.2">
      <c r="A2409" t="s">
        <v>7</v>
      </c>
      <c r="B2409" t="s">
        <v>17</v>
      </c>
      <c r="C2409" t="str">
        <f t="shared" si="76"/>
        <v>Cumple</v>
      </c>
      <c r="D2409" s="17">
        <v>717</v>
      </c>
      <c r="E2409" s="19" t="s">
        <v>13</v>
      </c>
      <c r="F2409">
        <v>6</v>
      </c>
      <c r="G2409">
        <v>6</v>
      </c>
      <c r="H2409">
        <f t="shared" si="75"/>
        <v>0</v>
      </c>
    </row>
    <row r="2410" spans="1:8" x14ac:dyDescent="0.2">
      <c r="A2410" t="s">
        <v>7</v>
      </c>
      <c r="B2410" t="s">
        <v>17</v>
      </c>
      <c r="C2410" t="str">
        <f t="shared" si="76"/>
        <v>Cumple</v>
      </c>
      <c r="D2410" s="17">
        <v>781</v>
      </c>
      <c r="E2410" s="19" t="s">
        <v>13</v>
      </c>
      <c r="F2410">
        <v>6</v>
      </c>
      <c r="G2410">
        <v>6</v>
      </c>
      <c r="H2410">
        <f t="shared" si="75"/>
        <v>0</v>
      </c>
    </row>
    <row r="2411" spans="1:8" x14ac:dyDescent="0.2">
      <c r="A2411" t="s">
        <v>7</v>
      </c>
      <c r="B2411" t="s">
        <v>17</v>
      </c>
      <c r="C2411" t="str">
        <f t="shared" si="76"/>
        <v>Cumple</v>
      </c>
      <c r="D2411" s="17">
        <v>794</v>
      </c>
      <c r="E2411" s="19" t="s">
        <v>13</v>
      </c>
      <c r="F2411">
        <v>6</v>
      </c>
      <c r="G2411">
        <v>6</v>
      </c>
      <c r="H2411">
        <f t="shared" si="75"/>
        <v>0</v>
      </c>
    </row>
    <row r="2412" spans="1:8" x14ac:dyDescent="0.2">
      <c r="A2412" t="s">
        <v>7</v>
      </c>
      <c r="B2412" t="s">
        <v>17</v>
      </c>
      <c r="C2412" t="str">
        <f t="shared" si="76"/>
        <v>Cumple</v>
      </c>
      <c r="D2412" s="17">
        <v>803</v>
      </c>
      <c r="E2412" s="19" t="s">
        <v>13</v>
      </c>
      <c r="F2412">
        <v>6</v>
      </c>
      <c r="G2412">
        <v>6</v>
      </c>
      <c r="H2412">
        <f t="shared" si="75"/>
        <v>0</v>
      </c>
    </row>
    <row r="2413" spans="1:8" x14ac:dyDescent="0.2">
      <c r="A2413" t="s">
        <v>7</v>
      </c>
      <c r="B2413" t="s">
        <v>17</v>
      </c>
      <c r="C2413" t="str">
        <f t="shared" si="76"/>
        <v>Cumple</v>
      </c>
      <c r="D2413" s="17">
        <v>859</v>
      </c>
      <c r="E2413" s="19" t="s">
        <v>13</v>
      </c>
      <c r="F2413">
        <v>6</v>
      </c>
      <c r="G2413">
        <v>6</v>
      </c>
      <c r="H2413">
        <f t="shared" si="75"/>
        <v>0</v>
      </c>
    </row>
    <row r="2414" spans="1:8" x14ac:dyDescent="0.2">
      <c r="A2414" t="s">
        <v>7</v>
      </c>
      <c r="B2414" t="s">
        <v>17</v>
      </c>
      <c r="C2414" t="str">
        <f t="shared" si="76"/>
        <v>Cumple</v>
      </c>
      <c r="D2414" s="17">
        <v>1146</v>
      </c>
      <c r="E2414" s="19" t="s">
        <v>13</v>
      </c>
      <c r="F2414">
        <v>6</v>
      </c>
      <c r="G2414">
        <v>6</v>
      </c>
      <c r="H2414">
        <f t="shared" si="75"/>
        <v>0</v>
      </c>
    </row>
    <row r="2415" spans="1:8" x14ac:dyDescent="0.2">
      <c r="A2415" t="s">
        <v>7</v>
      </c>
      <c r="B2415" t="s">
        <v>17</v>
      </c>
      <c r="C2415" t="str">
        <f t="shared" si="76"/>
        <v>Cumple</v>
      </c>
      <c r="D2415" s="17">
        <v>1416</v>
      </c>
      <c r="E2415" s="19" t="s">
        <v>13</v>
      </c>
      <c r="F2415">
        <v>6</v>
      </c>
      <c r="G2415">
        <v>6</v>
      </c>
      <c r="H2415">
        <f t="shared" si="75"/>
        <v>0</v>
      </c>
    </row>
    <row r="2416" spans="1:8" x14ac:dyDescent="0.2">
      <c r="A2416" t="s">
        <v>7</v>
      </c>
      <c r="B2416" t="s">
        <v>17</v>
      </c>
      <c r="C2416" t="str">
        <f t="shared" si="76"/>
        <v>Cumple</v>
      </c>
      <c r="D2416" s="17">
        <v>1443</v>
      </c>
      <c r="E2416" s="19" t="s">
        <v>13</v>
      </c>
      <c r="F2416">
        <v>6</v>
      </c>
      <c r="G2416">
        <v>6</v>
      </c>
      <c r="H2416">
        <f t="shared" si="75"/>
        <v>0</v>
      </c>
    </row>
    <row r="2417" spans="1:8" x14ac:dyDescent="0.2">
      <c r="A2417" t="s">
        <v>7</v>
      </c>
      <c r="B2417" t="s">
        <v>17</v>
      </c>
      <c r="C2417" t="str">
        <f t="shared" si="76"/>
        <v>Cumple</v>
      </c>
      <c r="D2417" s="17">
        <v>1485</v>
      </c>
      <c r="E2417" s="19" t="s">
        <v>13</v>
      </c>
      <c r="F2417">
        <v>6</v>
      </c>
      <c r="G2417">
        <v>6</v>
      </c>
      <c r="H2417">
        <f t="shared" si="75"/>
        <v>0</v>
      </c>
    </row>
    <row r="2418" spans="1:8" x14ac:dyDescent="0.2">
      <c r="A2418" t="s">
        <v>7</v>
      </c>
      <c r="B2418" t="s">
        <v>17</v>
      </c>
      <c r="C2418" t="str">
        <f t="shared" si="76"/>
        <v>Cumple</v>
      </c>
      <c r="D2418" s="17">
        <v>1487</v>
      </c>
      <c r="E2418" s="19" t="s">
        <v>13</v>
      </c>
      <c r="F2418">
        <v>6</v>
      </c>
      <c r="G2418">
        <v>6</v>
      </c>
      <c r="H2418">
        <f t="shared" si="75"/>
        <v>0</v>
      </c>
    </row>
    <row r="2419" spans="1:8" x14ac:dyDescent="0.2">
      <c r="A2419" t="s">
        <v>7</v>
      </c>
      <c r="B2419" t="s">
        <v>17</v>
      </c>
      <c r="C2419" t="str">
        <f t="shared" si="76"/>
        <v>Cumple</v>
      </c>
      <c r="D2419" s="17">
        <v>1594</v>
      </c>
      <c r="E2419" s="19" t="s">
        <v>13</v>
      </c>
      <c r="F2419">
        <v>6</v>
      </c>
      <c r="G2419">
        <v>6</v>
      </c>
      <c r="H2419">
        <f t="shared" si="75"/>
        <v>0</v>
      </c>
    </row>
    <row r="2420" spans="1:8" x14ac:dyDescent="0.2">
      <c r="A2420" t="s">
        <v>7</v>
      </c>
      <c r="B2420" t="s">
        <v>17</v>
      </c>
      <c r="C2420" t="str">
        <f t="shared" si="76"/>
        <v>Cumple</v>
      </c>
      <c r="D2420" s="17">
        <v>1595</v>
      </c>
      <c r="E2420" s="19" t="s">
        <v>13</v>
      </c>
      <c r="F2420">
        <v>6</v>
      </c>
      <c r="G2420">
        <v>6</v>
      </c>
      <c r="H2420">
        <f t="shared" si="75"/>
        <v>0</v>
      </c>
    </row>
    <row r="2421" spans="1:8" x14ac:dyDescent="0.2">
      <c r="A2421" t="s">
        <v>7</v>
      </c>
      <c r="B2421" t="s">
        <v>17</v>
      </c>
      <c r="C2421" t="str">
        <f t="shared" si="76"/>
        <v>Cumple</v>
      </c>
      <c r="D2421" s="17">
        <v>1847</v>
      </c>
      <c r="E2421" s="19" t="s">
        <v>13</v>
      </c>
      <c r="F2421">
        <v>6</v>
      </c>
      <c r="G2421">
        <v>6</v>
      </c>
      <c r="H2421">
        <f t="shared" si="75"/>
        <v>0</v>
      </c>
    </row>
    <row r="2422" spans="1:8" x14ac:dyDescent="0.2">
      <c r="A2422" t="s">
        <v>7</v>
      </c>
      <c r="B2422" t="s">
        <v>17</v>
      </c>
      <c r="C2422" t="str">
        <f t="shared" si="76"/>
        <v>Cumple</v>
      </c>
      <c r="D2422" s="17">
        <v>2852</v>
      </c>
      <c r="E2422" s="19" t="s">
        <v>13</v>
      </c>
      <c r="F2422">
        <v>6</v>
      </c>
      <c r="G2422">
        <v>6</v>
      </c>
      <c r="H2422">
        <f t="shared" si="75"/>
        <v>0</v>
      </c>
    </row>
    <row r="2423" spans="1:8" x14ac:dyDescent="0.2">
      <c r="A2423" t="s">
        <v>7</v>
      </c>
      <c r="B2423" t="s">
        <v>17</v>
      </c>
      <c r="C2423" t="str">
        <f t="shared" si="76"/>
        <v>Cumple</v>
      </c>
      <c r="D2423" s="17">
        <v>2874</v>
      </c>
      <c r="E2423" s="19" t="s">
        <v>13</v>
      </c>
      <c r="F2423">
        <v>6</v>
      </c>
      <c r="G2423">
        <v>6</v>
      </c>
      <c r="H2423">
        <f t="shared" si="75"/>
        <v>0</v>
      </c>
    </row>
    <row r="2424" spans="1:8" x14ac:dyDescent="0.2">
      <c r="A2424" t="s">
        <v>7</v>
      </c>
      <c r="B2424" t="s">
        <v>17</v>
      </c>
      <c r="C2424" t="str">
        <f t="shared" si="76"/>
        <v>Cumple</v>
      </c>
      <c r="D2424" s="17">
        <v>3198</v>
      </c>
      <c r="E2424" s="19" t="s">
        <v>13</v>
      </c>
      <c r="F2424">
        <v>6</v>
      </c>
      <c r="G2424">
        <v>6</v>
      </c>
      <c r="H2424">
        <f t="shared" si="75"/>
        <v>0</v>
      </c>
    </row>
    <row r="2425" spans="1:8" x14ac:dyDescent="0.2">
      <c r="A2425" t="s">
        <v>7</v>
      </c>
      <c r="B2425" t="s">
        <v>17</v>
      </c>
      <c r="C2425" t="str">
        <f t="shared" si="76"/>
        <v>Cumple</v>
      </c>
      <c r="D2425" s="17">
        <v>3424</v>
      </c>
      <c r="E2425" s="19" t="s">
        <v>13</v>
      </c>
      <c r="F2425">
        <v>6</v>
      </c>
      <c r="G2425">
        <v>6</v>
      </c>
      <c r="H2425">
        <f t="shared" si="75"/>
        <v>0</v>
      </c>
    </row>
    <row r="2426" spans="1:8" x14ac:dyDescent="0.2">
      <c r="A2426" t="s">
        <v>7</v>
      </c>
      <c r="B2426" t="s">
        <v>17</v>
      </c>
      <c r="C2426" t="str">
        <f t="shared" si="76"/>
        <v>Cumple</v>
      </c>
      <c r="D2426" s="17">
        <v>3576</v>
      </c>
      <c r="E2426" s="19" t="s">
        <v>13</v>
      </c>
      <c r="F2426">
        <v>6</v>
      </c>
      <c r="G2426">
        <v>6</v>
      </c>
      <c r="H2426">
        <f t="shared" si="75"/>
        <v>0</v>
      </c>
    </row>
    <row r="2427" spans="1:8" x14ac:dyDescent="0.2">
      <c r="A2427" t="s">
        <v>7</v>
      </c>
      <c r="B2427" t="s">
        <v>17</v>
      </c>
      <c r="C2427" t="str">
        <f t="shared" si="76"/>
        <v>Cumple</v>
      </c>
      <c r="D2427" s="17">
        <v>3661</v>
      </c>
      <c r="E2427" s="19" t="s">
        <v>13</v>
      </c>
      <c r="F2427">
        <v>6</v>
      </c>
      <c r="G2427">
        <v>6</v>
      </c>
      <c r="H2427">
        <f t="shared" si="75"/>
        <v>0</v>
      </c>
    </row>
    <row r="2428" spans="1:8" x14ac:dyDescent="0.2">
      <c r="A2428" t="s">
        <v>7</v>
      </c>
      <c r="B2428" t="s">
        <v>17</v>
      </c>
      <c r="C2428" t="str">
        <f t="shared" si="76"/>
        <v>Cumple</v>
      </c>
      <c r="D2428" s="17">
        <v>3663</v>
      </c>
      <c r="E2428" s="19" t="s">
        <v>13</v>
      </c>
      <c r="F2428">
        <v>6</v>
      </c>
      <c r="G2428">
        <v>6</v>
      </c>
      <c r="H2428">
        <f t="shared" si="75"/>
        <v>0</v>
      </c>
    </row>
    <row r="2429" spans="1:8" x14ac:dyDescent="0.2">
      <c r="A2429" t="s">
        <v>7</v>
      </c>
      <c r="B2429" t="s">
        <v>17</v>
      </c>
      <c r="C2429" t="str">
        <f t="shared" si="76"/>
        <v>Cumple</v>
      </c>
      <c r="D2429" s="17">
        <v>3677</v>
      </c>
      <c r="E2429" s="19" t="s">
        <v>13</v>
      </c>
      <c r="F2429">
        <v>6</v>
      </c>
      <c r="G2429">
        <v>6</v>
      </c>
      <c r="H2429">
        <f t="shared" si="75"/>
        <v>0</v>
      </c>
    </row>
    <row r="2430" spans="1:8" x14ac:dyDescent="0.2">
      <c r="A2430" t="s">
        <v>7</v>
      </c>
      <c r="B2430" t="s">
        <v>17</v>
      </c>
      <c r="C2430" t="str">
        <f t="shared" si="76"/>
        <v>Cumple</v>
      </c>
      <c r="D2430" s="17">
        <v>3735</v>
      </c>
      <c r="E2430" s="19" t="s">
        <v>13</v>
      </c>
      <c r="F2430">
        <v>6</v>
      </c>
      <c r="G2430">
        <v>6</v>
      </c>
      <c r="H2430">
        <f t="shared" si="75"/>
        <v>0</v>
      </c>
    </row>
    <row r="2431" spans="1:8" x14ac:dyDescent="0.2">
      <c r="A2431" t="s">
        <v>7</v>
      </c>
      <c r="B2431" t="s">
        <v>17</v>
      </c>
      <c r="C2431" t="str">
        <f t="shared" si="76"/>
        <v>Cumple</v>
      </c>
      <c r="D2431" s="17">
        <v>3767</v>
      </c>
      <c r="E2431" s="19" t="s">
        <v>13</v>
      </c>
      <c r="F2431">
        <v>6</v>
      </c>
      <c r="G2431">
        <v>6</v>
      </c>
      <c r="H2431">
        <f t="shared" si="75"/>
        <v>0</v>
      </c>
    </row>
    <row r="2432" spans="1:8" x14ac:dyDescent="0.2">
      <c r="A2432" t="s">
        <v>7</v>
      </c>
      <c r="B2432" t="s">
        <v>17</v>
      </c>
      <c r="C2432" t="str">
        <f t="shared" si="76"/>
        <v>Cumple</v>
      </c>
      <c r="D2432" s="17">
        <v>3809</v>
      </c>
      <c r="E2432" s="19" t="s">
        <v>13</v>
      </c>
      <c r="F2432">
        <v>6</v>
      </c>
      <c r="G2432">
        <v>6</v>
      </c>
      <c r="H2432">
        <f t="shared" si="75"/>
        <v>0</v>
      </c>
    </row>
    <row r="2433" spans="1:8" x14ac:dyDescent="0.2">
      <c r="A2433" t="s">
        <v>7</v>
      </c>
      <c r="B2433" t="s">
        <v>17</v>
      </c>
      <c r="C2433" t="str">
        <f t="shared" si="76"/>
        <v>Cumple</v>
      </c>
      <c r="D2433" s="17">
        <v>3812</v>
      </c>
      <c r="E2433" s="19" t="s">
        <v>13</v>
      </c>
      <c r="F2433">
        <v>6</v>
      </c>
      <c r="G2433">
        <v>6</v>
      </c>
      <c r="H2433">
        <f t="shared" si="75"/>
        <v>0</v>
      </c>
    </row>
    <row r="2434" spans="1:8" x14ac:dyDescent="0.2">
      <c r="A2434" t="s">
        <v>7</v>
      </c>
      <c r="B2434" t="s">
        <v>17</v>
      </c>
      <c r="C2434" t="str">
        <f t="shared" si="76"/>
        <v>Cumple</v>
      </c>
      <c r="D2434" s="17">
        <v>3815</v>
      </c>
      <c r="E2434" s="19" t="s">
        <v>13</v>
      </c>
      <c r="F2434">
        <v>6</v>
      </c>
      <c r="G2434">
        <v>6</v>
      </c>
      <c r="H2434">
        <f t="shared" si="75"/>
        <v>0</v>
      </c>
    </row>
    <row r="2435" spans="1:8" x14ac:dyDescent="0.2">
      <c r="A2435" t="s">
        <v>7</v>
      </c>
      <c r="B2435" t="s">
        <v>17</v>
      </c>
      <c r="C2435" t="str">
        <f t="shared" si="76"/>
        <v>Cumple</v>
      </c>
      <c r="D2435" s="17">
        <v>3834</v>
      </c>
      <c r="E2435" s="19" t="s">
        <v>13</v>
      </c>
      <c r="F2435">
        <v>6</v>
      </c>
      <c r="G2435">
        <v>6</v>
      </c>
      <c r="H2435">
        <f t="shared" ref="H2435:H2498" si="77">F2435-G2435</f>
        <v>0</v>
      </c>
    </row>
    <row r="2436" spans="1:8" x14ac:dyDescent="0.2">
      <c r="A2436" t="s">
        <v>7</v>
      </c>
      <c r="B2436" t="s">
        <v>17</v>
      </c>
      <c r="C2436" t="str">
        <f t="shared" ref="C2436:C2499" si="78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>
        <f t="shared" si="77"/>
        <v>0</v>
      </c>
    </row>
    <row r="2437" spans="1:8" x14ac:dyDescent="0.2">
      <c r="A2437" t="s">
        <v>7</v>
      </c>
      <c r="B2437" t="s">
        <v>17</v>
      </c>
      <c r="C2437" t="str">
        <f t="shared" si="78"/>
        <v>Cumple</v>
      </c>
      <c r="D2437" s="17">
        <v>9132</v>
      </c>
      <c r="E2437" s="19" t="s">
        <v>13</v>
      </c>
      <c r="F2437">
        <v>6</v>
      </c>
      <c r="G2437">
        <v>6</v>
      </c>
      <c r="H2437">
        <f t="shared" si="77"/>
        <v>0</v>
      </c>
    </row>
    <row r="2438" spans="1:8" x14ac:dyDescent="0.2">
      <c r="A2438" t="s">
        <v>7</v>
      </c>
      <c r="B2438" t="s">
        <v>17</v>
      </c>
      <c r="C2438" t="str">
        <f t="shared" si="78"/>
        <v>Cumple</v>
      </c>
      <c r="D2438" s="17">
        <v>9134</v>
      </c>
      <c r="E2438" s="19" t="s">
        <v>13</v>
      </c>
      <c r="F2438">
        <v>6</v>
      </c>
      <c r="G2438">
        <v>6</v>
      </c>
      <c r="H2438">
        <f t="shared" si="77"/>
        <v>0</v>
      </c>
    </row>
    <row r="2439" spans="1:8" x14ac:dyDescent="0.2">
      <c r="A2439" t="s">
        <v>7</v>
      </c>
      <c r="B2439" t="s">
        <v>17</v>
      </c>
      <c r="C2439" t="str">
        <f t="shared" si="78"/>
        <v>Cumple</v>
      </c>
      <c r="D2439" s="17">
        <v>9246</v>
      </c>
      <c r="E2439" s="19" t="s">
        <v>13</v>
      </c>
      <c r="F2439">
        <v>6</v>
      </c>
      <c r="G2439">
        <v>6</v>
      </c>
      <c r="H2439">
        <f t="shared" si="77"/>
        <v>0</v>
      </c>
    </row>
    <row r="2440" spans="1:8" x14ac:dyDescent="0.2">
      <c r="A2440" t="s">
        <v>7</v>
      </c>
      <c r="B2440" t="s">
        <v>17</v>
      </c>
      <c r="C2440" t="str">
        <f t="shared" si="78"/>
        <v>Cumple</v>
      </c>
      <c r="D2440" s="17">
        <v>9301</v>
      </c>
      <c r="E2440" s="19" t="s">
        <v>13</v>
      </c>
      <c r="F2440">
        <v>6</v>
      </c>
      <c r="G2440">
        <v>6</v>
      </c>
      <c r="H2440">
        <f t="shared" si="77"/>
        <v>0</v>
      </c>
    </row>
    <row r="2441" spans="1:8" x14ac:dyDescent="0.2">
      <c r="A2441" t="s">
        <v>7</v>
      </c>
      <c r="B2441" t="s">
        <v>17</v>
      </c>
      <c r="C2441" t="str">
        <f t="shared" si="78"/>
        <v>Cumple</v>
      </c>
      <c r="D2441" s="17">
        <v>9626</v>
      </c>
      <c r="E2441" s="19" t="s">
        <v>13</v>
      </c>
      <c r="F2441">
        <v>6</v>
      </c>
      <c r="G2441">
        <v>6</v>
      </c>
      <c r="H2441">
        <f t="shared" si="77"/>
        <v>0</v>
      </c>
    </row>
    <row r="2442" spans="1:8" x14ac:dyDescent="0.2">
      <c r="A2442" t="s">
        <v>7</v>
      </c>
      <c r="B2442" t="s">
        <v>17</v>
      </c>
      <c r="C2442" t="str">
        <f t="shared" si="78"/>
        <v>Cumple</v>
      </c>
      <c r="D2442" s="17">
        <v>9645</v>
      </c>
      <c r="E2442" s="19" t="s">
        <v>13</v>
      </c>
      <c r="F2442">
        <v>6</v>
      </c>
      <c r="G2442">
        <v>6</v>
      </c>
      <c r="H2442">
        <f t="shared" si="77"/>
        <v>0</v>
      </c>
    </row>
    <row r="2443" spans="1:8" x14ac:dyDescent="0.2">
      <c r="A2443" t="s">
        <v>7</v>
      </c>
      <c r="B2443" t="s">
        <v>17</v>
      </c>
      <c r="C2443" t="str">
        <f t="shared" si="78"/>
        <v>Cumple</v>
      </c>
      <c r="D2443" s="17">
        <v>9887</v>
      </c>
      <c r="E2443" s="19" t="s">
        <v>13</v>
      </c>
      <c r="F2443">
        <v>6</v>
      </c>
      <c r="G2443">
        <v>6</v>
      </c>
      <c r="H2443">
        <f t="shared" si="77"/>
        <v>0</v>
      </c>
    </row>
    <row r="2444" spans="1:8" x14ac:dyDescent="0.2">
      <c r="A2444" t="s">
        <v>7</v>
      </c>
      <c r="B2444" t="s">
        <v>17</v>
      </c>
      <c r="C2444" t="str">
        <f t="shared" si="78"/>
        <v>No cumple</v>
      </c>
      <c r="D2444" s="17">
        <v>679</v>
      </c>
      <c r="E2444" s="19" t="s">
        <v>13</v>
      </c>
      <c r="F2444">
        <v>5</v>
      </c>
      <c r="G2444">
        <v>6</v>
      </c>
      <c r="H2444">
        <f t="shared" si="77"/>
        <v>-1</v>
      </c>
    </row>
    <row r="2445" spans="1:8" x14ac:dyDescent="0.2">
      <c r="A2445" t="s">
        <v>7</v>
      </c>
      <c r="B2445" t="s">
        <v>17</v>
      </c>
      <c r="C2445" t="str">
        <f t="shared" si="78"/>
        <v>Cumple</v>
      </c>
      <c r="D2445" s="17">
        <v>846</v>
      </c>
      <c r="E2445" s="19" t="s">
        <v>13</v>
      </c>
      <c r="F2445" s="12">
        <v>6</v>
      </c>
      <c r="G2445">
        <v>6</v>
      </c>
      <c r="H2445">
        <f t="shared" si="77"/>
        <v>0</v>
      </c>
    </row>
    <row r="2446" spans="1:8" x14ac:dyDescent="0.2">
      <c r="A2446" t="s">
        <v>7</v>
      </c>
      <c r="B2446" t="s">
        <v>17</v>
      </c>
      <c r="C2446" t="str">
        <f t="shared" si="78"/>
        <v>No cumple</v>
      </c>
      <c r="D2446" s="17">
        <v>917</v>
      </c>
      <c r="E2446" s="19" t="s">
        <v>13</v>
      </c>
      <c r="F2446">
        <v>5</v>
      </c>
      <c r="G2446">
        <v>6</v>
      </c>
      <c r="H2446">
        <f t="shared" si="77"/>
        <v>-1</v>
      </c>
    </row>
    <row r="2447" spans="1:8" x14ac:dyDescent="0.2">
      <c r="A2447" t="s">
        <v>7</v>
      </c>
      <c r="B2447" t="s">
        <v>17</v>
      </c>
      <c r="C2447" t="str">
        <f t="shared" si="78"/>
        <v>No cumple</v>
      </c>
      <c r="D2447" s="17">
        <v>1624</v>
      </c>
      <c r="E2447" s="19" t="s">
        <v>13</v>
      </c>
      <c r="F2447">
        <v>5</v>
      </c>
      <c r="G2447">
        <v>6</v>
      </c>
      <c r="H2447">
        <f t="shared" si="77"/>
        <v>-1</v>
      </c>
    </row>
    <row r="2448" spans="1:8" x14ac:dyDescent="0.2">
      <c r="A2448" t="s">
        <v>7</v>
      </c>
      <c r="B2448" t="s">
        <v>17</v>
      </c>
      <c r="C2448" t="str">
        <f t="shared" si="78"/>
        <v>No cumple</v>
      </c>
      <c r="D2448" s="17">
        <v>1812</v>
      </c>
      <c r="E2448" s="19" t="s">
        <v>13</v>
      </c>
      <c r="F2448">
        <v>5</v>
      </c>
      <c r="G2448">
        <v>6</v>
      </c>
      <c r="H2448">
        <f t="shared" si="77"/>
        <v>-1</v>
      </c>
    </row>
    <row r="2449" spans="1:8" x14ac:dyDescent="0.2">
      <c r="A2449" t="s">
        <v>7</v>
      </c>
      <c r="B2449" t="s">
        <v>17</v>
      </c>
      <c r="C2449" t="str">
        <f t="shared" si="78"/>
        <v>Cumple</v>
      </c>
      <c r="D2449" s="17">
        <v>1887</v>
      </c>
      <c r="E2449" s="19" t="s">
        <v>13</v>
      </c>
      <c r="F2449" s="9">
        <v>6</v>
      </c>
      <c r="G2449">
        <v>6</v>
      </c>
      <c r="H2449">
        <f t="shared" si="77"/>
        <v>0</v>
      </c>
    </row>
    <row r="2450" spans="1:8" x14ac:dyDescent="0.2">
      <c r="A2450" t="s">
        <v>7</v>
      </c>
      <c r="B2450" t="s">
        <v>17</v>
      </c>
      <c r="C2450" t="str">
        <f t="shared" si="78"/>
        <v>No cumple</v>
      </c>
      <c r="D2450" s="17">
        <v>2653</v>
      </c>
      <c r="E2450" s="19" t="s">
        <v>13</v>
      </c>
      <c r="F2450">
        <v>5</v>
      </c>
      <c r="G2450">
        <v>6</v>
      </c>
      <c r="H2450">
        <f t="shared" si="77"/>
        <v>-1</v>
      </c>
    </row>
    <row r="2451" spans="1:8" x14ac:dyDescent="0.2">
      <c r="A2451" t="s">
        <v>7</v>
      </c>
      <c r="B2451" t="s">
        <v>17</v>
      </c>
      <c r="C2451" t="str">
        <f t="shared" si="78"/>
        <v>No cumple</v>
      </c>
      <c r="D2451" s="17">
        <v>2829</v>
      </c>
      <c r="E2451" s="19" t="s">
        <v>13</v>
      </c>
      <c r="F2451">
        <v>5</v>
      </c>
      <c r="G2451">
        <v>6</v>
      </c>
      <c r="H2451">
        <f t="shared" si="77"/>
        <v>-1</v>
      </c>
    </row>
    <row r="2452" spans="1:8" x14ac:dyDescent="0.2">
      <c r="A2452" t="s">
        <v>7</v>
      </c>
      <c r="B2452" t="s">
        <v>17</v>
      </c>
      <c r="C2452" t="str">
        <f t="shared" si="78"/>
        <v>No cumple</v>
      </c>
      <c r="D2452" s="17">
        <v>2848</v>
      </c>
      <c r="E2452" s="19" t="s">
        <v>13</v>
      </c>
      <c r="F2452">
        <v>5</v>
      </c>
      <c r="G2452">
        <v>6</v>
      </c>
      <c r="H2452">
        <f t="shared" si="77"/>
        <v>-1</v>
      </c>
    </row>
    <row r="2453" spans="1:8" x14ac:dyDescent="0.2">
      <c r="A2453" t="s">
        <v>7</v>
      </c>
      <c r="B2453" t="s">
        <v>17</v>
      </c>
      <c r="C2453" t="str">
        <f t="shared" si="78"/>
        <v>No cumple</v>
      </c>
      <c r="D2453" s="17">
        <v>2857</v>
      </c>
      <c r="E2453" s="19" t="s">
        <v>13</v>
      </c>
      <c r="F2453">
        <v>5</v>
      </c>
      <c r="G2453">
        <v>6</v>
      </c>
      <c r="H2453">
        <f t="shared" si="77"/>
        <v>-1</v>
      </c>
    </row>
    <row r="2454" spans="1:8" x14ac:dyDescent="0.2">
      <c r="A2454" t="s">
        <v>7</v>
      </c>
      <c r="B2454" t="s">
        <v>17</v>
      </c>
      <c r="C2454" t="str">
        <f t="shared" si="78"/>
        <v>No cumple</v>
      </c>
      <c r="D2454" s="17">
        <v>2860</v>
      </c>
      <c r="E2454" s="19" t="s">
        <v>13</v>
      </c>
      <c r="F2454">
        <v>5</v>
      </c>
      <c r="G2454">
        <v>6</v>
      </c>
      <c r="H2454">
        <f t="shared" si="77"/>
        <v>-1</v>
      </c>
    </row>
    <row r="2455" spans="1:8" x14ac:dyDescent="0.2">
      <c r="A2455" t="s">
        <v>7</v>
      </c>
      <c r="B2455" t="s">
        <v>17</v>
      </c>
      <c r="C2455" t="str">
        <f t="shared" si="78"/>
        <v>Cumple</v>
      </c>
      <c r="D2455" s="17">
        <v>2864</v>
      </c>
      <c r="E2455" s="19" t="s">
        <v>13</v>
      </c>
      <c r="F2455" s="12">
        <v>6</v>
      </c>
      <c r="G2455">
        <v>6</v>
      </c>
      <c r="H2455">
        <f t="shared" si="77"/>
        <v>0</v>
      </c>
    </row>
    <row r="2456" spans="1:8" x14ac:dyDescent="0.2">
      <c r="A2456" t="s">
        <v>7</v>
      </c>
      <c r="B2456" t="s">
        <v>17</v>
      </c>
      <c r="C2456" t="str">
        <f t="shared" si="78"/>
        <v>No cumple</v>
      </c>
      <c r="D2456" s="17">
        <v>2875</v>
      </c>
      <c r="E2456" s="19" t="s">
        <v>13</v>
      </c>
      <c r="F2456">
        <v>5</v>
      </c>
      <c r="G2456">
        <v>6</v>
      </c>
      <c r="H2456">
        <f t="shared" si="77"/>
        <v>-1</v>
      </c>
    </row>
    <row r="2457" spans="1:8" x14ac:dyDescent="0.2">
      <c r="A2457" t="s">
        <v>7</v>
      </c>
      <c r="B2457" t="s">
        <v>17</v>
      </c>
      <c r="C2457" t="str">
        <f t="shared" si="78"/>
        <v>No cumple</v>
      </c>
      <c r="D2457" s="17">
        <v>2963</v>
      </c>
      <c r="E2457" s="19" t="s">
        <v>13</v>
      </c>
      <c r="F2457">
        <v>5</v>
      </c>
      <c r="G2457">
        <v>6</v>
      </c>
      <c r="H2457">
        <f t="shared" si="77"/>
        <v>-1</v>
      </c>
    </row>
    <row r="2458" spans="1:8" x14ac:dyDescent="0.2">
      <c r="A2458" t="s">
        <v>7</v>
      </c>
      <c r="B2458" t="s">
        <v>17</v>
      </c>
      <c r="C2458" t="str">
        <f t="shared" si="78"/>
        <v>No cumple</v>
      </c>
      <c r="D2458" s="17">
        <v>2970</v>
      </c>
      <c r="E2458" s="19" t="s">
        <v>13</v>
      </c>
      <c r="F2458">
        <v>5</v>
      </c>
      <c r="G2458">
        <v>6</v>
      </c>
      <c r="H2458">
        <f t="shared" si="77"/>
        <v>-1</v>
      </c>
    </row>
    <row r="2459" spans="1:8" x14ac:dyDescent="0.2">
      <c r="A2459" t="s">
        <v>7</v>
      </c>
      <c r="B2459" t="s">
        <v>17</v>
      </c>
      <c r="C2459" t="str">
        <f t="shared" si="78"/>
        <v>No cumple</v>
      </c>
      <c r="D2459" s="17">
        <v>3236</v>
      </c>
      <c r="E2459" s="19" t="s">
        <v>13</v>
      </c>
      <c r="F2459">
        <v>5</v>
      </c>
      <c r="G2459">
        <v>6</v>
      </c>
      <c r="H2459">
        <f t="shared" si="77"/>
        <v>-1</v>
      </c>
    </row>
    <row r="2460" spans="1:8" x14ac:dyDescent="0.2">
      <c r="A2460" t="s">
        <v>7</v>
      </c>
      <c r="B2460" t="s">
        <v>17</v>
      </c>
      <c r="C2460" t="str">
        <f t="shared" si="78"/>
        <v>Cumple</v>
      </c>
      <c r="D2460" s="17">
        <v>3449</v>
      </c>
      <c r="E2460" s="19" t="s">
        <v>13</v>
      </c>
      <c r="F2460" s="12">
        <v>6</v>
      </c>
      <c r="G2460">
        <v>6</v>
      </c>
      <c r="H2460">
        <f t="shared" si="77"/>
        <v>0</v>
      </c>
    </row>
    <row r="2461" spans="1:8" x14ac:dyDescent="0.2">
      <c r="A2461" t="s">
        <v>7</v>
      </c>
      <c r="B2461" t="s">
        <v>17</v>
      </c>
      <c r="C2461" t="str">
        <f t="shared" si="78"/>
        <v>Cumple</v>
      </c>
      <c r="D2461" s="17">
        <v>3509</v>
      </c>
      <c r="E2461" s="19" t="s">
        <v>13</v>
      </c>
      <c r="F2461" s="12">
        <v>6</v>
      </c>
      <c r="G2461">
        <v>6</v>
      </c>
      <c r="H2461">
        <f t="shared" si="77"/>
        <v>0</v>
      </c>
    </row>
    <row r="2462" spans="1:8" x14ac:dyDescent="0.2">
      <c r="A2462" t="s">
        <v>7</v>
      </c>
      <c r="B2462" t="s">
        <v>17</v>
      </c>
      <c r="C2462" t="str">
        <f t="shared" si="78"/>
        <v>No cumple</v>
      </c>
      <c r="D2462" s="17">
        <v>3703</v>
      </c>
      <c r="E2462" s="19" t="s">
        <v>13</v>
      </c>
      <c r="F2462">
        <v>5</v>
      </c>
      <c r="G2462">
        <v>6</v>
      </c>
      <c r="H2462">
        <f t="shared" si="77"/>
        <v>-1</v>
      </c>
    </row>
    <row r="2463" spans="1:8" x14ac:dyDescent="0.2">
      <c r="A2463" t="s">
        <v>7</v>
      </c>
      <c r="B2463" t="s">
        <v>17</v>
      </c>
      <c r="C2463" t="str">
        <f t="shared" si="78"/>
        <v>No cumple</v>
      </c>
      <c r="D2463" s="17">
        <v>3766</v>
      </c>
      <c r="E2463" s="19" t="s">
        <v>13</v>
      </c>
      <c r="F2463">
        <v>5</v>
      </c>
      <c r="G2463">
        <v>6</v>
      </c>
      <c r="H2463">
        <f t="shared" si="77"/>
        <v>-1</v>
      </c>
    </row>
    <row r="2464" spans="1:8" x14ac:dyDescent="0.2">
      <c r="A2464" t="s">
        <v>7</v>
      </c>
      <c r="B2464" t="s">
        <v>17</v>
      </c>
      <c r="C2464" t="str">
        <f t="shared" si="78"/>
        <v>No cumple</v>
      </c>
      <c r="D2464" s="17">
        <v>3770</v>
      </c>
      <c r="E2464" s="19" t="s">
        <v>13</v>
      </c>
      <c r="F2464">
        <v>5</v>
      </c>
      <c r="G2464">
        <v>6</v>
      </c>
      <c r="H2464">
        <f t="shared" si="77"/>
        <v>-1</v>
      </c>
    </row>
    <row r="2465" spans="1:8" x14ac:dyDescent="0.2">
      <c r="A2465" t="s">
        <v>7</v>
      </c>
      <c r="B2465" t="s">
        <v>17</v>
      </c>
      <c r="C2465" t="str">
        <f t="shared" si="78"/>
        <v>No cumple</v>
      </c>
      <c r="D2465" s="17">
        <v>3772</v>
      </c>
      <c r="E2465" s="19" t="s">
        <v>13</v>
      </c>
      <c r="F2465">
        <v>5</v>
      </c>
      <c r="G2465">
        <v>6</v>
      </c>
      <c r="H2465">
        <f t="shared" si="77"/>
        <v>-1</v>
      </c>
    </row>
    <row r="2466" spans="1:8" x14ac:dyDescent="0.2">
      <c r="A2466" t="s">
        <v>7</v>
      </c>
      <c r="B2466" t="s">
        <v>17</v>
      </c>
      <c r="C2466" t="str">
        <f t="shared" si="78"/>
        <v>Cumple</v>
      </c>
      <c r="D2466" s="17">
        <v>3819</v>
      </c>
      <c r="E2466" s="19" t="s">
        <v>13</v>
      </c>
      <c r="F2466" s="12">
        <v>6</v>
      </c>
      <c r="G2466">
        <v>6</v>
      </c>
      <c r="H2466">
        <f t="shared" si="77"/>
        <v>0</v>
      </c>
    </row>
    <row r="2467" spans="1:8" x14ac:dyDescent="0.2">
      <c r="A2467" t="s">
        <v>7</v>
      </c>
      <c r="B2467" t="s">
        <v>17</v>
      </c>
      <c r="C2467" t="str">
        <f t="shared" si="78"/>
        <v>No cumple</v>
      </c>
      <c r="D2467" s="17">
        <v>9158</v>
      </c>
      <c r="E2467" s="19" t="s">
        <v>13</v>
      </c>
      <c r="F2467">
        <v>5</v>
      </c>
      <c r="G2467">
        <v>6</v>
      </c>
      <c r="H2467">
        <f t="shared" si="77"/>
        <v>-1</v>
      </c>
    </row>
    <row r="2468" spans="1:8" x14ac:dyDescent="0.2">
      <c r="A2468" t="s">
        <v>7</v>
      </c>
      <c r="B2468" t="s">
        <v>17</v>
      </c>
      <c r="C2468" t="str">
        <f t="shared" si="78"/>
        <v>No cumple</v>
      </c>
      <c r="D2468" s="17">
        <v>9434</v>
      </c>
      <c r="E2468" s="19" t="s">
        <v>13</v>
      </c>
      <c r="F2468">
        <v>5</v>
      </c>
      <c r="G2468">
        <v>6</v>
      </c>
      <c r="H2468">
        <f t="shared" si="77"/>
        <v>-1</v>
      </c>
    </row>
    <row r="2469" spans="1:8" x14ac:dyDescent="0.2">
      <c r="A2469" t="s">
        <v>7</v>
      </c>
      <c r="B2469" t="s">
        <v>17</v>
      </c>
      <c r="C2469" t="str">
        <f t="shared" si="78"/>
        <v>Cumple</v>
      </c>
      <c r="D2469" s="17">
        <v>9665</v>
      </c>
      <c r="E2469" s="19" t="s">
        <v>13</v>
      </c>
      <c r="F2469" s="12">
        <v>6</v>
      </c>
      <c r="G2469">
        <v>6</v>
      </c>
      <c r="H2469">
        <f t="shared" si="77"/>
        <v>0</v>
      </c>
    </row>
    <row r="2470" spans="1:8" x14ac:dyDescent="0.2">
      <c r="A2470" t="s">
        <v>7</v>
      </c>
      <c r="B2470" t="s">
        <v>17</v>
      </c>
      <c r="C2470" t="str">
        <f t="shared" si="78"/>
        <v>Cumple</v>
      </c>
      <c r="D2470" s="17">
        <v>9950</v>
      </c>
      <c r="E2470" s="19" t="s">
        <v>13</v>
      </c>
      <c r="F2470" s="12">
        <v>6</v>
      </c>
      <c r="G2470">
        <v>6</v>
      </c>
      <c r="H2470">
        <f t="shared" si="77"/>
        <v>0</v>
      </c>
    </row>
    <row r="2471" spans="1:8" x14ac:dyDescent="0.2">
      <c r="A2471" t="s">
        <v>7</v>
      </c>
      <c r="B2471" t="s">
        <v>17</v>
      </c>
      <c r="C2471" t="str">
        <f t="shared" si="78"/>
        <v>Cumple</v>
      </c>
      <c r="D2471" s="17">
        <v>9952</v>
      </c>
      <c r="E2471" s="19" t="s">
        <v>13</v>
      </c>
      <c r="F2471" s="12">
        <v>6</v>
      </c>
      <c r="G2471">
        <v>6</v>
      </c>
      <c r="H2471">
        <f t="shared" si="77"/>
        <v>0</v>
      </c>
    </row>
    <row r="2472" spans="1:8" x14ac:dyDescent="0.2">
      <c r="A2472" t="s">
        <v>7</v>
      </c>
      <c r="B2472" t="s">
        <v>17</v>
      </c>
      <c r="C2472" t="str">
        <f t="shared" si="78"/>
        <v>Cumple</v>
      </c>
      <c r="D2472" s="17">
        <v>3851</v>
      </c>
      <c r="E2472" s="19" t="s">
        <v>13</v>
      </c>
      <c r="F2472" s="12">
        <v>6</v>
      </c>
      <c r="G2472">
        <v>6</v>
      </c>
      <c r="H2472">
        <f t="shared" si="77"/>
        <v>0</v>
      </c>
    </row>
    <row r="2473" spans="1:8" x14ac:dyDescent="0.2">
      <c r="A2473" t="s">
        <v>7</v>
      </c>
      <c r="B2473" t="s">
        <v>17</v>
      </c>
      <c r="C2473" t="str">
        <f t="shared" si="78"/>
        <v>No cumple</v>
      </c>
      <c r="D2473" s="17">
        <v>3860</v>
      </c>
      <c r="E2473" s="19" t="s">
        <v>13</v>
      </c>
      <c r="F2473">
        <v>5</v>
      </c>
      <c r="G2473">
        <v>6</v>
      </c>
      <c r="H2473">
        <f t="shared" si="77"/>
        <v>-1</v>
      </c>
    </row>
    <row r="2474" spans="1:8" x14ac:dyDescent="0.2">
      <c r="A2474" t="s">
        <v>7</v>
      </c>
      <c r="B2474" t="s">
        <v>17</v>
      </c>
      <c r="C2474" t="str">
        <f t="shared" si="78"/>
        <v>Cumple</v>
      </c>
      <c r="D2474" s="17">
        <v>221</v>
      </c>
      <c r="E2474" s="19" t="s">
        <v>13</v>
      </c>
      <c r="F2474" s="12">
        <v>6</v>
      </c>
      <c r="G2474">
        <v>6</v>
      </c>
      <c r="H2474">
        <f t="shared" si="77"/>
        <v>0</v>
      </c>
    </row>
    <row r="2475" spans="1:8" x14ac:dyDescent="0.2">
      <c r="A2475" t="s">
        <v>7</v>
      </c>
      <c r="B2475" t="s">
        <v>17</v>
      </c>
      <c r="C2475" t="str">
        <f t="shared" si="78"/>
        <v>Cumple</v>
      </c>
      <c r="D2475" s="17">
        <v>233</v>
      </c>
      <c r="E2475" s="19" t="s">
        <v>13</v>
      </c>
      <c r="F2475" s="12">
        <v>6</v>
      </c>
      <c r="G2475">
        <v>6</v>
      </c>
      <c r="H2475">
        <f t="shared" si="77"/>
        <v>0</v>
      </c>
    </row>
    <row r="2476" spans="1:8" x14ac:dyDescent="0.2">
      <c r="A2476" t="s">
        <v>7</v>
      </c>
      <c r="B2476" t="s">
        <v>17</v>
      </c>
      <c r="C2476" t="str">
        <f t="shared" si="78"/>
        <v>No cumple</v>
      </c>
      <c r="D2476" s="17">
        <v>240</v>
      </c>
      <c r="E2476" s="19" t="s">
        <v>13</v>
      </c>
      <c r="F2476">
        <v>4</v>
      </c>
      <c r="G2476">
        <v>6</v>
      </c>
      <c r="H2476">
        <f t="shared" si="77"/>
        <v>-2</v>
      </c>
    </row>
    <row r="2477" spans="1:8" x14ac:dyDescent="0.2">
      <c r="A2477" t="s">
        <v>7</v>
      </c>
      <c r="B2477" t="s">
        <v>17</v>
      </c>
      <c r="C2477" t="str">
        <f t="shared" si="78"/>
        <v>No cumple</v>
      </c>
      <c r="D2477" s="17">
        <v>243</v>
      </c>
      <c r="E2477" s="19" t="s">
        <v>13</v>
      </c>
      <c r="F2477">
        <v>4</v>
      </c>
      <c r="G2477">
        <v>6</v>
      </c>
      <c r="H2477">
        <f t="shared" si="77"/>
        <v>-2</v>
      </c>
    </row>
    <row r="2478" spans="1:8" x14ac:dyDescent="0.2">
      <c r="A2478" t="s">
        <v>7</v>
      </c>
      <c r="B2478" t="s">
        <v>17</v>
      </c>
      <c r="C2478" t="str">
        <f t="shared" si="78"/>
        <v>No cumple</v>
      </c>
      <c r="D2478" s="17">
        <v>247</v>
      </c>
      <c r="E2478" s="19" t="s">
        <v>13</v>
      </c>
      <c r="F2478">
        <v>4</v>
      </c>
      <c r="G2478">
        <v>6</v>
      </c>
      <c r="H2478">
        <f t="shared" si="77"/>
        <v>-2</v>
      </c>
    </row>
    <row r="2479" spans="1:8" x14ac:dyDescent="0.2">
      <c r="A2479" t="s">
        <v>7</v>
      </c>
      <c r="B2479" t="s">
        <v>17</v>
      </c>
      <c r="C2479" t="str">
        <f t="shared" si="78"/>
        <v>No cumple</v>
      </c>
      <c r="D2479" s="17">
        <v>248</v>
      </c>
      <c r="E2479" s="19" t="s">
        <v>13</v>
      </c>
      <c r="F2479">
        <v>4</v>
      </c>
      <c r="G2479">
        <v>6</v>
      </c>
      <c r="H2479">
        <f t="shared" si="77"/>
        <v>-2</v>
      </c>
    </row>
    <row r="2480" spans="1:8" x14ac:dyDescent="0.2">
      <c r="A2480" t="s">
        <v>7</v>
      </c>
      <c r="B2480" t="s">
        <v>17</v>
      </c>
      <c r="C2480" t="str">
        <f t="shared" si="78"/>
        <v>No cumple</v>
      </c>
      <c r="D2480" s="17">
        <v>677</v>
      </c>
      <c r="E2480" s="19" t="s">
        <v>13</v>
      </c>
      <c r="F2480">
        <v>4</v>
      </c>
      <c r="G2480">
        <v>6</v>
      </c>
      <c r="H2480">
        <f t="shared" si="77"/>
        <v>-2</v>
      </c>
    </row>
    <row r="2481" spans="1:8" x14ac:dyDescent="0.2">
      <c r="A2481" t="s">
        <v>7</v>
      </c>
      <c r="B2481" t="s">
        <v>17</v>
      </c>
      <c r="C2481" t="str">
        <f t="shared" si="78"/>
        <v>No cumple</v>
      </c>
      <c r="D2481" s="17">
        <v>707</v>
      </c>
      <c r="E2481" s="19" t="s">
        <v>13</v>
      </c>
      <c r="F2481">
        <v>4</v>
      </c>
      <c r="G2481">
        <v>6</v>
      </c>
      <c r="H2481">
        <f t="shared" si="77"/>
        <v>-2</v>
      </c>
    </row>
    <row r="2482" spans="1:8" x14ac:dyDescent="0.2">
      <c r="A2482" t="s">
        <v>7</v>
      </c>
      <c r="B2482" t="s">
        <v>17</v>
      </c>
      <c r="C2482" t="str">
        <f t="shared" si="78"/>
        <v>Cumple</v>
      </c>
      <c r="D2482" s="17">
        <v>772</v>
      </c>
      <c r="E2482" s="19" t="s">
        <v>13</v>
      </c>
      <c r="F2482" s="12">
        <v>6</v>
      </c>
      <c r="G2482">
        <v>6</v>
      </c>
      <c r="H2482">
        <f t="shared" si="77"/>
        <v>0</v>
      </c>
    </row>
    <row r="2483" spans="1:8" x14ac:dyDescent="0.2">
      <c r="A2483" t="s">
        <v>7</v>
      </c>
      <c r="B2483" t="s">
        <v>17</v>
      </c>
      <c r="C2483" t="str">
        <f t="shared" si="78"/>
        <v>Cumple</v>
      </c>
      <c r="D2483" s="17">
        <v>837</v>
      </c>
      <c r="E2483" s="19" t="s">
        <v>13</v>
      </c>
      <c r="F2483" s="12">
        <v>6</v>
      </c>
      <c r="G2483">
        <v>6</v>
      </c>
      <c r="H2483">
        <f t="shared" si="77"/>
        <v>0</v>
      </c>
    </row>
    <row r="2484" spans="1:8" x14ac:dyDescent="0.2">
      <c r="A2484" t="s">
        <v>7</v>
      </c>
      <c r="B2484" t="s">
        <v>17</v>
      </c>
      <c r="C2484" t="str">
        <f t="shared" si="78"/>
        <v>Cumple</v>
      </c>
      <c r="D2484" s="17">
        <v>865</v>
      </c>
      <c r="E2484" s="19" t="s">
        <v>13</v>
      </c>
      <c r="F2484" s="12">
        <v>6</v>
      </c>
      <c r="G2484">
        <v>6</v>
      </c>
      <c r="H2484">
        <f t="shared" si="77"/>
        <v>0</v>
      </c>
    </row>
    <row r="2485" spans="1:8" x14ac:dyDescent="0.2">
      <c r="A2485" t="s">
        <v>7</v>
      </c>
      <c r="B2485" t="s">
        <v>17</v>
      </c>
      <c r="C2485" t="str">
        <f t="shared" si="78"/>
        <v>No cumple</v>
      </c>
      <c r="D2485" s="17">
        <v>970</v>
      </c>
      <c r="E2485" s="19" t="s">
        <v>13</v>
      </c>
      <c r="F2485">
        <v>4</v>
      </c>
      <c r="G2485">
        <v>6</v>
      </c>
      <c r="H2485">
        <f t="shared" si="77"/>
        <v>-2</v>
      </c>
    </row>
    <row r="2486" spans="1:8" x14ac:dyDescent="0.2">
      <c r="A2486" t="s">
        <v>7</v>
      </c>
      <c r="B2486" t="s">
        <v>17</v>
      </c>
      <c r="C2486" t="str">
        <f t="shared" si="78"/>
        <v>No cumple</v>
      </c>
      <c r="D2486" s="17">
        <v>991</v>
      </c>
      <c r="E2486" s="19" t="s">
        <v>13</v>
      </c>
      <c r="F2486">
        <v>4</v>
      </c>
      <c r="G2486">
        <v>6</v>
      </c>
      <c r="H2486">
        <f t="shared" si="77"/>
        <v>-2</v>
      </c>
    </row>
    <row r="2487" spans="1:8" x14ac:dyDescent="0.2">
      <c r="A2487" t="s">
        <v>7</v>
      </c>
      <c r="B2487" t="s">
        <v>17</v>
      </c>
      <c r="C2487" t="str">
        <f t="shared" si="78"/>
        <v>No cumple</v>
      </c>
      <c r="D2487" s="17">
        <v>1226</v>
      </c>
      <c r="E2487" s="19" t="s">
        <v>13</v>
      </c>
      <c r="F2487">
        <v>4</v>
      </c>
      <c r="G2487">
        <v>6</v>
      </c>
      <c r="H2487">
        <f t="shared" si="77"/>
        <v>-2</v>
      </c>
    </row>
    <row r="2488" spans="1:8" x14ac:dyDescent="0.2">
      <c r="A2488" t="s">
        <v>7</v>
      </c>
      <c r="B2488" t="s">
        <v>17</v>
      </c>
      <c r="C2488" t="str">
        <f t="shared" si="78"/>
        <v>No cumple</v>
      </c>
      <c r="D2488" s="17">
        <v>1425</v>
      </c>
      <c r="E2488" s="19" t="s">
        <v>13</v>
      </c>
      <c r="F2488">
        <v>4</v>
      </c>
      <c r="G2488">
        <v>6</v>
      </c>
      <c r="H2488">
        <f t="shared" si="77"/>
        <v>-2</v>
      </c>
    </row>
    <row r="2489" spans="1:8" x14ac:dyDescent="0.2">
      <c r="A2489" t="s">
        <v>7</v>
      </c>
      <c r="B2489" t="s">
        <v>17</v>
      </c>
      <c r="C2489" t="str">
        <f t="shared" si="78"/>
        <v>No cumple</v>
      </c>
      <c r="D2489" s="17">
        <v>1437</v>
      </c>
      <c r="E2489" s="19" t="s">
        <v>13</v>
      </c>
      <c r="F2489">
        <v>4</v>
      </c>
      <c r="G2489">
        <v>6</v>
      </c>
      <c r="H2489">
        <f t="shared" si="77"/>
        <v>-2</v>
      </c>
    </row>
    <row r="2490" spans="1:8" x14ac:dyDescent="0.2">
      <c r="A2490" t="s">
        <v>7</v>
      </c>
      <c r="B2490" t="s">
        <v>17</v>
      </c>
      <c r="C2490" t="str">
        <f t="shared" si="78"/>
        <v>Cumple</v>
      </c>
      <c r="D2490" s="17">
        <v>1573</v>
      </c>
      <c r="E2490" s="19" t="s">
        <v>13</v>
      </c>
      <c r="F2490" s="12">
        <v>6</v>
      </c>
      <c r="G2490">
        <v>6</v>
      </c>
      <c r="H2490">
        <f t="shared" si="77"/>
        <v>0</v>
      </c>
    </row>
    <row r="2491" spans="1:8" x14ac:dyDescent="0.2">
      <c r="A2491" t="s">
        <v>7</v>
      </c>
      <c r="B2491" t="s">
        <v>17</v>
      </c>
      <c r="C2491" t="str">
        <f t="shared" si="78"/>
        <v>No cumple</v>
      </c>
      <c r="D2491" s="17">
        <v>1601</v>
      </c>
      <c r="E2491" s="19" t="s">
        <v>13</v>
      </c>
      <c r="F2491">
        <v>4</v>
      </c>
      <c r="G2491">
        <v>6</v>
      </c>
      <c r="H2491">
        <f t="shared" si="77"/>
        <v>-2</v>
      </c>
    </row>
    <row r="2492" spans="1:8" x14ac:dyDescent="0.2">
      <c r="A2492" t="s">
        <v>7</v>
      </c>
      <c r="B2492" t="s">
        <v>17</v>
      </c>
      <c r="C2492" t="str">
        <f t="shared" si="78"/>
        <v>Cumple</v>
      </c>
      <c r="D2492" s="17">
        <v>1699</v>
      </c>
      <c r="E2492" s="19" t="s">
        <v>13</v>
      </c>
      <c r="F2492" s="12">
        <v>6</v>
      </c>
      <c r="G2492">
        <v>6</v>
      </c>
      <c r="H2492">
        <f t="shared" si="77"/>
        <v>0</v>
      </c>
    </row>
    <row r="2493" spans="1:8" x14ac:dyDescent="0.2">
      <c r="A2493" t="s">
        <v>7</v>
      </c>
      <c r="B2493" t="s">
        <v>17</v>
      </c>
      <c r="C2493" t="str">
        <f t="shared" si="78"/>
        <v>No cumple</v>
      </c>
      <c r="D2493" s="17">
        <v>1773</v>
      </c>
      <c r="E2493" s="19" t="s">
        <v>13</v>
      </c>
      <c r="F2493">
        <v>4</v>
      </c>
      <c r="G2493">
        <v>6</v>
      </c>
      <c r="H2493">
        <f t="shared" si="77"/>
        <v>-2</v>
      </c>
    </row>
    <row r="2494" spans="1:8" x14ac:dyDescent="0.2">
      <c r="A2494" t="s">
        <v>7</v>
      </c>
      <c r="B2494" t="s">
        <v>17</v>
      </c>
      <c r="C2494" t="str">
        <f t="shared" si="78"/>
        <v>Cumple</v>
      </c>
      <c r="D2494" s="17">
        <v>1879</v>
      </c>
      <c r="E2494" s="19" t="s">
        <v>13</v>
      </c>
      <c r="F2494" s="12">
        <v>6</v>
      </c>
      <c r="G2494">
        <v>6</v>
      </c>
      <c r="H2494">
        <f t="shared" si="77"/>
        <v>0</v>
      </c>
    </row>
    <row r="2495" spans="1:8" x14ac:dyDescent="0.2">
      <c r="A2495" t="s">
        <v>7</v>
      </c>
      <c r="B2495" t="s">
        <v>17</v>
      </c>
      <c r="C2495" t="str">
        <f t="shared" si="78"/>
        <v>Cumple</v>
      </c>
      <c r="D2495" s="17">
        <v>2014</v>
      </c>
      <c r="E2495" s="19" t="s">
        <v>13</v>
      </c>
      <c r="F2495" s="12">
        <v>6</v>
      </c>
      <c r="G2495">
        <v>6</v>
      </c>
      <c r="H2495">
        <f t="shared" si="77"/>
        <v>0</v>
      </c>
    </row>
    <row r="2496" spans="1:8" x14ac:dyDescent="0.2">
      <c r="A2496" t="s">
        <v>7</v>
      </c>
      <c r="B2496" t="s">
        <v>17</v>
      </c>
      <c r="C2496" t="str">
        <f t="shared" si="78"/>
        <v>No cumple</v>
      </c>
      <c r="D2496" s="17">
        <v>2275</v>
      </c>
      <c r="E2496" s="19" t="s">
        <v>13</v>
      </c>
      <c r="F2496">
        <v>4</v>
      </c>
      <c r="G2496">
        <v>6</v>
      </c>
      <c r="H2496">
        <f t="shared" si="77"/>
        <v>-2</v>
      </c>
    </row>
    <row r="2497" spans="1:8" x14ac:dyDescent="0.2">
      <c r="A2497" t="s">
        <v>7</v>
      </c>
      <c r="B2497" t="s">
        <v>17</v>
      </c>
      <c r="C2497" t="str">
        <f t="shared" si="78"/>
        <v>Cumple</v>
      </c>
      <c r="D2497" s="17">
        <v>3294</v>
      </c>
      <c r="E2497" s="19" t="s">
        <v>13</v>
      </c>
      <c r="F2497" s="31">
        <v>6</v>
      </c>
      <c r="G2497">
        <v>6</v>
      </c>
      <c r="H2497">
        <f t="shared" si="77"/>
        <v>0</v>
      </c>
    </row>
    <row r="2498" spans="1:8" x14ac:dyDescent="0.2">
      <c r="A2498" t="s">
        <v>7</v>
      </c>
      <c r="B2498" t="s">
        <v>17</v>
      </c>
      <c r="C2498" t="str">
        <f t="shared" si="78"/>
        <v>Cumple</v>
      </c>
      <c r="D2498" s="17">
        <v>3529</v>
      </c>
      <c r="E2498" s="19" t="s">
        <v>13</v>
      </c>
      <c r="F2498" s="12">
        <v>6</v>
      </c>
      <c r="G2498">
        <v>6</v>
      </c>
      <c r="H2498">
        <f t="shared" si="77"/>
        <v>0</v>
      </c>
    </row>
    <row r="2499" spans="1:8" x14ac:dyDescent="0.2">
      <c r="A2499" t="s">
        <v>7</v>
      </c>
      <c r="B2499" t="s">
        <v>17</v>
      </c>
      <c r="C2499" t="str">
        <f t="shared" si="78"/>
        <v>Cumple</v>
      </c>
      <c r="D2499" s="17">
        <v>3545</v>
      </c>
      <c r="E2499" s="19" t="s">
        <v>13</v>
      </c>
      <c r="F2499" s="12">
        <v>6</v>
      </c>
      <c r="G2499">
        <v>6</v>
      </c>
      <c r="H2499">
        <f t="shared" ref="H2499:H2562" si="79">F2499-G2499</f>
        <v>0</v>
      </c>
    </row>
    <row r="2500" spans="1:8" x14ac:dyDescent="0.2">
      <c r="A2500" t="s">
        <v>7</v>
      </c>
      <c r="B2500" t="s">
        <v>17</v>
      </c>
      <c r="C2500" t="str">
        <f t="shared" ref="C2500:C2563" si="80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>
        <f t="shared" si="79"/>
        <v>-2</v>
      </c>
    </row>
    <row r="2501" spans="1:8" x14ac:dyDescent="0.2">
      <c r="A2501" t="s">
        <v>7</v>
      </c>
      <c r="B2501" t="s">
        <v>17</v>
      </c>
      <c r="C2501" t="str">
        <f t="shared" si="80"/>
        <v>Cumple</v>
      </c>
      <c r="D2501" s="17">
        <v>3742</v>
      </c>
      <c r="E2501" s="19" t="s">
        <v>13</v>
      </c>
      <c r="F2501" s="12">
        <v>6</v>
      </c>
      <c r="G2501">
        <v>6</v>
      </c>
      <c r="H2501">
        <f t="shared" si="79"/>
        <v>0</v>
      </c>
    </row>
    <row r="2502" spans="1:8" x14ac:dyDescent="0.2">
      <c r="A2502" t="s">
        <v>7</v>
      </c>
      <c r="B2502" t="s">
        <v>17</v>
      </c>
      <c r="C2502" t="str">
        <f t="shared" si="80"/>
        <v>No cumple</v>
      </c>
      <c r="D2502" s="17">
        <v>3746</v>
      </c>
      <c r="E2502" s="19" t="s">
        <v>13</v>
      </c>
      <c r="F2502">
        <v>4</v>
      </c>
      <c r="G2502">
        <v>6</v>
      </c>
      <c r="H2502">
        <f t="shared" si="79"/>
        <v>-2</v>
      </c>
    </row>
    <row r="2503" spans="1:8" x14ac:dyDescent="0.2">
      <c r="A2503" t="s">
        <v>7</v>
      </c>
      <c r="B2503" t="s">
        <v>17</v>
      </c>
      <c r="C2503" t="str">
        <f t="shared" si="80"/>
        <v>No cumple</v>
      </c>
      <c r="D2503" s="17">
        <v>3765</v>
      </c>
      <c r="E2503" s="19" t="s">
        <v>13</v>
      </c>
      <c r="F2503">
        <v>4</v>
      </c>
      <c r="G2503">
        <v>6</v>
      </c>
      <c r="H2503">
        <f t="shared" si="79"/>
        <v>-2</v>
      </c>
    </row>
    <row r="2504" spans="1:8" x14ac:dyDescent="0.2">
      <c r="A2504" t="s">
        <v>7</v>
      </c>
      <c r="B2504" t="s">
        <v>17</v>
      </c>
      <c r="C2504" t="str">
        <f t="shared" si="80"/>
        <v>No cumple</v>
      </c>
      <c r="D2504" s="17">
        <v>3795</v>
      </c>
      <c r="E2504" s="19" t="s">
        <v>13</v>
      </c>
      <c r="F2504">
        <v>4</v>
      </c>
      <c r="G2504">
        <v>6</v>
      </c>
      <c r="H2504">
        <f t="shared" si="79"/>
        <v>-2</v>
      </c>
    </row>
    <row r="2505" spans="1:8" x14ac:dyDescent="0.2">
      <c r="A2505" t="s">
        <v>7</v>
      </c>
      <c r="B2505" t="s">
        <v>17</v>
      </c>
      <c r="C2505" t="str">
        <f t="shared" si="80"/>
        <v>Cumple</v>
      </c>
      <c r="D2505" s="17">
        <v>7597</v>
      </c>
      <c r="E2505" s="19" t="s">
        <v>13</v>
      </c>
      <c r="F2505" s="24">
        <v>6</v>
      </c>
      <c r="G2505">
        <v>6</v>
      </c>
      <c r="H2505">
        <f t="shared" si="79"/>
        <v>0</v>
      </c>
    </row>
    <row r="2506" spans="1:8" x14ac:dyDescent="0.2">
      <c r="A2506" t="s">
        <v>7</v>
      </c>
      <c r="B2506" t="s">
        <v>17</v>
      </c>
      <c r="C2506" t="str">
        <f t="shared" si="80"/>
        <v>Cumple</v>
      </c>
      <c r="D2506" s="17">
        <v>9017</v>
      </c>
      <c r="E2506" s="19" t="s">
        <v>13</v>
      </c>
      <c r="F2506" s="12">
        <v>6</v>
      </c>
      <c r="G2506">
        <v>6</v>
      </c>
      <c r="H2506">
        <f t="shared" si="79"/>
        <v>0</v>
      </c>
    </row>
    <row r="2507" spans="1:8" x14ac:dyDescent="0.2">
      <c r="A2507" t="s">
        <v>7</v>
      </c>
      <c r="B2507" t="s">
        <v>17</v>
      </c>
      <c r="C2507" t="str">
        <f t="shared" si="80"/>
        <v>Cumple</v>
      </c>
      <c r="D2507" s="17">
        <v>9333</v>
      </c>
      <c r="E2507" s="19" t="s">
        <v>13</v>
      </c>
      <c r="F2507" s="12">
        <v>6</v>
      </c>
      <c r="G2507">
        <v>6</v>
      </c>
      <c r="H2507">
        <f t="shared" si="79"/>
        <v>0</v>
      </c>
    </row>
    <row r="2508" spans="1:8" x14ac:dyDescent="0.2">
      <c r="A2508" t="s">
        <v>7</v>
      </c>
      <c r="B2508" t="s">
        <v>17</v>
      </c>
      <c r="C2508" t="str">
        <f t="shared" si="80"/>
        <v>Cumple</v>
      </c>
      <c r="D2508" s="17">
        <v>9624</v>
      </c>
      <c r="E2508" s="19" t="s">
        <v>13</v>
      </c>
      <c r="F2508" s="12">
        <v>6</v>
      </c>
      <c r="G2508">
        <v>6</v>
      </c>
      <c r="H2508">
        <f t="shared" si="79"/>
        <v>0</v>
      </c>
    </row>
    <row r="2509" spans="1:8" x14ac:dyDescent="0.2">
      <c r="A2509" t="s">
        <v>7</v>
      </c>
      <c r="B2509" t="s">
        <v>17</v>
      </c>
      <c r="C2509" t="str">
        <f t="shared" si="80"/>
        <v>No cumple</v>
      </c>
      <c r="D2509" s="17">
        <v>9767</v>
      </c>
      <c r="E2509" s="19" t="s">
        <v>13</v>
      </c>
      <c r="F2509">
        <v>4</v>
      </c>
      <c r="G2509">
        <v>6</v>
      </c>
      <c r="H2509">
        <f t="shared" si="79"/>
        <v>-2</v>
      </c>
    </row>
    <row r="2510" spans="1:8" x14ac:dyDescent="0.2">
      <c r="A2510" t="s">
        <v>7</v>
      </c>
      <c r="B2510" t="s">
        <v>17</v>
      </c>
      <c r="C2510" t="str">
        <f t="shared" si="80"/>
        <v>No cumple</v>
      </c>
      <c r="D2510" s="17">
        <v>9953</v>
      </c>
      <c r="E2510" s="19" t="s">
        <v>13</v>
      </c>
      <c r="F2510">
        <v>4</v>
      </c>
      <c r="G2510">
        <v>6</v>
      </c>
      <c r="H2510">
        <f t="shared" si="79"/>
        <v>-2</v>
      </c>
    </row>
    <row r="2511" spans="1:8" x14ac:dyDescent="0.2">
      <c r="A2511" t="s">
        <v>7</v>
      </c>
      <c r="B2511" t="s">
        <v>17</v>
      </c>
      <c r="C2511" t="str">
        <f t="shared" si="80"/>
        <v>No cumple</v>
      </c>
      <c r="D2511" s="17">
        <v>3852</v>
      </c>
      <c r="E2511" s="19" t="s">
        <v>13</v>
      </c>
      <c r="F2511">
        <v>4</v>
      </c>
      <c r="G2511">
        <v>6</v>
      </c>
      <c r="H2511">
        <f t="shared" si="79"/>
        <v>-2</v>
      </c>
    </row>
    <row r="2512" spans="1:8" x14ac:dyDescent="0.2">
      <c r="A2512" t="s">
        <v>7</v>
      </c>
      <c r="B2512" t="s">
        <v>17</v>
      </c>
      <c r="C2512" t="str">
        <f t="shared" si="80"/>
        <v>Cumple</v>
      </c>
      <c r="D2512" s="17">
        <v>3855</v>
      </c>
      <c r="E2512" s="19" t="s">
        <v>13</v>
      </c>
      <c r="F2512" s="12">
        <v>6</v>
      </c>
      <c r="G2512">
        <v>6</v>
      </c>
      <c r="H2512">
        <f t="shared" si="79"/>
        <v>0</v>
      </c>
    </row>
    <row r="2513" spans="1:8" x14ac:dyDescent="0.2">
      <c r="A2513" t="s">
        <v>7</v>
      </c>
      <c r="B2513" t="s">
        <v>17</v>
      </c>
      <c r="C2513" t="str">
        <f t="shared" si="80"/>
        <v>Cumple</v>
      </c>
      <c r="D2513" s="17">
        <v>205</v>
      </c>
      <c r="E2513" s="19" t="s">
        <v>13</v>
      </c>
      <c r="F2513" s="12">
        <v>6</v>
      </c>
      <c r="G2513">
        <v>6</v>
      </c>
      <c r="H2513">
        <f t="shared" si="79"/>
        <v>0</v>
      </c>
    </row>
    <row r="2514" spans="1:8" x14ac:dyDescent="0.2">
      <c r="A2514" t="s">
        <v>7</v>
      </c>
      <c r="B2514" t="s">
        <v>17</v>
      </c>
      <c r="C2514" t="str">
        <f t="shared" si="80"/>
        <v>Cumple</v>
      </c>
      <c r="D2514" s="17">
        <v>210</v>
      </c>
      <c r="E2514" s="19" t="s">
        <v>13</v>
      </c>
      <c r="F2514" s="12">
        <v>6</v>
      </c>
      <c r="G2514">
        <v>6</v>
      </c>
      <c r="H2514">
        <f t="shared" si="79"/>
        <v>0</v>
      </c>
    </row>
    <row r="2515" spans="1:8" x14ac:dyDescent="0.2">
      <c r="A2515" t="s">
        <v>7</v>
      </c>
      <c r="B2515" t="s">
        <v>17</v>
      </c>
      <c r="C2515" t="str">
        <f t="shared" si="80"/>
        <v>No cumple</v>
      </c>
      <c r="D2515" s="17">
        <v>234</v>
      </c>
      <c r="E2515" s="19" t="s">
        <v>13</v>
      </c>
      <c r="F2515">
        <v>3</v>
      </c>
      <c r="G2515">
        <v>6</v>
      </c>
      <c r="H2515">
        <f t="shared" si="79"/>
        <v>-3</v>
      </c>
    </row>
    <row r="2516" spans="1:8" x14ac:dyDescent="0.2">
      <c r="A2516" t="s">
        <v>7</v>
      </c>
      <c r="B2516" t="s">
        <v>17</v>
      </c>
      <c r="C2516" t="str">
        <f t="shared" si="80"/>
        <v>Cumple</v>
      </c>
      <c r="D2516" s="17">
        <v>239</v>
      </c>
      <c r="E2516" s="19" t="s">
        <v>13</v>
      </c>
      <c r="F2516" s="12">
        <v>6</v>
      </c>
      <c r="G2516">
        <v>6</v>
      </c>
      <c r="H2516">
        <f t="shared" si="79"/>
        <v>0</v>
      </c>
    </row>
    <row r="2517" spans="1:8" x14ac:dyDescent="0.2">
      <c r="A2517" t="s">
        <v>7</v>
      </c>
      <c r="B2517" t="s">
        <v>17</v>
      </c>
      <c r="C2517" t="str">
        <f t="shared" si="80"/>
        <v>No cumple</v>
      </c>
      <c r="D2517" s="17">
        <v>251</v>
      </c>
      <c r="E2517" s="19" t="s">
        <v>13</v>
      </c>
      <c r="F2517">
        <v>3</v>
      </c>
      <c r="G2517">
        <v>6</v>
      </c>
      <c r="H2517">
        <f t="shared" si="79"/>
        <v>-3</v>
      </c>
    </row>
    <row r="2518" spans="1:8" x14ac:dyDescent="0.2">
      <c r="A2518" t="s">
        <v>7</v>
      </c>
      <c r="B2518" t="s">
        <v>17</v>
      </c>
      <c r="C2518" t="str">
        <f t="shared" si="80"/>
        <v>No cumple</v>
      </c>
      <c r="D2518" s="17">
        <v>292</v>
      </c>
      <c r="E2518" s="19" t="s">
        <v>13</v>
      </c>
      <c r="F2518">
        <v>3</v>
      </c>
      <c r="G2518">
        <v>6</v>
      </c>
      <c r="H2518">
        <f t="shared" si="79"/>
        <v>-3</v>
      </c>
    </row>
    <row r="2519" spans="1:8" x14ac:dyDescent="0.2">
      <c r="A2519" t="s">
        <v>7</v>
      </c>
      <c r="B2519" t="s">
        <v>17</v>
      </c>
      <c r="C2519" t="str">
        <f t="shared" si="80"/>
        <v>No cumple</v>
      </c>
      <c r="D2519" s="17">
        <v>760</v>
      </c>
      <c r="E2519" s="19" t="s">
        <v>13</v>
      </c>
      <c r="F2519">
        <v>3</v>
      </c>
      <c r="G2519">
        <v>6</v>
      </c>
      <c r="H2519">
        <f t="shared" si="79"/>
        <v>-3</v>
      </c>
    </row>
    <row r="2520" spans="1:8" x14ac:dyDescent="0.2">
      <c r="A2520" t="s">
        <v>7</v>
      </c>
      <c r="B2520" t="s">
        <v>17</v>
      </c>
      <c r="C2520" t="str">
        <f t="shared" si="80"/>
        <v>No cumple</v>
      </c>
      <c r="D2520" s="17">
        <v>790</v>
      </c>
      <c r="E2520" s="19" t="s">
        <v>13</v>
      </c>
      <c r="F2520">
        <v>3</v>
      </c>
      <c r="G2520">
        <v>6</v>
      </c>
      <c r="H2520">
        <f t="shared" si="79"/>
        <v>-3</v>
      </c>
    </row>
    <row r="2521" spans="1:8" x14ac:dyDescent="0.2">
      <c r="A2521" t="s">
        <v>7</v>
      </c>
      <c r="B2521" t="s">
        <v>17</v>
      </c>
      <c r="C2521" t="str">
        <f t="shared" si="80"/>
        <v>Cumple</v>
      </c>
      <c r="D2521" s="17">
        <v>899</v>
      </c>
      <c r="E2521" s="19" t="s">
        <v>13</v>
      </c>
      <c r="F2521" s="12">
        <v>6</v>
      </c>
      <c r="G2521">
        <v>6</v>
      </c>
      <c r="H2521">
        <f t="shared" si="79"/>
        <v>0</v>
      </c>
    </row>
    <row r="2522" spans="1:8" x14ac:dyDescent="0.2">
      <c r="A2522" t="s">
        <v>7</v>
      </c>
      <c r="B2522" t="s">
        <v>17</v>
      </c>
      <c r="C2522" t="str">
        <f t="shared" si="80"/>
        <v>No cumple</v>
      </c>
      <c r="D2522" s="17">
        <v>902</v>
      </c>
      <c r="E2522" s="19" t="s">
        <v>13</v>
      </c>
      <c r="F2522">
        <v>3</v>
      </c>
      <c r="G2522">
        <v>6</v>
      </c>
      <c r="H2522">
        <f t="shared" si="79"/>
        <v>-3</v>
      </c>
    </row>
    <row r="2523" spans="1:8" x14ac:dyDescent="0.2">
      <c r="A2523" t="s">
        <v>7</v>
      </c>
      <c r="B2523" t="s">
        <v>17</v>
      </c>
      <c r="C2523" t="str">
        <f t="shared" si="80"/>
        <v>Cumple</v>
      </c>
      <c r="D2523" s="17">
        <v>923</v>
      </c>
      <c r="E2523" s="19" t="s">
        <v>13</v>
      </c>
      <c r="F2523" s="9">
        <v>6</v>
      </c>
      <c r="G2523">
        <v>6</v>
      </c>
      <c r="H2523">
        <f t="shared" si="79"/>
        <v>0</v>
      </c>
    </row>
    <row r="2524" spans="1:8" x14ac:dyDescent="0.2">
      <c r="A2524" t="s">
        <v>7</v>
      </c>
      <c r="B2524" t="s">
        <v>17</v>
      </c>
      <c r="C2524" t="str">
        <f t="shared" si="80"/>
        <v>No cumple</v>
      </c>
      <c r="D2524" s="17">
        <v>1411</v>
      </c>
      <c r="E2524" s="19" t="s">
        <v>13</v>
      </c>
      <c r="F2524">
        <v>3</v>
      </c>
      <c r="G2524">
        <v>6</v>
      </c>
      <c r="H2524">
        <f t="shared" si="79"/>
        <v>-3</v>
      </c>
    </row>
    <row r="2525" spans="1:8" x14ac:dyDescent="0.2">
      <c r="A2525" t="s">
        <v>7</v>
      </c>
      <c r="B2525" t="s">
        <v>17</v>
      </c>
      <c r="C2525" t="str">
        <f t="shared" si="80"/>
        <v>Cumple</v>
      </c>
      <c r="D2525" s="17">
        <v>1447</v>
      </c>
      <c r="E2525" s="19" t="s">
        <v>13</v>
      </c>
      <c r="F2525" s="31">
        <v>6</v>
      </c>
      <c r="G2525">
        <v>6</v>
      </c>
      <c r="H2525">
        <f t="shared" si="79"/>
        <v>0</v>
      </c>
    </row>
    <row r="2526" spans="1:8" x14ac:dyDescent="0.2">
      <c r="A2526" t="s">
        <v>7</v>
      </c>
      <c r="B2526" t="s">
        <v>17</v>
      </c>
      <c r="C2526" t="str">
        <f t="shared" si="80"/>
        <v>No cumple</v>
      </c>
      <c r="D2526" s="17">
        <v>1448</v>
      </c>
      <c r="E2526" s="19" t="s">
        <v>13</v>
      </c>
      <c r="F2526">
        <v>3</v>
      </c>
      <c r="G2526">
        <v>6</v>
      </c>
      <c r="H2526">
        <f t="shared" si="79"/>
        <v>-3</v>
      </c>
    </row>
    <row r="2527" spans="1:8" x14ac:dyDescent="0.2">
      <c r="A2527" t="s">
        <v>7</v>
      </c>
      <c r="B2527" t="s">
        <v>17</v>
      </c>
      <c r="C2527" t="str">
        <f t="shared" si="80"/>
        <v>No cumple</v>
      </c>
      <c r="D2527" s="17">
        <v>1458</v>
      </c>
      <c r="E2527" s="19" t="s">
        <v>13</v>
      </c>
      <c r="F2527">
        <v>3</v>
      </c>
      <c r="G2527">
        <v>6</v>
      </c>
      <c r="H2527">
        <f t="shared" si="79"/>
        <v>-3</v>
      </c>
    </row>
    <row r="2528" spans="1:8" x14ac:dyDescent="0.2">
      <c r="A2528" t="s">
        <v>7</v>
      </c>
      <c r="B2528" t="s">
        <v>17</v>
      </c>
      <c r="C2528" t="str">
        <f t="shared" si="80"/>
        <v>No cumple</v>
      </c>
      <c r="D2528" s="17">
        <v>1524</v>
      </c>
      <c r="E2528" s="19" t="s">
        <v>13</v>
      </c>
      <c r="F2528">
        <v>3</v>
      </c>
      <c r="G2528">
        <v>6</v>
      </c>
      <c r="H2528">
        <f t="shared" si="79"/>
        <v>-3</v>
      </c>
    </row>
    <row r="2529" spans="1:8" x14ac:dyDescent="0.2">
      <c r="A2529" t="s">
        <v>7</v>
      </c>
      <c r="B2529" t="s">
        <v>17</v>
      </c>
      <c r="C2529" t="str">
        <f t="shared" si="80"/>
        <v>Cumple</v>
      </c>
      <c r="D2529" s="17">
        <v>1774</v>
      </c>
      <c r="E2529" s="19" t="s">
        <v>13</v>
      </c>
      <c r="F2529" s="12">
        <v>6</v>
      </c>
      <c r="G2529">
        <v>6</v>
      </c>
      <c r="H2529">
        <f t="shared" si="79"/>
        <v>0</v>
      </c>
    </row>
    <row r="2530" spans="1:8" x14ac:dyDescent="0.2">
      <c r="A2530" t="s">
        <v>7</v>
      </c>
      <c r="B2530" t="s">
        <v>17</v>
      </c>
      <c r="C2530" t="str">
        <f t="shared" si="80"/>
        <v>No cumple</v>
      </c>
      <c r="D2530" s="17">
        <v>1857</v>
      </c>
      <c r="E2530" s="19" t="s">
        <v>13</v>
      </c>
      <c r="F2530">
        <v>3</v>
      </c>
      <c r="G2530">
        <v>6</v>
      </c>
      <c r="H2530">
        <f t="shared" si="79"/>
        <v>-3</v>
      </c>
    </row>
    <row r="2531" spans="1:8" x14ac:dyDescent="0.2">
      <c r="A2531" t="s">
        <v>7</v>
      </c>
      <c r="B2531" t="s">
        <v>17</v>
      </c>
      <c r="C2531" t="str">
        <f t="shared" si="80"/>
        <v>No cumple</v>
      </c>
      <c r="D2531" s="17">
        <v>2051</v>
      </c>
      <c r="E2531" s="19" t="s">
        <v>13</v>
      </c>
      <c r="F2531">
        <v>3</v>
      </c>
      <c r="G2531">
        <v>6</v>
      </c>
      <c r="H2531">
        <f t="shared" si="79"/>
        <v>-3</v>
      </c>
    </row>
    <row r="2532" spans="1:8" x14ac:dyDescent="0.2">
      <c r="A2532" t="s">
        <v>7</v>
      </c>
      <c r="B2532" t="s">
        <v>17</v>
      </c>
      <c r="C2532" t="str">
        <f t="shared" si="80"/>
        <v>Cumple</v>
      </c>
      <c r="D2532" s="17">
        <v>2722</v>
      </c>
      <c r="E2532" s="19" t="s">
        <v>13</v>
      </c>
      <c r="F2532" s="12">
        <v>6</v>
      </c>
      <c r="G2532">
        <v>6</v>
      </c>
      <c r="H2532">
        <f t="shared" si="79"/>
        <v>0</v>
      </c>
    </row>
    <row r="2533" spans="1:8" x14ac:dyDescent="0.2">
      <c r="A2533" t="s">
        <v>7</v>
      </c>
      <c r="B2533" t="s">
        <v>17</v>
      </c>
      <c r="C2533" t="str">
        <f t="shared" si="80"/>
        <v>Cumple</v>
      </c>
      <c r="D2533" s="17">
        <v>2850</v>
      </c>
      <c r="E2533" s="19" t="s">
        <v>13</v>
      </c>
      <c r="F2533" s="12">
        <v>6</v>
      </c>
      <c r="G2533">
        <v>6</v>
      </c>
      <c r="H2533">
        <f t="shared" si="79"/>
        <v>0</v>
      </c>
    </row>
    <row r="2534" spans="1:8" x14ac:dyDescent="0.2">
      <c r="A2534" t="s">
        <v>7</v>
      </c>
      <c r="B2534" t="s">
        <v>17</v>
      </c>
      <c r="C2534" t="str">
        <f t="shared" si="80"/>
        <v>No cumple</v>
      </c>
      <c r="D2534" s="17">
        <v>3541</v>
      </c>
      <c r="E2534" s="19" t="s">
        <v>13</v>
      </c>
      <c r="F2534">
        <v>3</v>
      </c>
      <c r="G2534">
        <v>6</v>
      </c>
      <c r="H2534">
        <f t="shared" si="79"/>
        <v>-3</v>
      </c>
    </row>
    <row r="2535" spans="1:8" x14ac:dyDescent="0.2">
      <c r="A2535" t="s">
        <v>7</v>
      </c>
      <c r="B2535" t="s">
        <v>17</v>
      </c>
      <c r="C2535" t="str">
        <f t="shared" si="80"/>
        <v>No cumple</v>
      </c>
      <c r="D2535" s="17">
        <v>3565</v>
      </c>
      <c r="E2535" s="19" t="s">
        <v>13</v>
      </c>
      <c r="F2535">
        <v>3</v>
      </c>
      <c r="G2535">
        <v>6</v>
      </c>
      <c r="H2535">
        <f t="shared" si="79"/>
        <v>-3</v>
      </c>
    </row>
    <row r="2536" spans="1:8" x14ac:dyDescent="0.2">
      <c r="A2536" t="s">
        <v>7</v>
      </c>
      <c r="B2536" t="s">
        <v>17</v>
      </c>
      <c r="C2536" t="str">
        <f t="shared" si="80"/>
        <v>No cumple</v>
      </c>
      <c r="D2536" s="17">
        <v>3579</v>
      </c>
      <c r="E2536" s="19" t="s">
        <v>13</v>
      </c>
      <c r="F2536">
        <v>3</v>
      </c>
      <c r="G2536">
        <v>6</v>
      </c>
      <c r="H2536">
        <f t="shared" si="79"/>
        <v>-3</v>
      </c>
    </row>
    <row r="2537" spans="1:8" x14ac:dyDescent="0.2">
      <c r="A2537" t="s">
        <v>7</v>
      </c>
      <c r="B2537" t="s">
        <v>17</v>
      </c>
      <c r="C2537" t="str">
        <f t="shared" si="80"/>
        <v>No cumple</v>
      </c>
      <c r="D2537" s="17">
        <v>3736</v>
      </c>
      <c r="E2537" s="19" t="s">
        <v>13</v>
      </c>
      <c r="F2537">
        <v>3</v>
      </c>
      <c r="G2537">
        <v>6</v>
      </c>
      <c r="H2537">
        <f t="shared" si="79"/>
        <v>-3</v>
      </c>
    </row>
    <row r="2538" spans="1:8" x14ac:dyDescent="0.2">
      <c r="A2538" t="s">
        <v>7</v>
      </c>
      <c r="B2538" t="s">
        <v>17</v>
      </c>
      <c r="C2538" t="str">
        <f t="shared" si="80"/>
        <v>No cumple</v>
      </c>
      <c r="D2538" s="17">
        <v>3740</v>
      </c>
      <c r="E2538" s="19" t="s">
        <v>13</v>
      </c>
      <c r="F2538">
        <v>3</v>
      </c>
      <c r="G2538">
        <v>6</v>
      </c>
      <c r="H2538">
        <f t="shared" si="79"/>
        <v>-3</v>
      </c>
    </row>
    <row r="2539" spans="1:8" x14ac:dyDescent="0.2">
      <c r="A2539" t="s">
        <v>7</v>
      </c>
      <c r="B2539" t="s">
        <v>17</v>
      </c>
      <c r="C2539" t="str">
        <f t="shared" si="80"/>
        <v>No cumple</v>
      </c>
      <c r="D2539" s="17">
        <v>3769</v>
      </c>
      <c r="E2539" s="19" t="s">
        <v>13</v>
      </c>
      <c r="F2539">
        <v>3</v>
      </c>
      <c r="G2539">
        <v>6</v>
      </c>
      <c r="H2539">
        <f t="shared" si="79"/>
        <v>-3</v>
      </c>
    </row>
    <row r="2540" spans="1:8" x14ac:dyDescent="0.2">
      <c r="A2540" t="s">
        <v>7</v>
      </c>
      <c r="B2540" t="s">
        <v>17</v>
      </c>
      <c r="C2540" t="str">
        <f t="shared" si="80"/>
        <v>No cumple</v>
      </c>
      <c r="D2540" s="17">
        <v>3793</v>
      </c>
      <c r="E2540" s="19" t="s">
        <v>13</v>
      </c>
      <c r="F2540">
        <v>3</v>
      </c>
      <c r="G2540">
        <v>6</v>
      </c>
      <c r="H2540">
        <f t="shared" si="79"/>
        <v>-3</v>
      </c>
    </row>
    <row r="2541" spans="1:8" x14ac:dyDescent="0.2">
      <c r="A2541" t="s">
        <v>7</v>
      </c>
      <c r="B2541" t="s">
        <v>17</v>
      </c>
      <c r="C2541" t="str">
        <f t="shared" si="80"/>
        <v>No cumple</v>
      </c>
      <c r="D2541" s="17">
        <v>3796</v>
      </c>
      <c r="E2541" s="19" t="s">
        <v>13</v>
      </c>
      <c r="F2541">
        <v>3</v>
      </c>
      <c r="G2541">
        <v>6</v>
      </c>
      <c r="H2541">
        <f t="shared" si="79"/>
        <v>-3</v>
      </c>
    </row>
    <row r="2542" spans="1:8" x14ac:dyDescent="0.2">
      <c r="A2542" t="s">
        <v>7</v>
      </c>
      <c r="B2542" t="s">
        <v>17</v>
      </c>
      <c r="C2542" t="str">
        <f t="shared" si="80"/>
        <v>No cumple</v>
      </c>
      <c r="D2542" s="17">
        <v>3817</v>
      </c>
      <c r="E2542" s="19" t="s">
        <v>13</v>
      </c>
      <c r="F2542">
        <v>3</v>
      </c>
      <c r="G2542">
        <v>6</v>
      </c>
      <c r="H2542">
        <f t="shared" si="79"/>
        <v>-3</v>
      </c>
    </row>
    <row r="2543" spans="1:8" x14ac:dyDescent="0.2">
      <c r="A2543" t="s">
        <v>7</v>
      </c>
      <c r="B2543" t="s">
        <v>17</v>
      </c>
      <c r="C2543" t="str">
        <f t="shared" si="80"/>
        <v>No cumple</v>
      </c>
      <c r="D2543" s="17">
        <v>3833</v>
      </c>
      <c r="E2543" s="19" t="s">
        <v>13</v>
      </c>
      <c r="F2543">
        <v>3</v>
      </c>
      <c r="G2543">
        <v>6</v>
      </c>
      <c r="H2543">
        <f t="shared" si="79"/>
        <v>-3</v>
      </c>
    </row>
    <row r="2544" spans="1:8" x14ac:dyDescent="0.2">
      <c r="A2544" t="s">
        <v>7</v>
      </c>
      <c r="B2544" t="s">
        <v>17</v>
      </c>
      <c r="C2544" t="str">
        <f t="shared" si="80"/>
        <v>No cumple</v>
      </c>
      <c r="D2544" s="17">
        <v>9743</v>
      </c>
      <c r="E2544" s="19" t="s">
        <v>13</v>
      </c>
      <c r="F2544">
        <v>3</v>
      </c>
      <c r="G2544">
        <v>6</v>
      </c>
      <c r="H2544">
        <f t="shared" si="79"/>
        <v>-3</v>
      </c>
    </row>
    <row r="2545" spans="1:8" x14ac:dyDescent="0.2">
      <c r="A2545" t="s">
        <v>7</v>
      </c>
      <c r="B2545" t="s">
        <v>17</v>
      </c>
      <c r="C2545" t="str">
        <f t="shared" si="80"/>
        <v>Cumple</v>
      </c>
      <c r="D2545" s="17">
        <v>9991</v>
      </c>
      <c r="E2545" s="19" t="s">
        <v>13</v>
      </c>
      <c r="F2545" s="12">
        <v>6</v>
      </c>
      <c r="G2545">
        <v>6</v>
      </c>
      <c r="H2545">
        <f t="shared" si="79"/>
        <v>0</v>
      </c>
    </row>
    <row r="2546" spans="1:8" x14ac:dyDescent="0.2">
      <c r="A2546" t="s">
        <v>7</v>
      </c>
      <c r="B2546" t="s">
        <v>17</v>
      </c>
      <c r="C2546" t="str">
        <f t="shared" si="80"/>
        <v>Cumple</v>
      </c>
      <c r="D2546" s="17">
        <v>207</v>
      </c>
      <c r="E2546" s="19" t="s">
        <v>13</v>
      </c>
      <c r="F2546" s="12">
        <v>6</v>
      </c>
      <c r="G2546">
        <v>6</v>
      </c>
      <c r="H2546">
        <f t="shared" si="79"/>
        <v>0</v>
      </c>
    </row>
    <row r="2547" spans="1:8" x14ac:dyDescent="0.2">
      <c r="A2547" t="s">
        <v>7</v>
      </c>
      <c r="B2547" t="s">
        <v>17</v>
      </c>
      <c r="C2547" t="str">
        <f t="shared" si="80"/>
        <v>Cumple</v>
      </c>
      <c r="D2547" s="17">
        <v>830</v>
      </c>
      <c r="E2547" s="19" t="s">
        <v>13</v>
      </c>
      <c r="F2547" s="31">
        <v>6</v>
      </c>
      <c r="G2547">
        <v>6</v>
      </c>
      <c r="H2547">
        <f t="shared" si="79"/>
        <v>0</v>
      </c>
    </row>
    <row r="2548" spans="1:8" x14ac:dyDescent="0.2">
      <c r="A2548" t="s">
        <v>7</v>
      </c>
      <c r="B2548" t="s">
        <v>17</v>
      </c>
      <c r="C2548" t="str">
        <f t="shared" si="80"/>
        <v>Cumple</v>
      </c>
      <c r="D2548" s="17">
        <v>847</v>
      </c>
      <c r="E2548" s="19" t="s">
        <v>13</v>
      </c>
      <c r="F2548" s="12">
        <v>6</v>
      </c>
      <c r="G2548">
        <v>6</v>
      </c>
      <c r="H2548">
        <f t="shared" si="79"/>
        <v>0</v>
      </c>
    </row>
    <row r="2549" spans="1:8" x14ac:dyDescent="0.2">
      <c r="A2549" t="s">
        <v>7</v>
      </c>
      <c r="B2549" t="s">
        <v>17</v>
      </c>
      <c r="C2549" t="str">
        <f t="shared" si="80"/>
        <v>Cumple</v>
      </c>
      <c r="D2549" s="17">
        <v>877</v>
      </c>
      <c r="E2549" s="19" t="s">
        <v>13</v>
      </c>
      <c r="F2549" s="12">
        <v>6</v>
      </c>
      <c r="G2549">
        <v>6</v>
      </c>
      <c r="H2549">
        <f t="shared" si="79"/>
        <v>0</v>
      </c>
    </row>
    <row r="2550" spans="1:8" x14ac:dyDescent="0.2">
      <c r="A2550" t="s">
        <v>7</v>
      </c>
      <c r="B2550" t="s">
        <v>17</v>
      </c>
      <c r="C2550" t="str">
        <f t="shared" si="80"/>
        <v>No cumple</v>
      </c>
      <c r="D2550" s="17">
        <v>988</v>
      </c>
      <c r="E2550" s="19" t="s">
        <v>13</v>
      </c>
      <c r="F2550">
        <v>2</v>
      </c>
      <c r="G2550">
        <v>6</v>
      </c>
      <c r="H2550">
        <f t="shared" si="79"/>
        <v>-4</v>
      </c>
    </row>
    <row r="2551" spans="1:8" x14ac:dyDescent="0.2">
      <c r="A2551" t="s">
        <v>7</v>
      </c>
      <c r="B2551" t="s">
        <v>17</v>
      </c>
      <c r="C2551" t="str">
        <f t="shared" si="80"/>
        <v>No cumple</v>
      </c>
      <c r="D2551" s="17">
        <v>1400</v>
      </c>
      <c r="E2551" s="19" t="s">
        <v>13</v>
      </c>
      <c r="F2551">
        <v>2</v>
      </c>
      <c r="G2551">
        <v>6</v>
      </c>
      <c r="H2551">
        <f t="shared" si="79"/>
        <v>-4</v>
      </c>
    </row>
    <row r="2552" spans="1:8" x14ac:dyDescent="0.2">
      <c r="A2552" t="s">
        <v>7</v>
      </c>
      <c r="B2552" t="s">
        <v>17</v>
      </c>
      <c r="C2552" t="str">
        <f t="shared" si="80"/>
        <v>Cumple</v>
      </c>
      <c r="D2552" s="17">
        <v>1445</v>
      </c>
      <c r="E2552" s="19" t="s">
        <v>13</v>
      </c>
      <c r="F2552" s="12">
        <v>6</v>
      </c>
      <c r="G2552">
        <v>6</v>
      </c>
      <c r="H2552">
        <f t="shared" si="79"/>
        <v>0</v>
      </c>
    </row>
    <row r="2553" spans="1:8" x14ac:dyDescent="0.2">
      <c r="A2553" t="s">
        <v>7</v>
      </c>
      <c r="B2553" t="s">
        <v>17</v>
      </c>
      <c r="C2553" t="str">
        <f t="shared" si="80"/>
        <v>No cumple</v>
      </c>
      <c r="D2553" s="17">
        <v>1584</v>
      </c>
      <c r="E2553" s="19" t="s">
        <v>13</v>
      </c>
      <c r="F2553">
        <v>2</v>
      </c>
      <c r="G2553">
        <v>6</v>
      </c>
      <c r="H2553">
        <f t="shared" si="79"/>
        <v>-4</v>
      </c>
    </row>
    <row r="2554" spans="1:8" x14ac:dyDescent="0.2">
      <c r="A2554" t="s">
        <v>7</v>
      </c>
      <c r="B2554" t="s">
        <v>17</v>
      </c>
      <c r="C2554" t="str">
        <f t="shared" si="80"/>
        <v>No cumple</v>
      </c>
      <c r="D2554" s="17">
        <v>1673</v>
      </c>
      <c r="E2554" s="19" t="s">
        <v>13</v>
      </c>
      <c r="F2554">
        <v>2</v>
      </c>
      <c r="G2554">
        <v>6</v>
      </c>
      <c r="H2554">
        <f t="shared" si="79"/>
        <v>-4</v>
      </c>
    </row>
    <row r="2555" spans="1:8" x14ac:dyDescent="0.2">
      <c r="A2555" t="s">
        <v>7</v>
      </c>
      <c r="B2555" t="s">
        <v>17</v>
      </c>
      <c r="C2555" t="str">
        <f t="shared" si="80"/>
        <v>No cumple</v>
      </c>
      <c r="D2555" s="17">
        <v>1828</v>
      </c>
      <c r="E2555" s="19" t="s">
        <v>13</v>
      </c>
      <c r="F2555">
        <v>2</v>
      </c>
      <c r="G2555">
        <v>6</v>
      </c>
      <c r="H2555">
        <f t="shared" si="79"/>
        <v>-4</v>
      </c>
    </row>
    <row r="2556" spans="1:8" x14ac:dyDescent="0.2">
      <c r="A2556" t="s">
        <v>7</v>
      </c>
      <c r="B2556" t="s">
        <v>17</v>
      </c>
      <c r="C2556" t="str">
        <f t="shared" si="80"/>
        <v>Cumple</v>
      </c>
      <c r="D2556" s="17">
        <v>2563</v>
      </c>
      <c r="E2556" s="19" t="s">
        <v>13</v>
      </c>
      <c r="F2556" s="12">
        <v>6</v>
      </c>
      <c r="G2556">
        <v>6</v>
      </c>
      <c r="H2556">
        <f t="shared" si="79"/>
        <v>0</v>
      </c>
    </row>
    <row r="2557" spans="1:8" x14ac:dyDescent="0.2">
      <c r="A2557" t="s">
        <v>7</v>
      </c>
      <c r="B2557" t="s">
        <v>17</v>
      </c>
      <c r="C2557" t="str">
        <f t="shared" si="80"/>
        <v>No cumple</v>
      </c>
      <c r="D2557" s="17">
        <v>2893</v>
      </c>
      <c r="E2557" s="19" t="s">
        <v>13</v>
      </c>
      <c r="F2557">
        <v>2</v>
      </c>
      <c r="G2557">
        <v>6</v>
      </c>
      <c r="H2557">
        <f t="shared" si="79"/>
        <v>-4</v>
      </c>
    </row>
    <row r="2558" spans="1:8" x14ac:dyDescent="0.2">
      <c r="A2558" t="s">
        <v>7</v>
      </c>
      <c r="B2558" t="s">
        <v>17</v>
      </c>
      <c r="C2558" t="str">
        <f t="shared" si="80"/>
        <v>No cumple</v>
      </c>
      <c r="D2558" s="17">
        <v>3562</v>
      </c>
      <c r="E2558" s="19" t="s">
        <v>13</v>
      </c>
      <c r="F2558">
        <v>2</v>
      </c>
      <c r="G2558">
        <v>6</v>
      </c>
      <c r="H2558">
        <f t="shared" si="79"/>
        <v>-4</v>
      </c>
    </row>
    <row r="2559" spans="1:8" x14ac:dyDescent="0.2">
      <c r="A2559" t="s">
        <v>7</v>
      </c>
      <c r="B2559" t="s">
        <v>17</v>
      </c>
      <c r="C2559" t="str">
        <f t="shared" si="80"/>
        <v>No cumple</v>
      </c>
      <c r="D2559" s="17">
        <v>3594</v>
      </c>
      <c r="E2559" s="19" t="s">
        <v>13</v>
      </c>
      <c r="F2559">
        <v>2</v>
      </c>
      <c r="G2559">
        <v>6</v>
      </c>
      <c r="H2559">
        <f t="shared" si="79"/>
        <v>-4</v>
      </c>
    </row>
    <row r="2560" spans="1:8" x14ac:dyDescent="0.2">
      <c r="A2560" t="s">
        <v>7</v>
      </c>
      <c r="B2560" t="s">
        <v>17</v>
      </c>
      <c r="C2560" t="str">
        <f t="shared" si="80"/>
        <v>No cumple</v>
      </c>
      <c r="D2560" s="17">
        <v>3731</v>
      </c>
      <c r="E2560" s="19" t="s">
        <v>13</v>
      </c>
      <c r="F2560">
        <v>2</v>
      </c>
      <c r="G2560">
        <v>6</v>
      </c>
      <c r="H2560">
        <f t="shared" si="79"/>
        <v>-4</v>
      </c>
    </row>
    <row r="2561" spans="1:8" x14ac:dyDescent="0.2">
      <c r="A2561" t="s">
        <v>7</v>
      </c>
      <c r="B2561" t="s">
        <v>17</v>
      </c>
      <c r="C2561" t="str">
        <f t="shared" si="80"/>
        <v>Cumple</v>
      </c>
      <c r="D2561" s="17">
        <v>3771</v>
      </c>
      <c r="E2561" s="19" t="s">
        <v>13</v>
      </c>
      <c r="F2561" s="9">
        <v>6</v>
      </c>
      <c r="G2561">
        <v>6</v>
      </c>
      <c r="H2561">
        <f t="shared" si="79"/>
        <v>0</v>
      </c>
    </row>
    <row r="2562" spans="1:8" x14ac:dyDescent="0.2">
      <c r="A2562" t="s">
        <v>7</v>
      </c>
      <c r="B2562" t="s">
        <v>17</v>
      </c>
      <c r="C2562" t="str">
        <f t="shared" si="80"/>
        <v>No cumple</v>
      </c>
      <c r="D2562" s="17">
        <v>3814</v>
      </c>
      <c r="E2562" s="19" t="s">
        <v>13</v>
      </c>
      <c r="F2562">
        <v>2</v>
      </c>
      <c r="G2562">
        <v>6</v>
      </c>
      <c r="H2562">
        <f t="shared" si="79"/>
        <v>-4</v>
      </c>
    </row>
    <row r="2563" spans="1:8" x14ac:dyDescent="0.2">
      <c r="A2563" t="s">
        <v>7</v>
      </c>
      <c r="B2563" t="s">
        <v>17</v>
      </c>
      <c r="C2563" t="str">
        <f t="shared" si="80"/>
        <v>No cumple</v>
      </c>
      <c r="D2563" s="17">
        <v>9744</v>
      </c>
      <c r="E2563" s="19" t="s">
        <v>13</v>
      </c>
      <c r="F2563">
        <v>2</v>
      </c>
      <c r="G2563">
        <v>6</v>
      </c>
      <c r="H2563">
        <f t="shared" ref="H2563:H2626" si="81">F2563-G2563</f>
        <v>-4</v>
      </c>
    </row>
    <row r="2564" spans="1:8" x14ac:dyDescent="0.2">
      <c r="A2564" t="s">
        <v>7</v>
      </c>
      <c r="B2564" t="s">
        <v>17</v>
      </c>
      <c r="C2564" t="str">
        <f t="shared" ref="C2564:C2627" si="82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>
        <f t="shared" si="81"/>
        <v>-4</v>
      </c>
    </row>
    <row r="2565" spans="1:8" x14ac:dyDescent="0.2">
      <c r="A2565" t="s">
        <v>7</v>
      </c>
      <c r="B2565" t="s">
        <v>17</v>
      </c>
      <c r="C2565" t="str">
        <f t="shared" si="82"/>
        <v>No cumple</v>
      </c>
      <c r="D2565" s="17">
        <v>9834</v>
      </c>
      <c r="E2565" s="19" t="s">
        <v>13</v>
      </c>
      <c r="F2565">
        <v>2</v>
      </c>
      <c r="G2565">
        <v>6</v>
      </c>
      <c r="H2565">
        <f t="shared" si="81"/>
        <v>-4</v>
      </c>
    </row>
    <row r="2566" spans="1:8" x14ac:dyDescent="0.2">
      <c r="A2566" t="s">
        <v>7</v>
      </c>
      <c r="B2566" t="s">
        <v>17</v>
      </c>
      <c r="C2566" t="str">
        <f t="shared" si="82"/>
        <v>No cumple</v>
      </c>
      <c r="D2566" s="17">
        <v>9849</v>
      </c>
      <c r="E2566" s="19" t="s">
        <v>13</v>
      </c>
      <c r="F2566">
        <v>2</v>
      </c>
      <c r="G2566">
        <v>6</v>
      </c>
      <c r="H2566">
        <f t="shared" si="81"/>
        <v>-4</v>
      </c>
    </row>
    <row r="2567" spans="1:8" x14ac:dyDescent="0.2">
      <c r="A2567" t="s">
        <v>7</v>
      </c>
      <c r="B2567" t="s">
        <v>17</v>
      </c>
      <c r="C2567" t="str">
        <f t="shared" si="82"/>
        <v>Cumple</v>
      </c>
      <c r="D2567" s="17">
        <v>3863</v>
      </c>
      <c r="E2567" s="19" t="s">
        <v>13</v>
      </c>
      <c r="F2567" s="12">
        <v>6</v>
      </c>
      <c r="G2567">
        <v>6</v>
      </c>
      <c r="H2567">
        <f t="shared" si="81"/>
        <v>0</v>
      </c>
    </row>
    <row r="2568" spans="1:8" x14ac:dyDescent="0.2">
      <c r="A2568" t="s">
        <v>7</v>
      </c>
      <c r="B2568" t="s">
        <v>17</v>
      </c>
      <c r="C2568" t="str">
        <f t="shared" si="82"/>
        <v>Cumple</v>
      </c>
      <c r="D2568" s="17">
        <v>227</v>
      </c>
      <c r="E2568" s="19" t="s">
        <v>13</v>
      </c>
      <c r="F2568" s="12">
        <v>6</v>
      </c>
      <c r="G2568">
        <v>6</v>
      </c>
      <c r="H2568">
        <f t="shared" si="81"/>
        <v>0</v>
      </c>
    </row>
    <row r="2569" spans="1:8" x14ac:dyDescent="0.2">
      <c r="A2569" t="s">
        <v>7</v>
      </c>
      <c r="B2569" t="s">
        <v>17</v>
      </c>
      <c r="C2569" t="str">
        <f t="shared" si="82"/>
        <v>No cumple</v>
      </c>
      <c r="D2569" s="17">
        <v>245</v>
      </c>
      <c r="E2569" s="19" t="s">
        <v>13</v>
      </c>
      <c r="F2569">
        <v>1</v>
      </c>
      <c r="G2569">
        <v>6</v>
      </c>
      <c r="H2569">
        <f t="shared" si="81"/>
        <v>-5</v>
      </c>
    </row>
    <row r="2570" spans="1:8" x14ac:dyDescent="0.2">
      <c r="A2570" t="s">
        <v>7</v>
      </c>
      <c r="B2570" t="s">
        <v>17</v>
      </c>
      <c r="C2570" t="str">
        <f t="shared" si="82"/>
        <v>No cumple</v>
      </c>
      <c r="D2570" s="17">
        <v>706</v>
      </c>
      <c r="E2570" s="19" t="s">
        <v>13</v>
      </c>
      <c r="F2570">
        <v>1</v>
      </c>
      <c r="G2570">
        <v>6</v>
      </c>
      <c r="H2570">
        <f t="shared" si="81"/>
        <v>-5</v>
      </c>
    </row>
    <row r="2571" spans="1:8" x14ac:dyDescent="0.2">
      <c r="A2571" t="s">
        <v>7</v>
      </c>
      <c r="B2571" t="s">
        <v>17</v>
      </c>
      <c r="C2571" t="str">
        <f t="shared" si="82"/>
        <v>Cumple</v>
      </c>
      <c r="D2571" s="17">
        <v>715</v>
      </c>
      <c r="E2571" s="19" t="s">
        <v>13</v>
      </c>
      <c r="F2571" s="12">
        <v>6</v>
      </c>
      <c r="G2571">
        <v>6</v>
      </c>
      <c r="H2571">
        <f t="shared" si="81"/>
        <v>0</v>
      </c>
    </row>
    <row r="2572" spans="1:8" x14ac:dyDescent="0.2">
      <c r="A2572" t="s">
        <v>7</v>
      </c>
      <c r="B2572" t="s">
        <v>17</v>
      </c>
      <c r="C2572" t="str">
        <f t="shared" si="82"/>
        <v>Cumple</v>
      </c>
      <c r="D2572" s="17">
        <v>807</v>
      </c>
      <c r="E2572" s="19" t="s">
        <v>13</v>
      </c>
      <c r="F2572" s="12">
        <v>6</v>
      </c>
      <c r="G2572">
        <v>6</v>
      </c>
      <c r="H2572">
        <f t="shared" si="81"/>
        <v>0</v>
      </c>
    </row>
    <row r="2573" spans="1:8" x14ac:dyDescent="0.2">
      <c r="A2573" t="s">
        <v>7</v>
      </c>
      <c r="B2573" t="s">
        <v>17</v>
      </c>
      <c r="C2573" t="str">
        <f t="shared" si="82"/>
        <v>Cumple</v>
      </c>
      <c r="D2573" s="17">
        <v>926</v>
      </c>
      <c r="E2573" s="19" t="s">
        <v>13</v>
      </c>
      <c r="F2573" s="12">
        <v>6</v>
      </c>
      <c r="G2573">
        <v>6</v>
      </c>
      <c r="H2573">
        <f t="shared" si="81"/>
        <v>0</v>
      </c>
    </row>
    <row r="2574" spans="1:8" x14ac:dyDescent="0.2">
      <c r="A2574" t="s">
        <v>7</v>
      </c>
      <c r="B2574" t="s">
        <v>17</v>
      </c>
      <c r="C2574" t="str">
        <f t="shared" si="82"/>
        <v>No cumple</v>
      </c>
      <c r="D2574" s="17">
        <v>1441</v>
      </c>
      <c r="E2574" s="19" t="s">
        <v>13</v>
      </c>
      <c r="F2574">
        <v>1</v>
      </c>
      <c r="G2574">
        <v>6</v>
      </c>
      <c r="H2574">
        <f t="shared" si="81"/>
        <v>-5</v>
      </c>
    </row>
    <row r="2575" spans="1:8" x14ac:dyDescent="0.2">
      <c r="A2575" t="s">
        <v>7</v>
      </c>
      <c r="B2575" t="s">
        <v>17</v>
      </c>
      <c r="C2575" t="str">
        <f t="shared" si="82"/>
        <v>No cumple</v>
      </c>
      <c r="D2575" s="17">
        <v>1502</v>
      </c>
      <c r="E2575" s="19" t="s">
        <v>13</v>
      </c>
      <c r="F2575">
        <v>1</v>
      </c>
      <c r="G2575">
        <v>6</v>
      </c>
      <c r="H2575">
        <f t="shared" si="81"/>
        <v>-5</v>
      </c>
    </row>
    <row r="2576" spans="1:8" x14ac:dyDescent="0.2">
      <c r="A2576" t="s">
        <v>7</v>
      </c>
      <c r="B2576" t="s">
        <v>17</v>
      </c>
      <c r="C2576" t="str">
        <f t="shared" si="82"/>
        <v>No cumple</v>
      </c>
      <c r="D2576" s="17">
        <v>1567</v>
      </c>
      <c r="E2576" s="19" t="s">
        <v>13</v>
      </c>
      <c r="F2576">
        <v>1</v>
      </c>
      <c r="G2576">
        <v>6</v>
      </c>
      <c r="H2576">
        <f t="shared" si="81"/>
        <v>-5</v>
      </c>
    </row>
    <row r="2577" spans="1:8" x14ac:dyDescent="0.2">
      <c r="A2577" t="s">
        <v>7</v>
      </c>
      <c r="B2577" t="s">
        <v>17</v>
      </c>
      <c r="C2577" t="str">
        <f t="shared" si="82"/>
        <v>No cumple</v>
      </c>
      <c r="D2577" s="17">
        <v>1603</v>
      </c>
      <c r="E2577" s="19" t="s">
        <v>13</v>
      </c>
      <c r="F2577">
        <v>1</v>
      </c>
      <c r="G2577">
        <v>6</v>
      </c>
      <c r="H2577">
        <f t="shared" si="81"/>
        <v>-5</v>
      </c>
    </row>
    <row r="2578" spans="1:8" x14ac:dyDescent="0.2">
      <c r="A2578" t="s">
        <v>7</v>
      </c>
      <c r="B2578" t="s">
        <v>17</v>
      </c>
      <c r="C2578" t="str">
        <f t="shared" si="82"/>
        <v>Cumple</v>
      </c>
      <c r="D2578" s="17">
        <v>1698</v>
      </c>
      <c r="E2578" s="19" t="s">
        <v>13</v>
      </c>
      <c r="F2578" s="12">
        <v>6</v>
      </c>
      <c r="G2578">
        <v>6</v>
      </c>
      <c r="H2578">
        <f t="shared" si="81"/>
        <v>0</v>
      </c>
    </row>
    <row r="2579" spans="1:8" x14ac:dyDescent="0.2">
      <c r="A2579" t="s">
        <v>7</v>
      </c>
      <c r="B2579" t="s">
        <v>17</v>
      </c>
      <c r="C2579" t="str">
        <f t="shared" si="82"/>
        <v>Cumple</v>
      </c>
      <c r="D2579" s="17">
        <v>1792</v>
      </c>
      <c r="E2579" s="19" t="s">
        <v>13</v>
      </c>
      <c r="F2579" s="12">
        <v>6</v>
      </c>
      <c r="G2579">
        <v>6</v>
      </c>
      <c r="H2579">
        <f t="shared" si="81"/>
        <v>0</v>
      </c>
    </row>
    <row r="2580" spans="1:8" x14ac:dyDescent="0.2">
      <c r="A2580" t="s">
        <v>7</v>
      </c>
      <c r="B2580" t="s">
        <v>17</v>
      </c>
      <c r="C2580" t="str">
        <f t="shared" si="82"/>
        <v>Cumple</v>
      </c>
      <c r="D2580" s="17">
        <v>2549</v>
      </c>
      <c r="E2580" s="19" t="s">
        <v>13</v>
      </c>
      <c r="F2580" s="12">
        <v>6</v>
      </c>
      <c r="G2580">
        <v>6</v>
      </c>
      <c r="H2580">
        <f t="shared" si="81"/>
        <v>0</v>
      </c>
    </row>
    <row r="2581" spans="1:8" x14ac:dyDescent="0.2">
      <c r="A2581" t="s">
        <v>7</v>
      </c>
      <c r="B2581" t="s">
        <v>17</v>
      </c>
      <c r="C2581" t="str">
        <f t="shared" si="82"/>
        <v>No cumple</v>
      </c>
      <c r="D2581" s="17">
        <v>2941</v>
      </c>
      <c r="E2581" s="19" t="s">
        <v>13</v>
      </c>
      <c r="F2581">
        <v>1</v>
      </c>
      <c r="G2581">
        <v>6</v>
      </c>
      <c r="H2581">
        <f t="shared" si="81"/>
        <v>-5</v>
      </c>
    </row>
    <row r="2582" spans="1:8" x14ac:dyDescent="0.2">
      <c r="A2582" t="s">
        <v>7</v>
      </c>
      <c r="B2582" t="s">
        <v>17</v>
      </c>
      <c r="C2582" t="str">
        <f t="shared" si="82"/>
        <v>Cumple</v>
      </c>
      <c r="D2582" s="17">
        <v>3694</v>
      </c>
      <c r="E2582" s="19" t="s">
        <v>13</v>
      </c>
      <c r="F2582" s="31">
        <v>6</v>
      </c>
      <c r="G2582">
        <v>6</v>
      </c>
      <c r="H2582">
        <f t="shared" si="81"/>
        <v>0</v>
      </c>
    </row>
    <row r="2583" spans="1:8" x14ac:dyDescent="0.2">
      <c r="A2583" t="s">
        <v>7</v>
      </c>
      <c r="B2583" t="s">
        <v>17</v>
      </c>
      <c r="C2583" t="str">
        <f t="shared" si="82"/>
        <v>Cumple</v>
      </c>
      <c r="D2583" s="17">
        <v>3741</v>
      </c>
      <c r="E2583" s="19" t="s">
        <v>13</v>
      </c>
      <c r="F2583" s="12">
        <v>6</v>
      </c>
      <c r="G2583">
        <v>6</v>
      </c>
      <c r="H2583">
        <f t="shared" si="81"/>
        <v>0</v>
      </c>
    </row>
    <row r="2584" spans="1:8" x14ac:dyDescent="0.2">
      <c r="A2584" t="s">
        <v>7</v>
      </c>
      <c r="B2584" t="s">
        <v>17</v>
      </c>
      <c r="C2584" t="str">
        <f t="shared" si="82"/>
        <v>No cumple</v>
      </c>
      <c r="D2584" s="17">
        <v>3790</v>
      </c>
      <c r="E2584" s="19" t="s">
        <v>13</v>
      </c>
      <c r="F2584">
        <v>1</v>
      </c>
      <c r="G2584">
        <v>6</v>
      </c>
      <c r="H2584">
        <f t="shared" si="81"/>
        <v>-5</v>
      </c>
    </row>
    <row r="2585" spans="1:8" x14ac:dyDescent="0.2">
      <c r="A2585" t="s">
        <v>7</v>
      </c>
      <c r="B2585" t="s">
        <v>17</v>
      </c>
      <c r="C2585" t="str">
        <f t="shared" si="82"/>
        <v>Cumple</v>
      </c>
      <c r="D2585" s="17">
        <v>7028</v>
      </c>
      <c r="E2585" s="19" t="s">
        <v>13</v>
      </c>
      <c r="F2585" s="12">
        <v>6</v>
      </c>
      <c r="G2585">
        <v>6</v>
      </c>
      <c r="H2585">
        <f t="shared" si="81"/>
        <v>0</v>
      </c>
    </row>
    <row r="2586" spans="1:8" x14ac:dyDescent="0.2">
      <c r="A2586" t="s">
        <v>7</v>
      </c>
      <c r="B2586" t="s">
        <v>17</v>
      </c>
      <c r="C2586" t="str">
        <f t="shared" si="82"/>
        <v>Cumple</v>
      </c>
      <c r="D2586" s="17">
        <v>9490</v>
      </c>
      <c r="E2586" s="19" t="s">
        <v>13</v>
      </c>
      <c r="F2586" s="31">
        <v>6</v>
      </c>
      <c r="G2586">
        <v>6</v>
      </c>
      <c r="H2586">
        <f t="shared" si="81"/>
        <v>0</v>
      </c>
    </row>
    <row r="2587" spans="1:8" x14ac:dyDescent="0.2">
      <c r="A2587" t="s">
        <v>7</v>
      </c>
      <c r="B2587" t="s">
        <v>17</v>
      </c>
      <c r="C2587" t="str">
        <f t="shared" si="82"/>
        <v>Cumple</v>
      </c>
      <c r="D2587" s="17">
        <v>9656</v>
      </c>
      <c r="E2587" s="19" t="s">
        <v>13</v>
      </c>
      <c r="F2587" s="12">
        <v>6</v>
      </c>
      <c r="G2587">
        <v>6</v>
      </c>
      <c r="H2587">
        <f t="shared" si="81"/>
        <v>0</v>
      </c>
    </row>
    <row r="2588" spans="1:8" x14ac:dyDescent="0.2">
      <c r="A2588" t="s">
        <v>7</v>
      </c>
      <c r="B2588" t="s">
        <v>17</v>
      </c>
      <c r="C2588" t="str">
        <f t="shared" si="82"/>
        <v>No cumple</v>
      </c>
      <c r="D2588" s="17">
        <v>9921</v>
      </c>
      <c r="E2588" s="19" t="s">
        <v>13</v>
      </c>
      <c r="F2588">
        <v>1</v>
      </c>
      <c r="G2588">
        <v>6</v>
      </c>
      <c r="H2588">
        <f t="shared" si="81"/>
        <v>-5</v>
      </c>
    </row>
    <row r="2589" spans="1:8" x14ac:dyDescent="0.2">
      <c r="A2589" t="s">
        <v>7</v>
      </c>
      <c r="B2589" t="s">
        <v>17</v>
      </c>
      <c r="C2589" t="str">
        <f t="shared" si="82"/>
        <v>No cumple</v>
      </c>
      <c r="D2589" s="17">
        <v>217</v>
      </c>
      <c r="E2589" s="19" t="s">
        <v>13</v>
      </c>
      <c r="F2589">
        <v>0</v>
      </c>
      <c r="G2589">
        <v>6</v>
      </c>
      <c r="H2589">
        <f t="shared" si="81"/>
        <v>-6</v>
      </c>
    </row>
    <row r="2590" spans="1:8" x14ac:dyDescent="0.2">
      <c r="A2590" s="9" t="s">
        <v>18</v>
      </c>
      <c r="B2590" t="s">
        <v>17</v>
      </c>
      <c r="C2590" t="str">
        <f t="shared" si="82"/>
        <v>Cumple</v>
      </c>
      <c r="D2590" s="17">
        <v>223</v>
      </c>
      <c r="E2590" s="19" t="s">
        <v>13</v>
      </c>
      <c r="F2590" s="9">
        <v>13</v>
      </c>
      <c r="G2590">
        <v>6</v>
      </c>
      <c r="H2590">
        <f t="shared" si="81"/>
        <v>7</v>
      </c>
    </row>
    <row r="2591" spans="1:8" x14ac:dyDescent="0.2">
      <c r="A2591" t="s">
        <v>7</v>
      </c>
      <c r="B2591" t="s">
        <v>17</v>
      </c>
      <c r="C2591" t="str">
        <f t="shared" si="82"/>
        <v>Cumple</v>
      </c>
      <c r="D2591" s="17">
        <v>226</v>
      </c>
      <c r="E2591" s="19" t="s">
        <v>13</v>
      </c>
      <c r="F2591" s="12">
        <v>6</v>
      </c>
      <c r="G2591">
        <v>6</v>
      </c>
      <c r="H2591">
        <f t="shared" si="81"/>
        <v>0</v>
      </c>
    </row>
    <row r="2592" spans="1:8" x14ac:dyDescent="0.2">
      <c r="A2592" t="s">
        <v>7</v>
      </c>
      <c r="B2592" t="s">
        <v>17</v>
      </c>
      <c r="C2592" t="str">
        <f t="shared" si="82"/>
        <v>Cumple</v>
      </c>
      <c r="D2592" s="17">
        <v>230</v>
      </c>
      <c r="E2592" s="19" t="s">
        <v>13</v>
      </c>
      <c r="F2592" s="12">
        <v>6</v>
      </c>
      <c r="G2592">
        <v>6</v>
      </c>
      <c r="H2592">
        <f t="shared" si="81"/>
        <v>0</v>
      </c>
    </row>
    <row r="2593" spans="1:8" x14ac:dyDescent="0.2">
      <c r="A2593" t="s">
        <v>18</v>
      </c>
      <c r="B2593" t="s">
        <v>17</v>
      </c>
      <c r="C2593" t="str">
        <f t="shared" si="82"/>
        <v>No cumple</v>
      </c>
      <c r="D2593" s="17">
        <v>238</v>
      </c>
      <c r="E2593" s="19" t="s">
        <v>13</v>
      </c>
      <c r="F2593">
        <v>0</v>
      </c>
      <c r="G2593">
        <v>6</v>
      </c>
      <c r="H2593">
        <f t="shared" si="81"/>
        <v>-6</v>
      </c>
    </row>
    <row r="2594" spans="1:8" x14ac:dyDescent="0.2">
      <c r="A2594" t="s">
        <v>19</v>
      </c>
      <c r="B2594" t="s">
        <v>17</v>
      </c>
      <c r="C2594" t="str">
        <f t="shared" si="82"/>
        <v>No cumple</v>
      </c>
      <c r="D2594" s="17">
        <v>290</v>
      </c>
      <c r="E2594" s="19" t="s">
        <v>13</v>
      </c>
      <c r="F2594">
        <v>0</v>
      </c>
      <c r="G2594">
        <v>6</v>
      </c>
      <c r="H2594">
        <f t="shared" si="81"/>
        <v>-6</v>
      </c>
    </row>
    <row r="2595" spans="1:8" x14ac:dyDescent="0.2">
      <c r="A2595" t="s">
        <v>18</v>
      </c>
      <c r="B2595" t="s">
        <v>17</v>
      </c>
      <c r="C2595" t="str">
        <f t="shared" si="82"/>
        <v>No cumple</v>
      </c>
      <c r="D2595" s="17">
        <v>295</v>
      </c>
      <c r="E2595" s="19" t="s">
        <v>13</v>
      </c>
      <c r="F2595">
        <v>0</v>
      </c>
      <c r="G2595">
        <v>6</v>
      </c>
      <c r="H2595">
        <f t="shared" si="81"/>
        <v>-6</v>
      </c>
    </row>
    <row r="2596" spans="1:8" x14ac:dyDescent="0.2">
      <c r="A2596" t="s">
        <v>7</v>
      </c>
      <c r="B2596" t="s">
        <v>17</v>
      </c>
      <c r="C2596" t="str">
        <f t="shared" si="82"/>
        <v>No cumple</v>
      </c>
      <c r="D2596" s="17">
        <v>748</v>
      </c>
      <c r="E2596" s="19" t="s">
        <v>13</v>
      </c>
      <c r="F2596">
        <v>0</v>
      </c>
      <c r="G2596">
        <v>6</v>
      </c>
      <c r="H2596">
        <f t="shared" si="81"/>
        <v>-6</v>
      </c>
    </row>
    <row r="2597" spans="1:8" x14ac:dyDescent="0.2">
      <c r="A2597" t="s">
        <v>7</v>
      </c>
      <c r="B2597" t="s">
        <v>17</v>
      </c>
      <c r="C2597" t="str">
        <f t="shared" si="82"/>
        <v>Cumple</v>
      </c>
      <c r="D2597" s="17">
        <v>754</v>
      </c>
      <c r="E2597" s="19" t="s">
        <v>13</v>
      </c>
      <c r="F2597" s="31">
        <v>6</v>
      </c>
      <c r="G2597">
        <v>6</v>
      </c>
      <c r="H2597">
        <f t="shared" si="81"/>
        <v>0</v>
      </c>
    </row>
    <row r="2598" spans="1:8" x14ac:dyDescent="0.2">
      <c r="A2598" t="s">
        <v>7</v>
      </c>
      <c r="B2598" t="s">
        <v>17</v>
      </c>
      <c r="C2598" t="str">
        <f t="shared" si="82"/>
        <v>No cumple</v>
      </c>
      <c r="D2598" s="17">
        <v>756</v>
      </c>
      <c r="E2598" s="19" t="s">
        <v>13</v>
      </c>
      <c r="F2598">
        <v>0</v>
      </c>
      <c r="G2598">
        <v>6</v>
      </c>
      <c r="H2598">
        <f t="shared" si="81"/>
        <v>-6</v>
      </c>
    </row>
    <row r="2599" spans="1:8" x14ac:dyDescent="0.2">
      <c r="A2599" t="s">
        <v>7</v>
      </c>
      <c r="B2599" t="s">
        <v>17</v>
      </c>
      <c r="C2599" t="str">
        <f t="shared" si="82"/>
        <v>Cumple</v>
      </c>
      <c r="D2599" s="17">
        <v>821</v>
      </c>
      <c r="E2599" s="19" t="s">
        <v>13</v>
      </c>
      <c r="F2599" s="12">
        <v>6</v>
      </c>
      <c r="G2599">
        <v>6</v>
      </c>
      <c r="H2599">
        <f t="shared" si="81"/>
        <v>0</v>
      </c>
    </row>
    <row r="2600" spans="1:8" x14ac:dyDescent="0.2">
      <c r="A2600" t="s">
        <v>18</v>
      </c>
      <c r="B2600" t="s">
        <v>17</v>
      </c>
      <c r="C2600" t="str">
        <f t="shared" si="82"/>
        <v>Cumple</v>
      </c>
      <c r="D2600" s="17">
        <v>836</v>
      </c>
      <c r="E2600" s="19" t="s">
        <v>13</v>
      </c>
      <c r="F2600" s="12">
        <v>6</v>
      </c>
      <c r="G2600">
        <v>6</v>
      </c>
      <c r="H2600">
        <f t="shared" si="81"/>
        <v>0</v>
      </c>
    </row>
    <row r="2601" spans="1:8" x14ac:dyDescent="0.2">
      <c r="A2601" t="s">
        <v>7</v>
      </c>
      <c r="B2601" t="s">
        <v>17</v>
      </c>
      <c r="C2601" t="str">
        <f t="shared" si="82"/>
        <v>Cumple</v>
      </c>
      <c r="D2601" s="17">
        <v>858</v>
      </c>
      <c r="E2601" s="19" t="s">
        <v>13</v>
      </c>
      <c r="F2601" s="12">
        <v>6</v>
      </c>
      <c r="G2601">
        <v>6</v>
      </c>
      <c r="H2601">
        <f t="shared" si="81"/>
        <v>0</v>
      </c>
    </row>
    <row r="2602" spans="1:8" x14ac:dyDescent="0.2">
      <c r="A2602" t="s">
        <v>7</v>
      </c>
      <c r="B2602" t="s">
        <v>17</v>
      </c>
      <c r="C2602" t="str">
        <f t="shared" si="82"/>
        <v>No cumple</v>
      </c>
      <c r="D2602" s="17">
        <v>903</v>
      </c>
      <c r="E2602" s="19" t="s">
        <v>13</v>
      </c>
      <c r="F2602">
        <v>0</v>
      </c>
      <c r="G2602">
        <v>6</v>
      </c>
      <c r="H2602">
        <f t="shared" si="81"/>
        <v>-6</v>
      </c>
    </row>
    <row r="2603" spans="1:8" x14ac:dyDescent="0.2">
      <c r="A2603" t="s">
        <v>18</v>
      </c>
      <c r="B2603" t="s">
        <v>17</v>
      </c>
      <c r="C2603" t="str">
        <f t="shared" si="82"/>
        <v>Cumple</v>
      </c>
      <c r="D2603" s="17">
        <v>950</v>
      </c>
      <c r="E2603" s="19" t="s">
        <v>13</v>
      </c>
      <c r="F2603" s="31">
        <v>6</v>
      </c>
      <c r="G2603">
        <v>6</v>
      </c>
      <c r="H2603">
        <f t="shared" si="81"/>
        <v>0</v>
      </c>
    </row>
    <row r="2604" spans="1:8" x14ac:dyDescent="0.2">
      <c r="A2604" t="s">
        <v>7</v>
      </c>
      <c r="B2604" t="s">
        <v>17</v>
      </c>
      <c r="C2604" t="str">
        <f t="shared" si="82"/>
        <v>No cumple</v>
      </c>
      <c r="D2604" s="17">
        <v>979</v>
      </c>
      <c r="E2604" s="19" t="s">
        <v>13</v>
      </c>
      <c r="F2604">
        <v>0</v>
      </c>
      <c r="G2604">
        <v>6</v>
      </c>
      <c r="H2604">
        <f t="shared" si="81"/>
        <v>-6</v>
      </c>
    </row>
    <row r="2605" spans="1:8" x14ac:dyDescent="0.2">
      <c r="A2605" t="s">
        <v>18</v>
      </c>
      <c r="B2605" t="s">
        <v>17</v>
      </c>
      <c r="C2605" t="str">
        <f t="shared" si="82"/>
        <v>No cumple</v>
      </c>
      <c r="D2605" s="17">
        <v>989</v>
      </c>
      <c r="E2605" s="19" t="s">
        <v>13</v>
      </c>
      <c r="F2605">
        <v>0</v>
      </c>
      <c r="G2605">
        <v>6</v>
      </c>
      <c r="H2605">
        <f t="shared" si="81"/>
        <v>-6</v>
      </c>
    </row>
    <row r="2606" spans="1:8" x14ac:dyDescent="0.2">
      <c r="A2606" t="s">
        <v>18</v>
      </c>
      <c r="B2606" t="s">
        <v>17</v>
      </c>
      <c r="C2606" t="str">
        <f t="shared" si="82"/>
        <v>No cumple</v>
      </c>
      <c r="D2606" s="17">
        <v>1209</v>
      </c>
      <c r="E2606" s="19" t="s">
        <v>13</v>
      </c>
      <c r="F2606">
        <v>0</v>
      </c>
      <c r="G2606">
        <v>6</v>
      </c>
      <c r="H2606">
        <f t="shared" si="81"/>
        <v>-6</v>
      </c>
    </row>
    <row r="2607" spans="1:8" x14ac:dyDescent="0.2">
      <c r="A2607" t="s">
        <v>7</v>
      </c>
      <c r="B2607" t="s">
        <v>17</v>
      </c>
      <c r="C2607" t="str">
        <f t="shared" si="82"/>
        <v>Cumple</v>
      </c>
      <c r="D2607" s="17">
        <v>1297</v>
      </c>
      <c r="E2607" s="19" t="s">
        <v>13</v>
      </c>
      <c r="F2607" s="12">
        <v>6</v>
      </c>
      <c r="G2607">
        <v>6</v>
      </c>
      <c r="H2607">
        <f t="shared" si="81"/>
        <v>0</v>
      </c>
    </row>
    <row r="2608" spans="1:8" x14ac:dyDescent="0.2">
      <c r="A2608" t="s">
        <v>7</v>
      </c>
      <c r="B2608" t="s">
        <v>17</v>
      </c>
      <c r="C2608" t="str">
        <f t="shared" si="82"/>
        <v>No cumple</v>
      </c>
      <c r="D2608" s="17">
        <v>1424</v>
      </c>
      <c r="E2608" s="19" t="s">
        <v>13</v>
      </c>
      <c r="F2608">
        <v>0</v>
      </c>
      <c r="G2608">
        <v>6</v>
      </c>
      <c r="H2608">
        <f t="shared" si="81"/>
        <v>-6</v>
      </c>
    </row>
    <row r="2609" spans="1:8" x14ac:dyDescent="0.2">
      <c r="A2609" t="s">
        <v>7</v>
      </c>
      <c r="B2609" t="s">
        <v>17</v>
      </c>
      <c r="C2609" t="str">
        <f t="shared" si="82"/>
        <v>No cumple</v>
      </c>
      <c r="D2609" s="17">
        <v>1453</v>
      </c>
      <c r="E2609" s="19" t="s">
        <v>13</v>
      </c>
      <c r="F2609">
        <v>0</v>
      </c>
      <c r="G2609">
        <v>6</v>
      </c>
      <c r="H2609">
        <f t="shared" si="81"/>
        <v>-6</v>
      </c>
    </row>
    <row r="2610" spans="1:8" x14ac:dyDescent="0.2">
      <c r="A2610" t="s">
        <v>7</v>
      </c>
      <c r="B2610" t="s">
        <v>17</v>
      </c>
      <c r="C2610" t="str">
        <f t="shared" si="82"/>
        <v>Cumple</v>
      </c>
      <c r="D2610" s="17">
        <v>1470</v>
      </c>
      <c r="E2610" s="19" t="s">
        <v>13</v>
      </c>
      <c r="F2610" s="12">
        <v>6</v>
      </c>
      <c r="G2610">
        <v>6</v>
      </c>
      <c r="H2610">
        <f t="shared" si="81"/>
        <v>0</v>
      </c>
    </row>
    <row r="2611" spans="1:8" x14ac:dyDescent="0.2">
      <c r="A2611" t="s">
        <v>7</v>
      </c>
      <c r="B2611" t="s">
        <v>17</v>
      </c>
      <c r="C2611" t="str">
        <f t="shared" si="82"/>
        <v>No cumple</v>
      </c>
      <c r="D2611" s="17">
        <v>1472</v>
      </c>
      <c r="E2611" s="19" t="s">
        <v>13</v>
      </c>
      <c r="F2611">
        <v>0</v>
      </c>
      <c r="G2611">
        <v>6</v>
      </c>
      <c r="H2611">
        <f t="shared" si="81"/>
        <v>-6</v>
      </c>
    </row>
    <row r="2612" spans="1:8" x14ac:dyDescent="0.2">
      <c r="A2612" t="s">
        <v>7</v>
      </c>
      <c r="B2612" t="s">
        <v>17</v>
      </c>
      <c r="C2612" t="str">
        <f t="shared" si="82"/>
        <v>No cumple</v>
      </c>
      <c r="D2612" s="17">
        <v>1507</v>
      </c>
      <c r="E2612" s="19" t="s">
        <v>13</v>
      </c>
      <c r="F2612">
        <v>0</v>
      </c>
      <c r="G2612">
        <v>6</v>
      </c>
      <c r="H2612">
        <f t="shared" si="81"/>
        <v>-6</v>
      </c>
    </row>
    <row r="2613" spans="1:8" x14ac:dyDescent="0.2">
      <c r="A2613" t="s">
        <v>18</v>
      </c>
      <c r="B2613" t="s">
        <v>17</v>
      </c>
      <c r="C2613" t="str">
        <f t="shared" si="82"/>
        <v>Cumple</v>
      </c>
      <c r="D2613" s="17">
        <v>1793</v>
      </c>
      <c r="E2613" s="19" t="s">
        <v>13</v>
      </c>
      <c r="F2613" s="12">
        <v>6</v>
      </c>
      <c r="G2613">
        <v>6</v>
      </c>
      <c r="H2613">
        <f t="shared" si="81"/>
        <v>0</v>
      </c>
    </row>
    <row r="2614" spans="1:8" x14ac:dyDescent="0.2">
      <c r="A2614" t="s">
        <v>7</v>
      </c>
      <c r="B2614" t="s">
        <v>17</v>
      </c>
      <c r="C2614" t="str">
        <f t="shared" si="82"/>
        <v>Cumple</v>
      </c>
      <c r="D2614" s="17">
        <v>1816</v>
      </c>
      <c r="E2614" s="19" t="s">
        <v>13</v>
      </c>
      <c r="F2614" s="12">
        <v>6</v>
      </c>
      <c r="G2614">
        <v>6</v>
      </c>
      <c r="H2614">
        <f t="shared" si="81"/>
        <v>0</v>
      </c>
    </row>
    <row r="2615" spans="1:8" x14ac:dyDescent="0.2">
      <c r="A2615" t="s">
        <v>7</v>
      </c>
      <c r="B2615" t="s">
        <v>17</v>
      </c>
      <c r="C2615" t="str">
        <f t="shared" si="82"/>
        <v>No cumple</v>
      </c>
      <c r="D2615" s="17">
        <v>1866</v>
      </c>
      <c r="E2615" s="19" t="s">
        <v>13</v>
      </c>
      <c r="F2615">
        <v>0</v>
      </c>
      <c r="G2615">
        <v>6</v>
      </c>
      <c r="H2615">
        <f t="shared" si="81"/>
        <v>-6</v>
      </c>
    </row>
    <row r="2616" spans="1:8" x14ac:dyDescent="0.2">
      <c r="A2616" t="s">
        <v>7</v>
      </c>
      <c r="B2616" t="s">
        <v>17</v>
      </c>
      <c r="C2616" t="str">
        <f t="shared" si="82"/>
        <v>No cumple</v>
      </c>
      <c r="D2616" s="17">
        <v>2089</v>
      </c>
      <c r="E2616" s="19" t="s">
        <v>13</v>
      </c>
      <c r="F2616">
        <v>0</v>
      </c>
      <c r="G2616">
        <v>6</v>
      </c>
      <c r="H2616">
        <f t="shared" si="81"/>
        <v>-6</v>
      </c>
    </row>
    <row r="2617" spans="1:8" x14ac:dyDescent="0.2">
      <c r="A2617" t="s">
        <v>18</v>
      </c>
      <c r="B2617" t="s">
        <v>17</v>
      </c>
      <c r="C2617" t="str">
        <f t="shared" si="82"/>
        <v>Cumple</v>
      </c>
      <c r="D2617" s="17">
        <v>2212</v>
      </c>
      <c r="E2617" s="19" t="s">
        <v>13</v>
      </c>
      <c r="F2617" s="12">
        <v>6</v>
      </c>
      <c r="G2617">
        <v>6</v>
      </c>
      <c r="H2617">
        <f t="shared" si="81"/>
        <v>0</v>
      </c>
    </row>
    <row r="2618" spans="1:8" x14ac:dyDescent="0.2">
      <c r="A2618" t="s">
        <v>18</v>
      </c>
      <c r="B2618" t="s">
        <v>17</v>
      </c>
      <c r="C2618" t="str">
        <f t="shared" si="82"/>
        <v>No cumple</v>
      </c>
      <c r="D2618" s="17">
        <v>2469</v>
      </c>
      <c r="E2618" s="19" t="s">
        <v>13</v>
      </c>
      <c r="F2618">
        <v>0</v>
      </c>
      <c r="G2618">
        <v>6</v>
      </c>
      <c r="H2618">
        <f t="shared" si="81"/>
        <v>-6</v>
      </c>
    </row>
    <row r="2619" spans="1:8" x14ac:dyDescent="0.2">
      <c r="A2619" t="s">
        <v>7</v>
      </c>
      <c r="B2619" t="s">
        <v>17</v>
      </c>
      <c r="C2619" t="str">
        <f t="shared" si="82"/>
        <v>Cumple</v>
      </c>
      <c r="D2619" s="17">
        <v>2835</v>
      </c>
      <c r="E2619" s="19" t="s">
        <v>13</v>
      </c>
      <c r="F2619" s="12">
        <v>6</v>
      </c>
      <c r="G2619">
        <v>6</v>
      </c>
      <c r="H2619">
        <f t="shared" si="81"/>
        <v>0</v>
      </c>
    </row>
    <row r="2620" spans="1:8" x14ac:dyDescent="0.2">
      <c r="A2620" t="s">
        <v>19</v>
      </c>
      <c r="B2620" t="s">
        <v>17</v>
      </c>
      <c r="C2620" t="str">
        <f t="shared" si="82"/>
        <v>No cumple</v>
      </c>
      <c r="D2620" s="17">
        <v>2863</v>
      </c>
      <c r="E2620" s="19" t="s">
        <v>13</v>
      </c>
      <c r="F2620">
        <v>0</v>
      </c>
      <c r="G2620">
        <v>6</v>
      </c>
      <c r="H2620">
        <f t="shared" si="81"/>
        <v>-6</v>
      </c>
    </row>
    <row r="2621" spans="1:8" x14ac:dyDescent="0.2">
      <c r="A2621" t="s">
        <v>7</v>
      </c>
      <c r="B2621" t="s">
        <v>17</v>
      </c>
      <c r="C2621" t="str">
        <f t="shared" si="82"/>
        <v>No cumple</v>
      </c>
      <c r="D2621" s="17">
        <v>2942</v>
      </c>
      <c r="E2621" s="19" t="s">
        <v>13</v>
      </c>
      <c r="F2621">
        <v>0</v>
      </c>
      <c r="G2621">
        <v>6</v>
      </c>
      <c r="H2621">
        <f t="shared" si="81"/>
        <v>-6</v>
      </c>
    </row>
    <row r="2622" spans="1:8" x14ac:dyDescent="0.2">
      <c r="A2622" t="s">
        <v>7</v>
      </c>
      <c r="B2622" t="s">
        <v>17</v>
      </c>
      <c r="C2622" t="str">
        <f t="shared" si="82"/>
        <v>No cumple</v>
      </c>
      <c r="D2622" s="17">
        <v>2943</v>
      </c>
      <c r="E2622" s="19" t="s">
        <v>13</v>
      </c>
      <c r="F2622">
        <v>0</v>
      </c>
      <c r="G2622">
        <v>6</v>
      </c>
      <c r="H2622">
        <f t="shared" si="81"/>
        <v>-6</v>
      </c>
    </row>
    <row r="2623" spans="1:8" x14ac:dyDescent="0.2">
      <c r="A2623" t="s">
        <v>7</v>
      </c>
      <c r="B2623" t="s">
        <v>17</v>
      </c>
      <c r="C2623" t="str">
        <f t="shared" si="82"/>
        <v>No cumple</v>
      </c>
      <c r="D2623" s="17">
        <v>2944</v>
      </c>
      <c r="E2623" s="19" t="s">
        <v>13</v>
      </c>
      <c r="F2623">
        <v>0</v>
      </c>
      <c r="G2623">
        <v>6</v>
      </c>
      <c r="H2623">
        <f t="shared" si="81"/>
        <v>-6</v>
      </c>
    </row>
    <row r="2624" spans="1:8" x14ac:dyDescent="0.2">
      <c r="A2624" t="s">
        <v>7</v>
      </c>
      <c r="B2624" t="s">
        <v>17</v>
      </c>
      <c r="C2624" t="str">
        <f t="shared" si="82"/>
        <v>Cumple</v>
      </c>
      <c r="D2624" s="17">
        <v>2945</v>
      </c>
      <c r="E2624" s="19" t="s">
        <v>13</v>
      </c>
      <c r="F2624" s="12">
        <v>6</v>
      </c>
      <c r="G2624">
        <v>6</v>
      </c>
      <c r="H2624">
        <f t="shared" si="81"/>
        <v>0</v>
      </c>
    </row>
    <row r="2625" spans="1:8" x14ac:dyDescent="0.2">
      <c r="A2625" t="s">
        <v>7</v>
      </c>
      <c r="B2625" t="s">
        <v>17</v>
      </c>
      <c r="C2625" t="str">
        <f t="shared" si="82"/>
        <v>No cumple</v>
      </c>
      <c r="D2625" s="17">
        <v>2947</v>
      </c>
      <c r="E2625" s="19" t="s">
        <v>13</v>
      </c>
      <c r="F2625">
        <v>0</v>
      </c>
      <c r="G2625">
        <v>6</v>
      </c>
      <c r="H2625">
        <f t="shared" si="81"/>
        <v>-6</v>
      </c>
    </row>
    <row r="2626" spans="1:8" x14ac:dyDescent="0.2">
      <c r="A2626" t="s">
        <v>7</v>
      </c>
      <c r="B2626" t="s">
        <v>17</v>
      </c>
      <c r="C2626" t="str">
        <f t="shared" si="82"/>
        <v>No cumple</v>
      </c>
      <c r="D2626" s="17">
        <v>2948</v>
      </c>
      <c r="E2626" s="19" t="s">
        <v>13</v>
      </c>
      <c r="F2626">
        <v>0</v>
      </c>
      <c r="G2626">
        <v>6</v>
      </c>
      <c r="H2626">
        <f t="shared" si="81"/>
        <v>-6</v>
      </c>
    </row>
    <row r="2627" spans="1:8" x14ac:dyDescent="0.2">
      <c r="A2627" t="s">
        <v>7</v>
      </c>
      <c r="B2627" t="s">
        <v>17</v>
      </c>
      <c r="C2627" t="str">
        <f t="shared" si="82"/>
        <v>No cumple</v>
      </c>
      <c r="D2627" s="17">
        <v>2949</v>
      </c>
      <c r="E2627" s="19" t="s">
        <v>13</v>
      </c>
      <c r="F2627">
        <v>0</v>
      </c>
      <c r="G2627">
        <v>6</v>
      </c>
      <c r="H2627">
        <f t="shared" ref="H2627:H2690" si="83">F2627-G2627</f>
        <v>-6</v>
      </c>
    </row>
    <row r="2628" spans="1:8" x14ac:dyDescent="0.2">
      <c r="A2628" t="s">
        <v>7</v>
      </c>
      <c r="B2628" t="s">
        <v>17</v>
      </c>
      <c r="C2628" t="str">
        <f t="shared" ref="C2628:C2691" si="84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>
        <f t="shared" si="83"/>
        <v>-6</v>
      </c>
    </row>
    <row r="2629" spans="1:8" x14ac:dyDescent="0.2">
      <c r="A2629" t="s">
        <v>7</v>
      </c>
      <c r="B2629" t="s">
        <v>17</v>
      </c>
      <c r="C2629" t="str">
        <f t="shared" si="84"/>
        <v>No cumple</v>
      </c>
      <c r="D2629" s="17">
        <v>2951</v>
      </c>
      <c r="E2629" s="19" t="s">
        <v>13</v>
      </c>
      <c r="F2629">
        <v>0</v>
      </c>
      <c r="G2629">
        <v>6</v>
      </c>
      <c r="H2629">
        <f t="shared" si="83"/>
        <v>-6</v>
      </c>
    </row>
    <row r="2630" spans="1:8" x14ac:dyDescent="0.2">
      <c r="A2630" t="s">
        <v>7</v>
      </c>
      <c r="B2630" t="s">
        <v>17</v>
      </c>
      <c r="C2630" t="str">
        <f t="shared" si="84"/>
        <v>No cumple</v>
      </c>
      <c r="D2630" s="17">
        <v>2952</v>
      </c>
      <c r="E2630" s="19" t="s">
        <v>13</v>
      </c>
      <c r="F2630">
        <v>0</v>
      </c>
      <c r="G2630">
        <v>6</v>
      </c>
      <c r="H2630">
        <f t="shared" si="83"/>
        <v>-6</v>
      </c>
    </row>
    <row r="2631" spans="1:8" x14ac:dyDescent="0.2">
      <c r="A2631" t="s">
        <v>7</v>
      </c>
      <c r="B2631" t="s">
        <v>17</v>
      </c>
      <c r="C2631" t="str">
        <f t="shared" si="84"/>
        <v>No cumple</v>
      </c>
      <c r="D2631" s="17">
        <v>2954</v>
      </c>
      <c r="E2631" s="19" t="s">
        <v>13</v>
      </c>
      <c r="F2631">
        <v>0</v>
      </c>
      <c r="G2631">
        <v>6</v>
      </c>
      <c r="H2631">
        <f t="shared" si="83"/>
        <v>-6</v>
      </c>
    </row>
    <row r="2632" spans="1:8" x14ac:dyDescent="0.2">
      <c r="A2632" t="s">
        <v>7</v>
      </c>
      <c r="B2632" t="s">
        <v>17</v>
      </c>
      <c r="C2632" t="str">
        <f t="shared" si="84"/>
        <v>No cumple</v>
      </c>
      <c r="D2632" s="17">
        <v>2955</v>
      </c>
      <c r="E2632" s="19" t="s">
        <v>13</v>
      </c>
      <c r="F2632">
        <v>0</v>
      </c>
      <c r="G2632">
        <v>6</v>
      </c>
      <c r="H2632">
        <f t="shared" si="83"/>
        <v>-6</v>
      </c>
    </row>
    <row r="2633" spans="1:8" x14ac:dyDescent="0.2">
      <c r="A2633" t="s">
        <v>7</v>
      </c>
      <c r="B2633" t="s">
        <v>17</v>
      </c>
      <c r="C2633" t="str">
        <f t="shared" si="84"/>
        <v>No cumple</v>
      </c>
      <c r="D2633" s="17">
        <v>2956</v>
      </c>
      <c r="E2633" s="19" t="s">
        <v>13</v>
      </c>
      <c r="F2633">
        <v>0</v>
      </c>
      <c r="G2633">
        <v>6</v>
      </c>
      <c r="H2633">
        <f t="shared" si="83"/>
        <v>-6</v>
      </c>
    </row>
    <row r="2634" spans="1:8" x14ac:dyDescent="0.2">
      <c r="A2634" t="s">
        <v>7</v>
      </c>
      <c r="B2634" t="s">
        <v>17</v>
      </c>
      <c r="C2634" t="str">
        <f t="shared" si="84"/>
        <v>No cumple</v>
      </c>
      <c r="D2634" s="17">
        <v>2958</v>
      </c>
      <c r="E2634" s="19" t="s">
        <v>13</v>
      </c>
      <c r="F2634">
        <v>0</v>
      </c>
      <c r="G2634">
        <v>6</v>
      </c>
      <c r="H2634">
        <f t="shared" si="83"/>
        <v>-6</v>
      </c>
    </row>
    <row r="2635" spans="1:8" x14ac:dyDescent="0.2">
      <c r="A2635" t="s">
        <v>7</v>
      </c>
      <c r="B2635" t="s">
        <v>17</v>
      </c>
      <c r="C2635" t="str">
        <f t="shared" si="84"/>
        <v>Cumple</v>
      </c>
      <c r="D2635" s="17">
        <v>2960</v>
      </c>
      <c r="E2635" s="19" t="s">
        <v>13</v>
      </c>
      <c r="F2635" s="12">
        <v>6</v>
      </c>
      <c r="G2635">
        <v>6</v>
      </c>
      <c r="H2635">
        <f t="shared" si="83"/>
        <v>0</v>
      </c>
    </row>
    <row r="2636" spans="1:8" x14ac:dyDescent="0.2">
      <c r="A2636" t="s">
        <v>7</v>
      </c>
      <c r="B2636" t="s">
        <v>17</v>
      </c>
      <c r="C2636" t="str">
        <f t="shared" si="84"/>
        <v>No cumple</v>
      </c>
      <c r="D2636" s="17">
        <v>2965</v>
      </c>
      <c r="E2636" s="19" t="s">
        <v>13</v>
      </c>
      <c r="F2636">
        <v>0</v>
      </c>
      <c r="G2636">
        <v>6</v>
      </c>
      <c r="H2636">
        <f t="shared" si="83"/>
        <v>-6</v>
      </c>
    </row>
    <row r="2637" spans="1:8" x14ac:dyDescent="0.2">
      <c r="A2637" t="s">
        <v>7</v>
      </c>
      <c r="B2637" t="s">
        <v>17</v>
      </c>
      <c r="C2637" t="str">
        <f t="shared" si="84"/>
        <v>No cumple</v>
      </c>
      <c r="D2637" s="17">
        <v>2969</v>
      </c>
      <c r="E2637" s="19" t="s">
        <v>13</v>
      </c>
      <c r="F2637">
        <v>0</v>
      </c>
      <c r="G2637">
        <v>6</v>
      </c>
      <c r="H2637">
        <f t="shared" si="83"/>
        <v>-6</v>
      </c>
    </row>
    <row r="2638" spans="1:8" x14ac:dyDescent="0.2">
      <c r="A2638" t="s">
        <v>18</v>
      </c>
      <c r="B2638" t="s">
        <v>17</v>
      </c>
      <c r="C2638" t="str">
        <f t="shared" si="84"/>
        <v>No cumple</v>
      </c>
      <c r="D2638" s="17">
        <v>3081</v>
      </c>
      <c r="E2638" s="19" t="s">
        <v>13</v>
      </c>
      <c r="F2638">
        <v>0</v>
      </c>
      <c r="G2638">
        <v>6</v>
      </c>
      <c r="H2638">
        <f t="shared" si="83"/>
        <v>-6</v>
      </c>
    </row>
    <row r="2639" spans="1:8" x14ac:dyDescent="0.2">
      <c r="A2639" t="s">
        <v>7</v>
      </c>
      <c r="B2639" t="s">
        <v>17</v>
      </c>
      <c r="C2639" t="str">
        <f t="shared" si="84"/>
        <v>No cumple</v>
      </c>
      <c r="D2639" s="17">
        <v>3386</v>
      </c>
      <c r="E2639" s="19" t="s">
        <v>13</v>
      </c>
      <c r="F2639">
        <v>0</v>
      </c>
      <c r="G2639">
        <v>6</v>
      </c>
      <c r="H2639">
        <f t="shared" si="83"/>
        <v>-6</v>
      </c>
    </row>
    <row r="2640" spans="1:8" x14ac:dyDescent="0.2">
      <c r="A2640" t="s">
        <v>18</v>
      </c>
      <c r="B2640" t="s">
        <v>17</v>
      </c>
      <c r="C2640" t="str">
        <f t="shared" si="84"/>
        <v>No cumple</v>
      </c>
      <c r="D2640" s="17">
        <v>3428</v>
      </c>
      <c r="E2640" s="19" t="s">
        <v>13</v>
      </c>
      <c r="F2640">
        <v>0</v>
      </c>
      <c r="G2640">
        <v>6</v>
      </c>
      <c r="H2640">
        <f t="shared" si="83"/>
        <v>-6</v>
      </c>
    </row>
    <row r="2641" spans="1:8" x14ac:dyDescent="0.2">
      <c r="A2641" t="s">
        <v>7</v>
      </c>
      <c r="B2641" t="s">
        <v>17</v>
      </c>
      <c r="C2641" t="str">
        <f t="shared" si="84"/>
        <v>No cumple</v>
      </c>
      <c r="D2641" s="17">
        <v>3543</v>
      </c>
      <c r="E2641" s="19" t="s">
        <v>13</v>
      </c>
      <c r="F2641">
        <v>0</v>
      </c>
      <c r="G2641">
        <v>6</v>
      </c>
      <c r="H2641">
        <f t="shared" si="83"/>
        <v>-6</v>
      </c>
    </row>
    <row r="2642" spans="1:8" x14ac:dyDescent="0.2">
      <c r="A2642" t="s">
        <v>18</v>
      </c>
      <c r="B2642" t="s">
        <v>17</v>
      </c>
      <c r="C2642" t="str">
        <f t="shared" si="84"/>
        <v>Cumple</v>
      </c>
      <c r="D2642" s="17">
        <v>3590</v>
      </c>
      <c r="E2642" s="19" t="s">
        <v>13</v>
      </c>
      <c r="F2642" s="12">
        <v>6</v>
      </c>
      <c r="G2642">
        <v>6</v>
      </c>
      <c r="H2642">
        <f t="shared" si="83"/>
        <v>0</v>
      </c>
    </row>
    <row r="2643" spans="1:8" x14ac:dyDescent="0.2">
      <c r="A2643" t="s">
        <v>18</v>
      </c>
      <c r="B2643" t="s">
        <v>17</v>
      </c>
      <c r="C2643" t="str">
        <f t="shared" si="84"/>
        <v>No cumple</v>
      </c>
      <c r="D2643" s="17">
        <v>3592</v>
      </c>
      <c r="E2643" s="19" t="s">
        <v>13</v>
      </c>
      <c r="F2643">
        <v>0</v>
      </c>
      <c r="G2643">
        <v>6</v>
      </c>
      <c r="H2643">
        <f t="shared" si="83"/>
        <v>-6</v>
      </c>
    </row>
    <row r="2644" spans="1:8" x14ac:dyDescent="0.2">
      <c r="A2644" t="s">
        <v>7</v>
      </c>
      <c r="B2644" t="s">
        <v>17</v>
      </c>
      <c r="C2644" t="str">
        <f t="shared" si="84"/>
        <v>No cumple</v>
      </c>
      <c r="D2644" s="17">
        <v>3650</v>
      </c>
      <c r="E2644" s="19" t="s">
        <v>13</v>
      </c>
      <c r="F2644">
        <v>0</v>
      </c>
      <c r="G2644">
        <v>6</v>
      </c>
      <c r="H2644">
        <f t="shared" si="83"/>
        <v>-6</v>
      </c>
    </row>
    <row r="2645" spans="1:8" x14ac:dyDescent="0.2">
      <c r="A2645" t="s">
        <v>18</v>
      </c>
      <c r="B2645" t="s">
        <v>17</v>
      </c>
      <c r="C2645" t="str">
        <f t="shared" si="84"/>
        <v>No cumple</v>
      </c>
      <c r="D2645" s="17">
        <v>3733</v>
      </c>
      <c r="E2645" s="19" t="s">
        <v>13</v>
      </c>
      <c r="F2645">
        <v>0</v>
      </c>
      <c r="G2645">
        <v>6</v>
      </c>
      <c r="H2645">
        <f t="shared" si="83"/>
        <v>-6</v>
      </c>
    </row>
    <row r="2646" spans="1:8" x14ac:dyDescent="0.2">
      <c r="A2646" t="s">
        <v>18</v>
      </c>
      <c r="B2646" t="s">
        <v>17</v>
      </c>
      <c r="C2646" t="str">
        <f t="shared" si="84"/>
        <v>No cumple</v>
      </c>
      <c r="D2646" s="17">
        <v>3734</v>
      </c>
      <c r="E2646" s="19" t="s">
        <v>13</v>
      </c>
      <c r="F2646">
        <v>0</v>
      </c>
      <c r="G2646">
        <v>6</v>
      </c>
      <c r="H2646">
        <f t="shared" si="83"/>
        <v>-6</v>
      </c>
    </row>
    <row r="2647" spans="1:8" x14ac:dyDescent="0.2">
      <c r="A2647" t="s">
        <v>7</v>
      </c>
      <c r="B2647" t="s">
        <v>17</v>
      </c>
      <c r="C2647" t="str">
        <f t="shared" si="84"/>
        <v>No cumple</v>
      </c>
      <c r="D2647" s="17">
        <v>3763</v>
      </c>
      <c r="E2647" s="19" t="s">
        <v>13</v>
      </c>
      <c r="F2647">
        <v>0</v>
      </c>
      <c r="G2647">
        <v>6</v>
      </c>
      <c r="H2647">
        <f t="shared" si="83"/>
        <v>-6</v>
      </c>
    </row>
    <row r="2648" spans="1:8" x14ac:dyDescent="0.2">
      <c r="A2648" t="s">
        <v>18</v>
      </c>
      <c r="B2648" t="s">
        <v>17</v>
      </c>
      <c r="C2648" t="str">
        <f t="shared" si="84"/>
        <v>No cumple</v>
      </c>
      <c r="D2648" s="17">
        <v>3764</v>
      </c>
      <c r="E2648" s="19" t="s">
        <v>13</v>
      </c>
      <c r="F2648">
        <v>0</v>
      </c>
      <c r="G2648">
        <v>6</v>
      </c>
      <c r="H2648">
        <f t="shared" si="83"/>
        <v>-6</v>
      </c>
    </row>
    <row r="2649" spans="1:8" x14ac:dyDescent="0.2">
      <c r="A2649" t="s">
        <v>18</v>
      </c>
      <c r="B2649" t="s">
        <v>17</v>
      </c>
      <c r="C2649" t="str">
        <f t="shared" si="84"/>
        <v>No cumple</v>
      </c>
      <c r="D2649" s="17">
        <v>3792</v>
      </c>
      <c r="E2649" s="19" t="s">
        <v>13</v>
      </c>
      <c r="F2649">
        <v>0</v>
      </c>
      <c r="G2649">
        <v>6</v>
      </c>
      <c r="H2649">
        <f t="shared" si="83"/>
        <v>-6</v>
      </c>
    </row>
    <row r="2650" spans="1:8" x14ac:dyDescent="0.2">
      <c r="A2650" t="s">
        <v>18</v>
      </c>
      <c r="B2650" t="s">
        <v>17</v>
      </c>
      <c r="C2650" t="str">
        <f t="shared" si="84"/>
        <v>No cumple</v>
      </c>
      <c r="D2650" s="17">
        <v>3798</v>
      </c>
      <c r="E2650" s="19" t="s">
        <v>13</v>
      </c>
      <c r="F2650">
        <v>0</v>
      </c>
      <c r="G2650">
        <v>6</v>
      </c>
      <c r="H2650">
        <f t="shared" si="83"/>
        <v>-6</v>
      </c>
    </row>
    <row r="2651" spans="1:8" x14ac:dyDescent="0.2">
      <c r="A2651" t="s">
        <v>7</v>
      </c>
      <c r="B2651" t="s">
        <v>17</v>
      </c>
      <c r="C2651" t="str">
        <f t="shared" si="84"/>
        <v>Cumple</v>
      </c>
      <c r="D2651" s="17">
        <v>3810</v>
      </c>
      <c r="E2651" s="19" t="s">
        <v>13</v>
      </c>
      <c r="F2651" s="12">
        <v>6</v>
      </c>
      <c r="G2651">
        <v>6</v>
      </c>
      <c r="H2651">
        <f t="shared" si="83"/>
        <v>0</v>
      </c>
    </row>
    <row r="2652" spans="1:8" x14ac:dyDescent="0.2">
      <c r="A2652" t="s">
        <v>18</v>
      </c>
      <c r="B2652" t="s">
        <v>17</v>
      </c>
      <c r="C2652" t="str">
        <f t="shared" si="84"/>
        <v>No cumple</v>
      </c>
      <c r="D2652" s="17">
        <v>3831</v>
      </c>
      <c r="E2652" s="19" t="s">
        <v>13</v>
      </c>
      <c r="F2652">
        <v>0</v>
      </c>
      <c r="G2652">
        <v>6</v>
      </c>
      <c r="H2652">
        <f t="shared" si="83"/>
        <v>-6</v>
      </c>
    </row>
    <row r="2653" spans="1:8" x14ac:dyDescent="0.2">
      <c r="A2653" t="s">
        <v>18</v>
      </c>
      <c r="B2653" t="s">
        <v>17</v>
      </c>
      <c r="C2653" t="str">
        <f t="shared" si="84"/>
        <v>No cumple</v>
      </c>
      <c r="D2653" s="17">
        <v>3832</v>
      </c>
      <c r="E2653" s="19" t="s">
        <v>13</v>
      </c>
      <c r="F2653">
        <v>0</v>
      </c>
      <c r="G2653">
        <v>6</v>
      </c>
      <c r="H2653">
        <f t="shared" si="83"/>
        <v>-6</v>
      </c>
    </row>
    <row r="2654" spans="1:8" x14ac:dyDescent="0.2">
      <c r="A2654" t="s">
        <v>18</v>
      </c>
      <c r="B2654" t="s">
        <v>17</v>
      </c>
      <c r="C2654" t="str">
        <f t="shared" si="84"/>
        <v>No cumple</v>
      </c>
      <c r="D2654" s="17">
        <v>3837</v>
      </c>
      <c r="E2654" s="19" t="s">
        <v>13</v>
      </c>
      <c r="F2654">
        <v>0</v>
      </c>
      <c r="G2654">
        <v>6</v>
      </c>
      <c r="H2654">
        <f t="shared" si="83"/>
        <v>-6</v>
      </c>
    </row>
    <row r="2655" spans="1:8" x14ac:dyDescent="0.2">
      <c r="A2655" t="s">
        <v>18</v>
      </c>
      <c r="B2655" t="s">
        <v>17</v>
      </c>
      <c r="C2655" t="str">
        <f t="shared" si="84"/>
        <v>No cumple</v>
      </c>
      <c r="D2655" s="17">
        <v>3839</v>
      </c>
      <c r="E2655" s="19" t="s">
        <v>13</v>
      </c>
      <c r="F2655">
        <v>0</v>
      </c>
      <c r="G2655">
        <v>6</v>
      </c>
      <c r="H2655">
        <f t="shared" si="83"/>
        <v>-6</v>
      </c>
    </row>
    <row r="2656" spans="1:8" x14ac:dyDescent="0.2">
      <c r="A2656" t="s">
        <v>18</v>
      </c>
      <c r="B2656" t="s">
        <v>17</v>
      </c>
      <c r="C2656" t="str">
        <f t="shared" si="84"/>
        <v>Cumple</v>
      </c>
      <c r="D2656" s="17">
        <v>3840</v>
      </c>
      <c r="E2656" s="19" t="s">
        <v>13</v>
      </c>
      <c r="F2656" s="12">
        <v>6</v>
      </c>
      <c r="G2656">
        <v>6</v>
      </c>
      <c r="H2656">
        <f t="shared" si="83"/>
        <v>0</v>
      </c>
    </row>
    <row r="2657" spans="1:8" x14ac:dyDescent="0.2">
      <c r="A2657" t="s">
        <v>18</v>
      </c>
      <c r="B2657" t="s">
        <v>17</v>
      </c>
      <c r="C2657" t="str">
        <f t="shared" si="84"/>
        <v>No cumple</v>
      </c>
      <c r="D2657" s="17">
        <v>3841</v>
      </c>
      <c r="E2657" s="19" t="s">
        <v>13</v>
      </c>
      <c r="F2657">
        <v>0</v>
      </c>
      <c r="G2657">
        <v>6</v>
      </c>
      <c r="H2657">
        <f t="shared" si="83"/>
        <v>-6</v>
      </c>
    </row>
    <row r="2658" spans="1:8" x14ac:dyDescent="0.2">
      <c r="A2658" t="s">
        <v>7</v>
      </c>
      <c r="B2658" t="s">
        <v>17</v>
      </c>
      <c r="C2658" t="str">
        <f t="shared" si="84"/>
        <v>Cumple</v>
      </c>
      <c r="D2658" s="17">
        <v>9004</v>
      </c>
      <c r="E2658" s="19" t="s">
        <v>13</v>
      </c>
      <c r="F2658" s="12">
        <v>6</v>
      </c>
      <c r="G2658">
        <v>6</v>
      </c>
      <c r="H2658">
        <f t="shared" si="83"/>
        <v>0</v>
      </c>
    </row>
    <row r="2659" spans="1:8" x14ac:dyDescent="0.2">
      <c r="A2659" t="s">
        <v>7</v>
      </c>
      <c r="B2659" t="s">
        <v>17</v>
      </c>
      <c r="C2659" t="str">
        <f t="shared" si="84"/>
        <v>Cumple</v>
      </c>
      <c r="D2659" s="17">
        <v>9035</v>
      </c>
      <c r="E2659" s="19" t="s">
        <v>13</v>
      </c>
      <c r="F2659" s="12">
        <v>6</v>
      </c>
      <c r="G2659">
        <v>6</v>
      </c>
      <c r="H2659">
        <f t="shared" si="83"/>
        <v>0</v>
      </c>
    </row>
    <row r="2660" spans="1:8" x14ac:dyDescent="0.2">
      <c r="A2660" t="s">
        <v>7</v>
      </c>
      <c r="B2660" t="s">
        <v>17</v>
      </c>
      <c r="C2660" t="str">
        <f t="shared" si="84"/>
        <v>No cumple</v>
      </c>
      <c r="D2660" s="17">
        <v>9382</v>
      </c>
      <c r="E2660" s="19" t="s">
        <v>13</v>
      </c>
      <c r="F2660">
        <v>0</v>
      </c>
      <c r="G2660">
        <v>6</v>
      </c>
      <c r="H2660">
        <f t="shared" si="83"/>
        <v>-6</v>
      </c>
    </row>
    <row r="2661" spans="1:8" x14ac:dyDescent="0.2">
      <c r="A2661" t="s">
        <v>18</v>
      </c>
      <c r="B2661" t="s">
        <v>17</v>
      </c>
      <c r="C2661" t="str">
        <f t="shared" si="84"/>
        <v>No cumple</v>
      </c>
      <c r="D2661" s="17">
        <v>9610</v>
      </c>
      <c r="E2661" s="19" t="s">
        <v>13</v>
      </c>
      <c r="F2661">
        <v>0</v>
      </c>
      <c r="G2661">
        <v>6</v>
      </c>
      <c r="H2661">
        <f t="shared" si="83"/>
        <v>-6</v>
      </c>
    </row>
    <row r="2662" spans="1:8" x14ac:dyDescent="0.2">
      <c r="A2662" t="s">
        <v>7</v>
      </c>
      <c r="B2662" t="s">
        <v>17</v>
      </c>
      <c r="C2662" t="str">
        <f t="shared" si="84"/>
        <v>Cumple</v>
      </c>
      <c r="D2662" s="17">
        <v>9684</v>
      </c>
      <c r="E2662" s="19" t="s">
        <v>13</v>
      </c>
      <c r="F2662" s="12">
        <v>6</v>
      </c>
      <c r="G2662">
        <v>6</v>
      </c>
      <c r="H2662">
        <f t="shared" si="83"/>
        <v>0</v>
      </c>
    </row>
    <row r="2663" spans="1:8" x14ac:dyDescent="0.2">
      <c r="A2663" t="s">
        <v>7</v>
      </c>
      <c r="B2663" t="s">
        <v>17</v>
      </c>
      <c r="C2663" t="str">
        <f t="shared" si="84"/>
        <v>Cumple</v>
      </c>
      <c r="D2663" s="17">
        <v>9837</v>
      </c>
      <c r="E2663" s="19" t="s">
        <v>13</v>
      </c>
      <c r="F2663" s="12">
        <v>6</v>
      </c>
      <c r="G2663">
        <v>6</v>
      </c>
      <c r="H2663">
        <f t="shared" si="83"/>
        <v>0</v>
      </c>
    </row>
    <row r="2664" spans="1:8" x14ac:dyDescent="0.2">
      <c r="A2664" t="s">
        <v>7</v>
      </c>
      <c r="B2664" t="s">
        <v>17</v>
      </c>
      <c r="C2664" t="str">
        <f t="shared" si="84"/>
        <v>No cumple</v>
      </c>
      <c r="D2664" s="17">
        <v>9891</v>
      </c>
      <c r="E2664" s="19" t="s">
        <v>13</v>
      </c>
      <c r="F2664">
        <v>0</v>
      </c>
      <c r="G2664">
        <v>6</v>
      </c>
      <c r="H2664">
        <f t="shared" si="83"/>
        <v>-6</v>
      </c>
    </row>
    <row r="2665" spans="1:8" x14ac:dyDescent="0.2">
      <c r="A2665" t="s">
        <v>18</v>
      </c>
      <c r="B2665" t="s">
        <v>17</v>
      </c>
      <c r="C2665" t="str">
        <f t="shared" si="84"/>
        <v>No cumple</v>
      </c>
      <c r="D2665" s="17">
        <v>3865</v>
      </c>
      <c r="E2665" s="19" t="s">
        <v>13</v>
      </c>
      <c r="F2665">
        <v>0</v>
      </c>
      <c r="G2665">
        <v>6</v>
      </c>
      <c r="H2665">
        <f t="shared" si="83"/>
        <v>-6</v>
      </c>
    </row>
    <row r="2666" spans="1:8" x14ac:dyDescent="0.2">
      <c r="A2666" t="s">
        <v>19</v>
      </c>
      <c r="B2666" t="s">
        <v>17</v>
      </c>
      <c r="C2666" t="str">
        <f t="shared" si="84"/>
        <v>Cumple</v>
      </c>
      <c r="D2666" s="17">
        <v>9063</v>
      </c>
      <c r="E2666" s="19" t="s">
        <v>13</v>
      </c>
      <c r="F2666" s="12">
        <v>6</v>
      </c>
      <c r="G2666">
        <v>6</v>
      </c>
      <c r="H2666">
        <f t="shared" si="83"/>
        <v>0</v>
      </c>
    </row>
    <row r="2667" spans="1:8" x14ac:dyDescent="0.2">
      <c r="A2667" t="s">
        <v>19</v>
      </c>
      <c r="B2667" t="s">
        <v>17</v>
      </c>
      <c r="C2667" t="str">
        <f t="shared" si="84"/>
        <v>No cumple</v>
      </c>
      <c r="D2667" s="17">
        <v>3365</v>
      </c>
      <c r="E2667" s="19" t="s">
        <v>13</v>
      </c>
      <c r="F2667">
        <v>0</v>
      </c>
      <c r="G2667">
        <v>6</v>
      </c>
      <c r="H2667">
        <f t="shared" si="83"/>
        <v>-6</v>
      </c>
    </row>
    <row r="2668" spans="1:8" x14ac:dyDescent="0.2">
      <c r="A2668" t="s">
        <v>7</v>
      </c>
      <c r="B2668" t="s">
        <v>17</v>
      </c>
      <c r="C2668" t="str">
        <f t="shared" si="84"/>
        <v>Cumple</v>
      </c>
      <c r="D2668" s="17">
        <v>376</v>
      </c>
      <c r="E2668" s="19" t="s">
        <v>15</v>
      </c>
      <c r="F2668">
        <v>29</v>
      </c>
      <c r="G2668">
        <v>6</v>
      </c>
      <c r="H2668">
        <f t="shared" si="83"/>
        <v>23</v>
      </c>
    </row>
    <row r="2669" spans="1:8" x14ac:dyDescent="0.2">
      <c r="A2669" t="s">
        <v>7</v>
      </c>
      <c r="B2669" t="s">
        <v>17</v>
      </c>
      <c r="C2669" t="str">
        <f t="shared" si="84"/>
        <v>Cumple</v>
      </c>
      <c r="D2669" s="17">
        <v>7581</v>
      </c>
      <c r="E2669" s="19" t="s">
        <v>15</v>
      </c>
      <c r="F2669">
        <v>26</v>
      </c>
      <c r="G2669">
        <v>6</v>
      </c>
      <c r="H2669">
        <f t="shared" si="83"/>
        <v>20</v>
      </c>
    </row>
    <row r="2670" spans="1:8" x14ac:dyDescent="0.2">
      <c r="A2670" t="s">
        <v>7</v>
      </c>
      <c r="B2670" t="s">
        <v>17</v>
      </c>
      <c r="C2670" t="str">
        <f t="shared" si="84"/>
        <v>Cumple</v>
      </c>
      <c r="D2670" s="17">
        <v>2726</v>
      </c>
      <c r="E2670" s="19" t="s">
        <v>15</v>
      </c>
      <c r="F2670">
        <v>25</v>
      </c>
      <c r="G2670">
        <v>6</v>
      </c>
      <c r="H2670">
        <f t="shared" si="83"/>
        <v>19</v>
      </c>
    </row>
    <row r="2671" spans="1:8" x14ac:dyDescent="0.2">
      <c r="A2671" t="s">
        <v>7</v>
      </c>
      <c r="B2671" t="s">
        <v>17</v>
      </c>
      <c r="C2671" t="str">
        <f t="shared" si="84"/>
        <v>Cumple</v>
      </c>
      <c r="D2671" s="17">
        <v>9110</v>
      </c>
      <c r="E2671" s="19" t="s">
        <v>15</v>
      </c>
      <c r="F2671">
        <v>25</v>
      </c>
      <c r="G2671">
        <v>6</v>
      </c>
      <c r="H2671">
        <f t="shared" si="83"/>
        <v>19</v>
      </c>
    </row>
    <row r="2672" spans="1:8" x14ac:dyDescent="0.2">
      <c r="A2672" t="s">
        <v>7</v>
      </c>
      <c r="B2672" t="s">
        <v>17</v>
      </c>
      <c r="C2672" t="str">
        <f t="shared" si="84"/>
        <v>Cumple</v>
      </c>
      <c r="D2672" s="17">
        <v>7635</v>
      </c>
      <c r="E2672" s="19" t="s">
        <v>15</v>
      </c>
      <c r="F2672">
        <v>19</v>
      </c>
      <c r="G2672">
        <v>6</v>
      </c>
      <c r="H2672">
        <f t="shared" si="83"/>
        <v>13</v>
      </c>
    </row>
    <row r="2673" spans="1:8" x14ac:dyDescent="0.2">
      <c r="A2673" t="s">
        <v>7</v>
      </c>
      <c r="B2673" t="s">
        <v>17</v>
      </c>
      <c r="C2673" t="str">
        <f t="shared" si="84"/>
        <v>Cumple</v>
      </c>
      <c r="D2673" s="17">
        <v>7628</v>
      </c>
      <c r="E2673" s="19" t="s">
        <v>15</v>
      </c>
      <c r="F2673">
        <v>18</v>
      </c>
      <c r="G2673">
        <v>6</v>
      </c>
      <c r="H2673">
        <f t="shared" si="83"/>
        <v>12</v>
      </c>
    </row>
    <row r="2674" spans="1:8" x14ac:dyDescent="0.2">
      <c r="A2674" t="s">
        <v>7</v>
      </c>
      <c r="B2674" t="s">
        <v>17</v>
      </c>
      <c r="C2674" t="str">
        <f t="shared" si="84"/>
        <v>Cumple</v>
      </c>
      <c r="D2674" s="17">
        <v>7566</v>
      </c>
      <c r="E2674" s="19" t="s">
        <v>15</v>
      </c>
      <c r="F2674">
        <v>16</v>
      </c>
      <c r="G2674">
        <v>6</v>
      </c>
      <c r="H2674">
        <f t="shared" si="83"/>
        <v>10</v>
      </c>
    </row>
    <row r="2675" spans="1:8" x14ac:dyDescent="0.2">
      <c r="A2675" t="s">
        <v>7</v>
      </c>
      <c r="B2675" t="s">
        <v>17</v>
      </c>
      <c r="C2675" t="str">
        <f t="shared" si="84"/>
        <v>Cumple</v>
      </c>
      <c r="D2675" s="17">
        <v>7059</v>
      </c>
      <c r="E2675" s="19" t="s">
        <v>15</v>
      </c>
      <c r="F2675">
        <v>12</v>
      </c>
      <c r="G2675">
        <v>6</v>
      </c>
      <c r="H2675">
        <f t="shared" si="83"/>
        <v>6</v>
      </c>
    </row>
    <row r="2676" spans="1:8" x14ac:dyDescent="0.2">
      <c r="A2676" t="s">
        <v>7</v>
      </c>
      <c r="B2676" t="s">
        <v>17</v>
      </c>
      <c r="C2676" t="str">
        <f t="shared" si="84"/>
        <v>Cumple</v>
      </c>
      <c r="D2676" s="17">
        <v>7123</v>
      </c>
      <c r="E2676" s="19" t="s">
        <v>15</v>
      </c>
      <c r="F2676">
        <v>12</v>
      </c>
      <c r="G2676">
        <v>6</v>
      </c>
      <c r="H2676">
        <f t="shared" si="83"/>
        <v>6</v>
      </c>
    </row>
    <row r="2677" spans="1:8" x14ac:dyDescent="0.2">
      <c r="A2677" t="s">
        <v>7</v>
      </c>
      <c r="B2677" t="s">
        <v>17</v>
      </c>
      <c r="C2677" t="str">
        <f t="shared" si="84"/>
        <v>Cumple</v>
      </c>
      <c r="D2677" s="17">
        <v>446</v>
      </c>
      <c r="E2677" s="19" t="s">
        <v>15</v>
      </c>
      <c r="F2677">
        <v>11</v>
      </c>
      <c r="G2677">
        <v>6</v>
      </c>
      <c r="H2677">
        <f t="shared" si="83"/>
        <v>5</v>
      </c>
    </row>
    <row r="2678" spans="1:8" x14ac:dyDescent="0.2">
      <c r="A2678" t="s">
        <v>7</v>
      </c>
      <c r="B2678" t="s">
        <v>17</v>
      </c>
      <c r="C2678" t="str">
        <f t="shared" si="84"/>
        <v>Cumple</v>
      </c>
      <c r="D2678" s="17">
        <v>3789</v>
      </c>
      <c r="E2678" s="19" t="s">
        <v>15</v>
      </c>
      <c r="F2678">
        <v>11</v>
      </c>
      <c r="G2678">
        <v>6</v>
      </c>
      <c r="H2678">
        <f t="shared" si="83"/>
        <v>5</v>
      </c>
    </row>
    <row r="2679" spans="1:8" x14ac:dyDescent="0.2">
      <c r="A2679" t="s">
        <v>7</v>
      </c>
      <c r="B2679" t="s">
        <v>17</v>
      </c>
      <c r="C2679" t="str">
        <f t="shared" si="84"/>
        <v>Cumple</v>
      </c>
      <c r="D2679" s="17">
        <v>7109</v>
      </c>
      <c r="E2679" s="19" t="s">
        <v>15</v>
      </c>
      <c r="F2679">
        <v>11</v>
      </c>
      <c r="G2679">
        <v>6</v>
      </c>
      <c r="H2679">
        <f t="shared" si="83"/>
        <v>5</v>
      </c>
    </row>
    <row r="2680" spans="1:8" x14ac:dyDescent="0.2">
      <c r="A2680" t="s">
        <v>7</v>
      </c>
      <c r="B2680" t="s">
        <v>17</v>
      </c>
      <c r="C2680" t="str">
        <f t="shared" si="84"/>
        <v>Cumple</v>
      </c>
      <c r="D2680" s="17">
        <v>7438</v>
      </c>
      <c r="E2680" s="19" t="s">
        <v>15</v>
      </c>
      <c r="F2680">
        <v>10</v>
      </c>
      <c r="G2680">
        <v>6</v>
      </c>
      <c r="H2680">
        <f t="shared" si="83"/>
        <v>4</v>
      </c>
    </row>
    <row r="2681" spans="1:8" x14ac:dyDescent="0.2">
      <c r="A2681" t="s">
        <v>7</v>
      </c>
      <c r="B2681" t="s">
        <v>17</v>
      </c>
      <c r="C2681" t="str">
        <f t="shared" si="84"/>
        <v>Cumple</v>
      </c>
      <c r="D2681" s="17">
        <v>9281</v>
      </c>
      <c r="E2681" s="19" t="s">
        <v>15</v>
      </c>
      <c r="F2681">
        <v>10</v>
      </c>
      <c r="G2681">
        <v>6</v>
      </c>
      <c r="H2681">
        <f t="shared" si="83"/>
        <v>4</v>
      </c>
    </row>
    <row r="2682" spans="1:8" x14ac:dyDescent="0.2">
      <c r="A2682" t="s">
        <v>7</v>
      </c>
      <c r="B2682" t="s">
        <v>17</v>
      </c>
      <c r="C2682" t="str">
        <f t="shared" si="84"/>
        <v>Cumple</v>
      </c>
      <c r="D2682" s="17">
        <v>7051</v>
      </c>
      <c r="E2682" s="19" t="s">
        <v>15</v>
      </c>
      <c r="F2682">
        <v>9</v>
      </c>
      <c r="G2682">
        <v>6</v>
      </c>
      <c r="H2682">
        <f t="shared" si="83"/>
        <v>3</v>
      </c>
    </row>
    <row r="2683" spans="1:8" x14ac:dyDescent="0.2">
      <c r="A2683" t="s">
        <v>7</v>
      </c>
      <c r="B2683" t="s">
        <v>17</v>
      </c>
      <c r="C2683" t="str">
        <f t="shared" si="84"/>
        <v>Cumple</v>
      </c>
      <c r="D2683" s="17">
        <v>7055</v>
      </c>
      <c r="E2683" s="19" t="s">
        <v>15</v>
      </c>
      <c r="F2683">
        <v>9</v>
      </c>
      <c r="G2683">
        <v>6</v>
      </c>
      <c r="H2683">
        <f t="shared" si="83"/>
        <v>3</v>
      </c>
    </row>
    <row r="2684" spans="1:8" x14ac:dyDescent="0.2">
      <c r="A2684" t="s">
        <v>7</v>
      </c>
      <c r="B2684" t="s">
        <v>17</v>
      </c>
      <c r="C2684" t="str">
        <f t="shared" si="84"/>
        <v>Cumple</v>
      </c>
      <c r="D2684" s="17">
        <v>7090</v>
      </c>
      <c r="E2684" s="19" t="s">
        <v>15</v>
      </c>
      <c r="F2684">
        <v>9</v>
      </c>
      <c r="G2684">
        <v>6</v>
      </c>
      <c r="H2684">
        <f t="shared" si="83"/>
        <v>3</v>
      </c>
    </row>
    <row r="2685" spans="1:8" x14ac:dyDescent="0.2">
      <c r="A2685" t="s">
        <v>7</v>
      </c>
      <c r="B2685" t="s">
        <v>17</v>
      </c>
      <c r="C2685" t="str">
        <f t="shared" si="84"/>
        <v>Cumple</v>
      </c>
      <c r="D2685" s="17">
        <v>7629</v>
      </c>
      <c r="E2685" s="19" t="s">
        <v>15</v>
      </c>
      <c r="F2685">
        <v>9</v>
      </c>
      <c r="G2685">
        <v>6</v>
      </c>
      <c r="H2685">
        <f t="shared" si="83"/>
        <v>3</v>
      </c>
    </row>
    <row r="2686" spans="1:8" x14ac:dyDescent="0.2">
      <c r="A2686" t="s">
        <v>7</v>
      </c>
      <c r="B2686" t="s">
        <v>17</v>
      </c>
      <c r="C2686" t="str">
        <f t="shared" si="84"/>
        <v>Cumple</v>
      </c>
      <c r="D2686" s="17">
        <v>2210</v>
      </c>
      <c r="E2686" s="19" t="s">
        <v>15</v>
      </c>
      <c r="F2686">
        <v>8</v>
      </c>
      <c r="G2686">
        <v>6</v>
      </c>
      <c r="H2686">
        <f t="shared" si="83"/>
        <v>2</v>
      </c>
    </row>
    <row r="2687" spans="1:8" x14ac:dyDescent="0.2">
      <c r="A2687" t="s">
        <v>7</v>
      </c>
      <c r="B2687" t="s">
        <v>17</v>
      </c>
      <c r="C2687" t="str">
        <f t="shared" si="84"/>
        <v>Cumple</v>
      </c>
      <c r="D2687" s="17">
        <v>7591</v>
      </c>
      <c r="E2687" s="19" t="s">
        <v>15</v>
      </c>
      <c r="F2687">
        <v>8</v>
      </c>
      <c r="G2687">
        <v>6</v>
      </c>
      <c r="H2687">
        <f t="shared" si="83"/>
        <v>2</v>
      </c>
    </row>
    <row r="2688" spans="1:8" x14ac:dyDescent="0.2">
      <c r="A2688" t="s">
        <v>7</v>
      </c>
      <c r="B2688" t="s">
        <v>17</v>
      </c>
      <c r="C2688" t="str">
        <f t="shared" si="84"/>
        <v>Cumple</v>
      </c>
      <c r="D2688" s="17">
        <v>9802</v>
      </c>
      <c r="E2688" s="19" t="s">
        <v>15</v>
      </c>
      <c r="F2688">
        <v>8</v>
      </c>
      <c r="G2688">
        <v>6</v>
      </c>
      <c r="H2688">
        <f t="shared" si="83"/>
        <v>2</v>
      </c>
    </row>
    <row r="2689" spans="1:8" x14ac:dyDescent="0.2">
      <c r="A2689" t="s">
        <v>7</v>
      </c>
      <c r="B2689" t="s">
        <v>17</v>
      </c>
      <c r="C2689" t="str">
        <f t="shared" si="84"/>
        <v>Cumple</v>
      </c>
      <c r="D2689" s="17">
        <v>7044</v>
      </c>
      <c r="E2689" s="19" t="s">
        <v>15</v>
      </c>
      <c r="F2689">
        <v>7</v>
      </c>
      <c r="G2689">
        <v>6</v>
      </c>
      <c r="H2689">
        <f t="shared" si="83"/>
        <v>1</v>
      </c>
    </row>
    <row r="2690" spans="1:8" x14ac:dyDescent="0.2">
      <c r="A2690" t="s">
        <v>7</v>
      </c>
      <c r="B2690" t="s">
        <v>17</v>
      </c>
      <c r="C2690" t="str">
        <f t="shared" si="84"/>
        <v>Cumple</v>
      </c>
      <c r="D2690" s="17">
        <v>2849</v>
      </c>
      <c r="E2690" s="19" t="s">
        <v>15</v>
      </c>
      <c r="F2690">
        <v>6</v>
      </c>
      <c r="G2690">
        <v>6</v>
      </c>
      <c r="H2690">
        <f t="shared" si="83"/>
        <v>0</v>
      </c>
    </row>
    <row r="2691" spans="1:8" x14ac:dyDescent="0.2">
      <c r="A2691" t="s">
        <v>7</v>
      </c>
      <c r="B2691" t="s">
        <v>17</v>
      </c>
      <c r="C2691" t="str">
        <f t="shared" si="84"/>
        <v>Cumple</v>
      </c>
      <c r="D2691" s="17">
        <v>9120</v>
      </c>
      <c r="E2691" s="19" t="s">
        <v>16</v>
      </c>
      <c r="F2691">
        <v>6</v>
      </c>
      <c r="G2691">
        <v>6</v>
      </c>
      <c r="H2691">
        <f t="shared" ref="H2691:H2754" si="85">F2691-G2691</f>
        <v>0</v>
      </c>
    </row>
    <row r="2692" spans="1:8" x14ac:dyDescent="0.2">
      <c r="A2692" t="s">
        <v>7</v>
      </c>
      <c r="B2692" t="s">
        <v>17</v>
      </c>
      <c r="C2692" t="str">
        <f t="shared" ref="C2692:C2755" si="86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>
        <f t="shared" si="85"/>
        <v>0</v>
      </c>
    </row>
    <row r="2693" spans="1:8" x14ac:dyDescent="0.2">
      <c r="A2693" t="s">
        <v>7</v>
      </c>
      <c r="B2693" t="s">
        <v>17</v>
      </c>
      <c r="C2693" t="str">
        <f t="shared" si="86"/>
        <v>No cumple</v>
      </c>
      <c r="D2693" s="17">
        <v>7038</v>
      </c>
      <c r="E2693" s="19" t="s">
        <v>15</v>
      </c>
      <c r="F2693">
        <v>5</v>
      </c>
      <c r="G2693">
        <v>6</v>
      </c>
      <c r="H2693">
        <f t="shared" si="85"/>
        <v>-1</v>
      </c>
    </row>
    <row r="2694" spans="1:8" x14ac:dyDescent="0.2">
      <c r="A2694" t="s">
        <v>7</v>
      </c>
      <c r="B2694" t="s">
        <v>17</v>
      </c>
      <c r="C2694" t="str">
        <f t="shared" si="86"/>
        <v>No cumple</v>
      </c>
      <c r="D2694" s="17">
        <v>9259</v>
      </c>
      <c r="E2694" s="19" t="s">
        <v>15</v>
      </c>
      <c r="F2694">
        <v>5</v>
      </c>
      <c r="G2694">
        <v>6</v>
      </c>
      <c r="H2694">
        <f t="shared" si="85"/>
        <v>-1</v>
      </c>
    </row>
    <row r="2695" spans="1:8" x14ac:dyDescent="0.2">
      <c r="A2695" t="s">
        <v>7</v>
      </c>
      <c r="B2695" t="s">
        <v>17</v>
      </c>
      <c r="C2695" t="str">
        <f t="shared" si="86"/>
        <v>No cumple</v>
      </c>
      <c r="D2695" s="17">
        <v>7071</v>
      </c>
      <c r="E2695" s="19" t="s">
        <v>15</v>
      </c>
      <c r="F2695">
        <v>4</v>
      </c>
      <c r="G2695">
        <v>6</v>
      </c>
      <c r="H2695">
        <f t="shared" si="85"/>
        <v>-2</v>
      </c>
    </row>
    <row r="2696" spans="1:8" x14ac:dyDescent="0.2">
      <c r="A2696" t="s">
        <v>7</v>
      </c>
      <c r="B2696" t="s">
        <v>17</v>
      </c>
      <c r="C2696" t="str">
        <f t="shared" si="86"/>
        <v>No cumple</v>
      </c>
      <c r="D2696" s="17">
        <v>7092</v>
      </c>
      <c r="E2696" s="19" t="s">
        <v>15</v>
      </c>
      <c r="F2696">
        <v>4</v>
      </c>
      <c r="G2696">
        <v>6</v>
      </c>
      <c r="H2696">
        <f t="shared" si="85"/>
        <v>-2</v>
      </c>
    </row>
    <row r="2697" spans="1:8" x14ac:dyDescent="0.2">
      <c r="A2697" t="s">
        <v>7</v>
      </c>
      <c r="B2697" t="s">
        <v>17</v>
      </c>
      <c r="C2697" t="str">
        <f t="shared" si="86"/>
        <v>Cumple</v>
      </c>
      <c r="D2697" s="17">
        <v>9302</v>
      </c>
      <c r="E2697" s="19" t="s">
        <v>15</v>
      </c>
      <c r="F2697" s="12">
        <v>6</v>
      </c>
      <c r="G2697">
        <v>6</v>
      </c>
      <c r="H2697">
        <f t="shared" si="85"/>
        <v>0</v>
      </c>
    </row>
    <row r="2698" spans="1:8" x14ac:dyDescent="0.2">
      <c r="A2698" t="s">
        <v>7</v>
      </c>
      <c r="B2698" t="s">
        <v>17</v>
      </c>
      <c r="C2698" t="str">
        <f t="shared" si="86"/>
        <v>No cumple</v>
      </c>
      <c r="D2698" s="17">
        <v>7042</v>
      </c>
      <c r="E2698" s="19" t="s">
        <v>15</v>
      </c>
      <c r="F2698">
        <v>3</v>
      </c>
      <c r="G2698">
        <v>6</v>
      </c>
      <c r="H2698">
        <f t="shared" si="85"/>
        <v>-3</v>
      </c>
    </row>
    <row r="2699" spans="1:8" x14ac:dyDescent="0.2">
      <c r="A2699" t="s">
        <v>7</v>
      </c>
      <c r="B2699" t="s">
        <v>17</v>
      </c>
      <c r="C2699" t="str">
        <f t="shared" si="86"/>
        <v>No cumple</v>
      </c>
      <c r="D2699" s="17">
        <v>7045</v>
      </c>
      <c r="E2699" s="19" t="s">
        <v>15</v>
      </c>
      <c r="F2699">
        <v>3</v>
      </c>
      <c r="G2699">
        <v>6</v>
      </c>
      <c r="H2699">
        <f t="shared" si="85"/>
        <v>-3</v>
      </c>
    </row>
    <row r="2700" spans="1:8" x14ac:dyDescent="0.2">
      <c r="A2700" t="s">
        <v>7</v>
      </c>
      <c r="B2700" t="s">
        <v>17</v>
      </c>
      <c r="C2700" t="str">
        <f t="shared" si="86"/>
        <v>No cumple</v>
      </c>
      <c r="D2700" s="17">
        <v>7084</v>
      </c>
      <c r="E2700" s="19" t="s">
        <v>15</v>
      </c>
      <c r="F2700">
        <v>3</v>
      </c>
      <c r="G2700">
        <v>6</v>
      </c>
      <c r="H2700">
        <f t="shared" si="85"/>
        <v>-3</v>
      </c>
    </row>
    <row r="2701" spans="1:8" x14ac:dyDescent="0.2">
      <c r="A2701" t="s">
        <v>7</v>
      </c>
      <c r="B2701" t="s">
        <v>17</v>
      </c>
      <c r="C2701" t="str">
        <f t="shared" si="86"/>
        <v>No cumple</v>
      </c>
      <c r="D2701" s="17">
        <v>7580</v>
      </c>
      <c r="E2701" s="19" t="s">
        <v>15</v>
      </c>
      <c r="F2701">
        <v>3</v>
      </c>
      <c r="G2701">
        <v>6</v>
      </c>
      <c r="H2701">
        <f t="shared" si="85"/>
        <v>-3</v>
      </c>
    </row>
    <row r="2702" spans="1:8" x14ac:dyDescent="0.2">
      <c r="A2702" t="s">
        <v>7</v>
      </c>
      <c r="B2702" t="s">
        <v>17</v>
      </c>
      <c r="C2702" t="str">
        <f t="shared" si="86"/>
        <v>No cumple</v>
      </c>
      <c r="D2702" s="17">
        <v>7631</v>
      </c>
      <c r="E2702" s="19" t="s">
        <v>15</v>
      </c>
      <c r="F2702">
        <v>3</v>
      </c>
      <c r="G2702">
        <v>6</v>
      </c>
      <c r="H2702">
        <f t="shared" si="85"/>
        <v>-3</v>
      </c>
    </row>
    <row r="2703" spans="1:8" x14ac:dyDescent="0.2">
      <c r="A2703" t="s">
        <v>7</v>
      </c>
      <c r="B2703" t="s">
        <v>17</v>
      </c>
      <c r="C2703" t="str">
        <f t="shared" si="86"/>
        <v>Cumple</v>
      </c>
      <c r="D2703" s="17">
        <v>9443</v>
      </c>
      <c r="E2703" s="19" t="s">
        <v>15</v>
      </c>
      <c r="F2703" s="12">
        <v>6</v>
      </c>
      <c r="G2703">
        <v>6</v>
      </c>
      <c r="H2703">
        <f t="shared" si="85"/>
        <v>0</v>
      </c>
    </row>
    <row r="2704" spans="1:8" x14ac:dyDescent="0.2">
      <c r="A2704" t="s">
        <v>7</v>
      </c>
      <c r="B2704" t="s">
        <v>17</v>
      </c>
      <c r="C2704" t="str">
        <f t="shared" si="86"/>
        <v>No cumple</v>
      </c>
      <c r="D2704" s="17">
        <v>9543</v>
      </c>
      <c r="E2704" s="19" t="s">
        <v>15</v>
      </c>
      <c r="F2704">
        <v>3</v>
      </c>
      <c r="G2704">
        <v>6</v>
      </c>
      <c r="H2704">
        <f t="shared" si="85"/>
        <v>-3</v>
      </c>
    </row>
    <row r="2705" spans="1:8" x14ac:dyDescent="0.2">
      <c r="A2705" t="s">
        <v>7</v>
      </c>
      <c r="B2705" t="s">
        <v>17</v>
      </c>
      <c r="C2705" t="str">
        <f t="shared" si="86"/>
        <v>No cumple</v>
      </c>
      <c r="D2705" s="17">
        <v>7014</v>
      </c>
      <c r="E2705" s="19" t="s">
        <v>15</v>
      </c>
      <c r="F2705">
        <v>2</v>
      </c>
      <c r="G2705">
        <v>6</v>
      </c>
      <c r="H2705">
        <f t="shared" si="85"/>
        <v>-4</v>
      </c>
    </row>
    <row r="2706" spans="1:8" x14ac:dyDescent="0.2">
      <c r="A2706" t="s">
        <v>7</v>
      </c>
      <c r="B2706" t="s">
        <v>17</v>
      </c>
      <c r="C2706" t="str">
        <f t="shared" si="86"/>
        <v>No cumple</v>
      </c>
      <c r="D2706" s="17">
        <v>7032</v>
      </c>
      <c r="E2706" s="19" t="s">
        <v>15</v>
      </c>
      <c r="F2706">
        <v>2</v>
      </c>
      <c r="G2706">
        <v>6</v>
      </c>
      <c r="H2706">
        <f t="shared" si="85"/>
        <v>-4</v>
      </c>
    </row>
    <row r="2707" spans="1:8" x14ac:dyDescent="0.2">
      <c r="A2707" t="s">
        <v>7</v>
      </c>
      <c r="B2707" t="s">
        <v>17</v>
      </c>
      <c r="C2707" t="str">
        <f t="shared" si="86"/>
        <v>No cumple</v>
      </c>
      <c r="D2707" s="17">
        <v>7097</v>
      </c>
      <c r="E2707" s="19" t="s">
        <v>15</v>
      </c>
      <c r="F2707">
        <v>2</v>
      </c>
      <c r="G2707">
        <v>6</v>
      </c>
      <c r="H2707">
        <f t="shared" si="85"/>
        <v>-4</v>
      </c>
    </row>
    <row r="2708" spans="1:8" x14ac:dyDescent="0.2">
      <c r="A2708" t="s">
        <v>7</v>
      </c>
      <c r="B2708" t="s">
        <v>17</v>
      </c>
      <c r="C2708" t="str">
        <f t="shared" si="86"/>
        <v>Cumple</v>
      </c>
      <c r="D2708" s="17">
        <v>7632</v>
      </c>
      <c r="E2708" s="19" t="s">
        <v>15</v>
      </c>
      <c r="F2708" s="12">
        <v>6</v>
      </c>
      <c r="G2708">
        <v>6</v>
      </c>
      <c r="H2708">
        <f t="shared" si="85"/>
        <v>0</v>
      </c>
    </row>
    <row r="2709" spans="1:8" x14ac:dyDescent="0.2">
      <c r="A2709" t="s">
        <v>7</v>
      </c>
      <c r="B2709" t="s">
        <v>17</v>
      </c>
      <c r="C2709" t="str">
        <f t="shared" si="86"/>
        <v>No cumple</v>
      </c>
      <c r="D2709" s="17">
        <v>9334</v>
      </c>
      <c r="E2709" s="19" t="s">
        <v>15</v>
      </c>
      <c r="F2709">
        <v>2</v>
      </c>
      <c r="G2709">
        <v>6</v>
      </c>
      <c r="H2709">
        <f t="shared" si="85"/>
        <v>-4</v>
      </c>
    </row>
    <row r="2710" spans="1:8" x14ac:dyDescent="0.2">
      <c r="A2710" t="s">
        <v>7</v>
      </c>
      <c r="B2710" t="s">
        <v>17</v>
      </c>
      <c r="C2710" t="str">
        <f t="shared" si="86"/>
        <v>Cumple</v>
      </c>
      <c r="D2710" s="17">
        <v>9604</v>
      </c>
      <c r="E2710" s="19" t="s">
        <v>15</v>
      </c>
      <c r="F2710" s="12">
        <v>6</v>
      </c>
      <c r="G2710">
        <v>6</v>
      </c>
      <c r="H2710">
        <f t="shared" si="85"/>
        <v>0</v>
      </c>
    </row>
    <row r="2711" spans="1:8" x14ac:dyDescent="0.2">
      <c r="A2711" t="s">
        <v>7</v>
      </c>
      <c r="B2711" t="s">
        <v>17</v>
      </c>
      <c r="C2711" t="str">
        <f t="shared" si="86"/>
        <v>No cumple</v>
      </c>
      <c r="D2711" s="17">
        <v>7046</v>
      </c>
      <c r="E2711" s="19" t="s">
        <v>15</v>
      </c>
      <c r="F2711">
        <v>1</v>
      </c>
      <c r="G2711">
        <v>6</v>
      </c>
      <c r="H2711">
        <f t="shared" si="85"/>
        <v>-5</v>
      </c>
    </row>
    <row r="2712" spans="1:8" x14ac:dyDescent="0.2">
      <c r="A2712" t="s">
        <v>7</v>
      </c>
      <c r="B2712" t="s">
        <v>17</v>
      </c>
      <c r="C2712" t="str">
        <f t="shared" si="86"/>
        <v>No cumple</v>
      </c>
      <c r="D2712" s="17">
        <v>7116</v>
      </c>
      <c r="E2712" s="19" t="s">
        <v>15</v>
      </c>
      <c r="F2712">
        <v>1</v>
      </c>
      <c r="G2712">
        <v>6</v>
      </c>
      <c r="H2712">
        <f t="shared" si="85"/>
        <v>-5</v>
      </c>
    </row>
    <row r="2713" spans="1:8" x14ac:dyDescent="0.2">
      <c r="A2713" t="s">
        <v>7</v>
      </c>
      <c r="B2713" t="s">
        <v>17</v>
      </c>
      <c r="C2713" t="str">
        <f t="shared" si="86"/>
        <v>No cumple</v>
      </c>
      <c r="D2713" s="17">
        <v>7398</v>
      </c>
      <c r="E2713" s="19" t="s">
        <v>15</v>
      </c>
      <c r="F2713">
        <v>1</v>
      </c>
      <c r="G2713">
        <v>6</v>
      </c>
      <c r="H2713">
        <f t="shared" si="85"/>
        <v>-5</v>
      </c>
    </row>
    <row r="2714" spans="1:8" x14ac:dyDescent="0.2">
      <c r="A2714" t="s">
        <v>7</v>
      </c>
      <c r="B2714" t="s">
        <v>17</v>
      </c>
      <c r="C2714" t="str">
        <f t="shared" si="86"/>
        <v>No cumple</v>
      </c>
      <c r="D2714" s="17">
        <v>7559</v>
      </c>
      <c r="E2714" s="19" t="s">
        <v>15</v>
      </c>
      <c r="F2714">
        <v>1</v>
      </c>
      <c r="G2714">
        <v>6</v>
      </c>
      <c r="H2714">
        <f t="shared" si="85"/>
        <v>-5</v>
      </c>
    </row>
    <row r="2715" spans="1:8" x14ac:dyDescent="0.2">
      <c r="A2715" t="s">
        <v>7</v>
      </c>
      <c r="B2715" t="s">
        <v>17</v>
      </c>
      <c r="C2715" t="str">
        <f t="shared" si="86"/>
        <v>No cumple</v>
      </c>
      <c r="D2715" s="17">
        <v>7578</v>
      </c>
      <c r="E2715" s="19" t="s">
        <v>15</v>
      </c>
      <c r="F2715">
        <v>1</v>
      </c>
      <c r="G2715">
        <v>6</v>
      </c>
      <c r="H2715">
        <f t="shared" si="85"/>
        <v>-5</v>
      </c>
    </row>
    <row r="2716" spans="1:8" x14ac:dyDescent="0.2">
      <c r="A2716" t="s">
        <v>7</v>
      </c>
      <c r="B2716" t="s">
        <v>17</v>
      </c>
      <c r="C2716" t="str">
        <f t="shared" si="86"/>
        <v>No cumple</v>
      </c>
      <c r="D2716" s="17">
        <v>7606</v>
      </c>
      <c r="E2716" s="19" t="s">
        <v>15</v>
      </c>
      <c r="F2716">
        <v>1</v>
      </c>
      <c r="G2716">
        <v>6</v>
      </c>
      <c r="H2716">
        <f t="shared" si="85"/>
        <v>-5</v>
      </c>
    </row>
    <row r="2717" spans="1:8" x14ac:dyDescent="0.2">
      <c r="A2717" t="s">
        <v>7</v>
      </c>
      <c r="B2717" t="s">
        <v>17</v>
      </c>
      <c r="C2717" t="str">
        <f t="shared" si="86"/>
        <v>No cumple</v>
      </c>
      <c r="D2717" s="17">
        <v>7622</v>
      </c>
      <c r="E2717" s="19" t="s">
        <v>15</v>
      </c>
      <c r="F2717">
        <v>1</v>
      </c>
      <c r="G2717">
        <v>6</v>
      </c>
      <c r="H2717">
        <f t="shared" si="85"/>
        <v>-5</v>
      </c>
    </row>
    <row r="2718" spans="1:8" x14ac:dyDescent="0.2">
      <c r="A2718" t="s">
        <v>7</v>
      </c>
      <c r="B2718" t="s">
        <v>17</v>
      </c>
      <c r="C2718" t="str">
        <f t="shared" si="86"/>
        <v>No cumple</v>
      </c>
      <c r="D2718" s="17">
        <v>8001</v>
      </c>
      <c r="E2718" s="19" t="s">
        <v>15</v>
      </c>
      <c r="F2718">
        <v>1</v>
      </c>
      <c r="G2718">
        <v>6</v>
      </c>
      <c r="H2718">
        <f t="shared" si="85"/>
        <v>-5</v>
      </c>
    </row>
    <row r="2719" spans="1:8" x14ac:dyDescent="0.2">
      <c r="A2719" t="s">
        <v>7</v>
      </c>
      <c r="B2719" t="s">
        <v>17</v>
      </c>
      <c r="C2719" t="str">
        <f t="shared" si="86"/>
        <v>No cumple</v>
      </c>
      <c r="D2719" s="17">
        <v>9152</v>
      </c>
      <c r="E2719" s="19" t="s">
        <v>15</v>
      </c>
      <c r="F2719">
        <v>1</v>
      </c>
      <c r="G2719">
        <v>6</v>
      </c>
      <c r="H2719">
        <f t="shared" si="85"/>
        <v>-5</v>
      </c>
    </row>
    <row r="2720" spans="1:8" x14ac:dyDescent="0.2">
      <c r="A2720" t="s">
        <v>7</v>
      </c>
      <c r="B2720" t="s">
        <v>17</v>
      </c>
      <c r="C2720" t="str">
        <f t="shared" si="86"/>
        <v>No cumple</v>
      </c>
      <c r="D2720" s="17">
        <v>9395</v>
      </c>
      <c r="E2720" s="19" t="s">
        <v>16</v>
      </c>
      <c r="F2720">
        <v>1</v>
      </c>
      <c r="G2720">
        <v>6</v>
      </c>
      <c r="H2720">
        <f t="shared" si="85"/>
        <v>-5</v>
      </c>
    </row>
    <row r="2721" spans="1:8" x14ac:dyDescent="0.2">
      <c r="A2721" t="s">
        <v>7</v>
      </c>
      <c r="B2721" t="s">
        <v>17</v>
      </c>
      <c r="C2721" t="str">
        <f t="shared" si="86"/>
        <v>No cumple</v>
      </c>
      <c r="D2721" s="17">
        <v>9424</v>
      </c>
      <c r="E2721" s="19" t="s">
        <v>15</v>
      </c>
      <c r="F2721">
        <v>1</v>
      </c>
      <c r="G2721">
        <v>6</v>
      </c>
      <c r="H2721">
        <f t="shared" si="85"/>
        <v>-5</v>
      </c>
    </row>
    <row r="2722" spans="1:8" x14ac:dyDescent="0.2">
      <c r="A2722" t="s">
        <v>7</v>
      </c>
      <c r="B2722" t="s">
        <v>17</v>
      </c>
      <c r="C2722" t="str">
        <f t="shared" si="86"/>
        <v>No cumple</v>
      </c>
      <c r="D2722" s="17">
        <v>9761</v>
      </c>
      <c r="E2722" s="19" t="s">
        <v>15</v>
      </c>
      <c r="F2722">
        <v>1</v>
      </c>
      <c r="G2722">
        <v>6</v>
      </c>
      <c r="H2722">
        <f t="shared" si="85"/>
        <v>-5</v>
      </c>
    </row>
    <row r="2723" spans="1:8" x14ac:dyDescent="0.2">
      <c r="A2723" t="s">
        <v>7</v>
      </c>
      <c r="B2723" t="s">
        <v>17</v>
      </c>
      <c r="C2723" t="str">
        <f t="shared" si="86"/>
        <v>No cumple</v>
      </c>
      <c r="D2723" s="17">
        <v>136</v>
      </c>
      <c r="E2723" s="19" t="s">
        <v>16</v>
      </c>
      <c r="F2723">
        <v>0</v>
      </c>
      <c r="G2723">
        <v>6</v>
      </c>
      <c r="H2723">
        <f t="shared" si="85"/>
        <v>-6</v>
      </c>
    </row>
    <row r="2724" spans="1:8" x14ac:dyDescent="0.2">
      <c r="A2724" t="s">
        <v>7</v>
      </c>
      <c r="B2724" t="s">
        <v>17</v>
      </c>
      <c r="C2724" t="str">
        <f t="shared" si="86"/>
        <v>No cumple</v>
      </c>
      <c r="D2724" s="17">
        <v>1089</v>
      </c>
      <c r="E2724" s="19" t="s">
        <v>16</v>
      </c>
      <c r="F2724">
        <v>0</v>
      </c>
      <c r="G2724">
        <v>6</v>
      </c>
      <c r="H2724">
        <f t="shared" si="85"/>
        <v>-6</v>
      </c>
    </row>
    <row r="2725" spans="1:8" x14ac:dyDescent="0.2">
      <c r="A2725" t="s">
        <v>7</v>
      </c>
      <c r="B2725" t="s">
        <v>17</v>
      </c>
      <c r="C2725" t="str">
        <f t="shared" si="86"/>
        <v>No cumple</v>
      </c>
      <c r="D2725" s="17">
        <v>1539</v>
      </c>
      <c r="E2725" s="19" t="s">
        <v>16</v>
      </c>
      <c r="F2725">
        <v>0</v>
      </c>
      <c r="G2725">
        <v>6</v>
      </c>
      <c r="H2725">
        <f t="shared" si="85"/>
        <v>-6</v>
      </c>
    </row>
    <row r="2726" spans="1:8" x14ac:dyDescent="0.2">
      <c r="A2726" t="s">
        <v>7</v>
      </c>
      <c r="B2726" t="s">
        <v>17</v>
      </c>
      <c r="C2726" t="str">
        <f t="shared" si="86"/>
        <v>No cumple</v>
      </c>
      <c r="D2726" s="17">
        <v>1864</v>
      </c>
      <c r="E2726" s="19" t="s">
        <v>15</v>
      </c>
      <c r="F2726">
        <v>0</v>
      </c>
      <c r="G2726">
        <v>6</v>
      </c>
      <c r="H2726">
        <f t="shared" si="85"/>
        <v>-6</v>
      </c>
    </row>
    <row r="2727" spans="1:8" x14ac:dyDescent="0.2">
      <c r="A2727" t="s">
        <v>19</v>
      </c>
      <c r="B2727" t="s">
        <v>17</v>
      </c>
      <c r="C2727" t="str">
        <f t="shared" si="86"/>
        <v>No cumple</v>
      </c>
      <c r="D2727" s="17">
        <v>2736</v>
      </c>
      <c r="E2727" s="19" t="s">
        <v>15</v>
      </c>
      <c r="F2727">
        <v>0</v>
      </c>
      <c r="G2727">
        <v>6</v>
      </c>
      <c r="H2727">
        <f t="shared" si="85"/>
        <v>-6</v>
      </c>
    </row>
    <row r="2728" spans="1:8" x14ac:dyDescent="0.2">
      <c r="A2728" t="s">
        <v>7</v>
      </c>
      <c r="B2728" t="s">
        <v>17</v>
      </c>
      <c r="C2728" t="str">
        <f t="shared" si="86"/>
        <v>No cumple</v>
      </c>
      <c r="D2728" s="17">
        <v>3224</v>
      </c>
      <c r="E2728" s="19" t="s">
        <v>15</v>
      </c>
      <c r="F2728">
        <v>0</v>
      </c>
      <c r="G2728">
        <v>6</v>
      </c>
      <c r="H2728">
        <f t="shared" si="85"/>
        <v>-6</v>
      </c>
    </row>
    <row r="2729" spans="1:8" x14ac:dyDescent="0.2">
      <c r="A2729" t="s">
        <v>7</v>
      </c>
      <c r="B2729" t="s">
        <v>17</v>
      </c>
      <c r="C2729" t="str">
        <f t="shared" si="86"/>
        <v>No cumple</v>
      </c>
      <c r="D2729" s="17">
        <v>3583</v>
      </c>
      <c r="E2729" s="19" t="s">
        <v>16</v>
      </c>
      <c r="F2729">
        <v>0</v>
      </c>
      <c r="G2729">
        <v>6</v>
      </c>
      <c r="H2729">
        <f t="shared" si="85"/>
        <v>-6</v>
      </c>
    </row>
    <row r="2730" spans="1:8" x14ac:dyDescent="0.2">
      <c r="A2730" t="s">
        <v>7</v>
      </c>
      <c r="B2730" t="s">
        <v>17</v>
      </c>
      <c r="C2730" t="str">
        <f t="shared" si="86"/>
        <v>No cumple</v>
      </c>
      <c r="D2730" s="17">
        <v>3757</v>
      </c>
      <c r="E2730" s="19" t="s">
        <v>15</v>
      </c>
      <c r="F2730">
        <v>0</v>
      </c>
      <c r="G2730">
        <v>6</v>
      </c>
      <c r="H2730">
        <f t="shared" si="85"/>
        <v>-6</v>
      </c>
    </row>
    <row r="2731" spans="1:8" x14ac:dyDescent="0.2">
      <c r="A2731" t="s">
        <v>7</v>
      </c>
      <c r="B2731" t="s">
        <v>17</v>
      </c>
      <c r="C2731" t="str">
        <f t="shared" si="86"/>
        <v>No cumple</v>
      </c>
      <c r="D2731" s="17">
        <v>3835</v>
      </c>
      <c r="E2731" s="19" t="s">
        <v>16</v>
      </c>
      <c r="F2731">
        <v>0</v>
      </c>
      <c r="G2731">
        <v>6</v>
      </c>
      <c r="H2731">
        <f t="shared" si="85"/>
        <v>-6</v>
      </c>
    </row>
    <row r="2732" spans="1:8" x14ac:dyDescent="0.2">
      <c r="A2732" t="s">
        <v>7</v>
      </c>
      <c r="B2732" t="s">
        <v>17</v>
      </c>
      <c r="C2732" t="str">
        <f t="shared" si="86"/>
        <v>No cumple</v>
      </c>
      <c r="D2732" s="17">
        <v>3844</v>
      </c>
      <c r="E2732" s="19" t="s">
        <v>15</v>
      </c>
      <c r="F2732">
        <v>0</v>
      </c>
      <c r="G2732">
        <v>6</v>
      </c>
      <c r="H2732">
        <f t="shared" si="85"/>
        <v>-6</v>
      </c>
    </row>
    <row r="2733" spans="1:8" x14ac:dyDescent="0.2">
      <c r="A2733" t="s">
        <v>7</v>
      </c>
      <c r="B2733" t="s">
        <v>17</v>
      </c>
      <c r="C2733" t="str">
        <f t="shared" si="86"/>
        <v>No cumple</v>
      </c>
      <c r="D2733" s="17">
        <v>7008</v>
      </c>
      <c r="E2733" s="19" t="s">
        <v>15</v>
      </c>
      <c r="F2733">
        <v>0</v>
      </c>
      <c r="G2733">
        <v>6</v>
      </c>
      <c r="H2733">
        <f t="shared" si="85"/>
        <v>-6</v>
      </c>
    </row>
    <row r="2734" spans="1:8" x14ac:dyDescent="0.2">
      <c r="A2734" t="s">
        <v>7</v>
      </c>
      <c r="B2734" t="s">
        <v>17</v>
      </c>
      <c r="C2734" t="str">
        <f t="shared" si="86"/>
        <v>No cumple</v>
      </c>
      <c r="D2734" s="17">
        <v>7026</v>
      </c>
      <c r="E2734" s="19" t="s">
        <v>15</v>
      </c>
      <c r="F2734">
        <v>0</v>
      </c>
      <c r="G2734">
        <v>6</v>
      </c>
      <c r="H2734">
        <f t="shared" si="85"/>
        <v>-6</v>
      </c>
    </row>
    <row r="2735" spans="1:8" x14ac:dyDescent="0.2">
      <c r="A2735" t="s">
        <v>7</v>
      </c>
      <c r="B2735" t="s">
        <v>17</v>
      </c>
      <c r="C2735" t="str">
        <f t="shared" si="86"/>
        <v>No cumple</v>
      </c>
      <c r="D2735" s="17">
        <v>7066</v>
      </c>
      <c r="E2735" s="19" t="s">
        <v>15</v>
      </c>
      <c r="F2735">
        <v>0</v>
      </c>
      <c r="G2735">
        <v>6</v>
      </c>
      <c r="H2735">
        <f t="shared" si="85"/>
        <v>-6</v>
      </c>
    </row>
    <row r="2736" spans="1:8" x14ac:dyDescent="0.2">
      <c r="A2736" t="s">
        <v>7</v>
      </c>
      <c r="B2736" t="s">
        <v>17</v>
      </c>
      <c r="C2736" t="str">
        <f t="shared" si="86"/>
        <v>No cumple</v>
      </c>
      <c r="D2736" s="17">
        <v>7068</v>
      </c>
      <c r="E2736" s="19" t="s">
        <v>15</v>
      </c>
      <c r="F2736">
        <v>0</v>
      </c>
      <c r="G2736">
        <v>6</v>
      </c>
      <c r="H2736">
        <f t="shared" si="85"/>
        <v>-6</v>
      </c>
    </row>
    <row r="2737" spans="1:8" x14ac:dyDescent="0.2">
      <c r="A2737" t="s">
        <v>7</v>
      </c>
      <c r="B2737" t="s">
        <v>17</v>
      </c>
      <c r="C2737" t="str">
        <f t="shared" si="86"/>
        <v>No cumple</v>
      </c>
      <c r="D2737" s="17">
        <v>7082</v>
      </c>
      <c r="E2737" s="19" t="s">
        <v>15</v>
      </c>
      <c r="F2737">
        <v>0</v>
      </c>
      <c r="G2737">
        <v>6</v>
      </c>
      <c r="H2737">
        <f t="shared" si="85"/>
        <v>-6</v>
      </c>
    </row>
    <row r="2738" spans="1:8" x14ac:dyDescent="0.2">
      <c r="A2738" t="s">
        <v>7</v>
      </c>
      <c r="B2738" t="s">
        <v>17</v>
      </c>
      <c r="C2738" t="str">
        <f t="shared" si="86"/>
        <v>No cumple</v>
      </c>
      <c r="D2738" s="17">
        <v>7085</v>
      </c>
      <c r="E2738" s="19" t="s">
        <v>15</v>
      </c>
      <c r="F2738">
        <v>0</v>
      </c>
      <c r="G2738">
        <v>6</v>
      </c>
      <c r="H2738">
        <f t="shared" si="85"/>
        <v>-6</v>
      </c>
    </row>
    <row r="2739" spans="1:8" x14ac:dyDescent="0.2">
      <c r="A2739" t="s">
        <v>7</v>
      </c>
      <c r="B2739" t="s">
        <v>17</v>
      </c>
      <c r="C2739" t="str">
        <f t="shared" si="86"/>
        <v>No cumple</v>
      </c>
      <c r="D2739" s="17">
        <v>7183</v>
      </c>
      <c r="E2739" s="19" t="s">
        <v>15</v>
      </c>
      <c r="F2739">
        <v>0</v>
      </c>
      <c r="G2739">
        <v>6</v>
      </c>
      <c r="H2739">
        <f t="shared" si="85"/>
        <v>-6</v>
      </c>
    </row>
    <row r="2740" spans="1:8" x14ac:dyDescent="0.2">
      <c r="A2740" t="s">
        <v>7</v>
      </c>
      <c r="B2740" t="s">
        <v>17</v>
      </c>
      <c r="C2740" t="str">
        <f t="shared" si="86"/>
        <v>No cumple</v>
      </c>
      <c r="D2740" s="17">
        <v>7345</v>
      </c>
      <c r="E2740" s="19" t="s">
        <v>15</v>
      </c>
      <c r="F2740">
        <v>0</v>
      </c>
      <c r="G2740">
        <v>6</v>
      </c>
      <c r="H2740">
        <f t="shared" si="85"/>
        <v>-6</v>
      </c>
    </row>
    <row r="2741" spans="1:8" x14ac:dyDescent="0.2">
      <c r="A2741" t="s">
        <v>7</v>
      </c>
      <c r="B2741" t="s">
        <v>17</v>
      </c>
      <c r="C2741" t="str">
        <f t="shared" si="86"/>
        <v>No cumple</v>
      </c>
      <c r="D2741" s="17">
        <v>7380</v>
      </c>
      <c r="E2741" s="19" t="s">
        <v>15</v>
      </c>
      <c r="F2741">
        <v>0</v>
      </c>
      <c r="G2741">
        <v>6</v>
      </c>
      <c r="H2741">
        <f t="shared" si="85"/>
        <v>-6</v>
      </c>
    </row>
    <row r="2742" spans="1:8" x14ac:dyDescent="0.2">
      <c r="A2742" t="s">
        <v>7</v>
      </c>
      <c r="B2742" t="s">
        <v>17</v>
      </c>
      <c r="C2742" t="str">
        <f t="shared" si="86"/>
        <v>No cumple</v>
      </c>
      <c r="D2742" s="17">
        <v>7395</v>
      </c>
      <c r="E2742" s="19" t="s">
        <v>15</v>
      </c>
      <c r="F2742">
        <v>0</v>
      </c>
      <c r="G2742">
        <v>6</v>
      </c>
      <c r="H2742">
        <f t="shared" si="85"/>
        <v>-6</v>
      </c>
    </row>
    <row r="2743" spans="1:8" x14ac:dyDescent="0.2">
      <c r="A2743" t="s">
        <v>7</v>
      </c>
      <c r="B2743" t="s">
        <v>17</v>
      </c>
      <c r="C2743" t="str">
        <f t="shared" si="86"/>
        <v>No cumple</v>
      </c>
      <c r="D2743" s="17">
        <v>7402</v>
      </c>
      <c r="E2743" s="19" t="s">
        <v>15</v>
      </c>
      <c r="F2743">
        <v>0</v>
      </c>
      <c r="G2743">
        <v>6</v>
      </c>
      <c r="H2743">
        <f t="shared" si="85"/>
        <v>-6</v>
      </c>
    </row>
    <row r="2744" spans="1:8" x14ac:dyDescent="0.2">
      <c r="A2744" t="s">
        <v>7</v>
      </c>
      <c r="B2744" t="s">
        <v>17</v>
      </c>
      <c r="C2744" t="str">
        <f t="shared" si="86"/>
        <v>No cumple</v>
      </c>
      <c r="D2744" s="17">
        <v>7417</v>
      </c>
      <c r="E2744" s="19" t="s">
        <v>15</v>
      </c>
      <c r="F2744">
        <v>0</v>
      </c>
      <c r="G2744">
        <v>6</v>
      </c>
      <c r="H2744">
        <f t="shared" si="85"/>
        <v>-6</v>
      </c>
    </row>
    <row r="2745" spans="1:8" x14ac:dyDescent="0.2">
      <c r="A2745" t="s">
        <v>7</v>
      </c>
      <c r="B2745" t="s">
        <v>17</v>
      </c>
      <c r="C2745" t="str">
        <f t="shared" si="86"/>
        <v>No cumple</v>
      </c>
      <c r="D2745" s="17">
        <v>7474</v>
      </c>
      <c r="E2745" s="19" t="s">
        <v>15</v>
      </c>
      <c r="F2745">
        <v>0</v>
      </c>
      <c r="G2745">
        <v>6</v>
      </c>
      <c r="H2745">
        <f t="shared" si="85"/>
        <v>-6</v>
      </c>
    </row>
    <row r="2746" spans="1:8" x14ac:dyDescent="0.2">
      <c r="A2746" t="s">
        <v>7</v>
      </c>
      <c r="B2746" t="s">
        <v>17</v>
      </c>
      <c r="C2746" t="str">
        <f t="shared" si="86"/>
        <v>No cumple</v>
      </c>
      <c r="D2746" s="17">
        <v>7494</v>
      </c>
      <c r="E2746" s="19" t="s">
        <v>15</v>
      </c>
      <c r="F2746">
        <v>0</v>
      </c>
      <c r="G2746">
        <v>6</v>
      </c>
      <c r="H2746">
        <f t="shared" si="85"/>
        <v>-6</v>
      </c>
    </row>
    <row r="2747" spans="1:8" x14ac:dyDescent="0.2">
      <c r="A2747" t="s">
        <v>7</v>
      </c>
      <c r="B2747" t="s">
        <v>17</v>
      </c>
      <c r="C2747" t="str">
        <f t="shared" si="86"/>
        <v>No cumple</v>
      </c>
      <c r="D2747" s="17">
        <v>7517</v>
      </c>
      <c r="E2747" s="19" t="s">
        <v>15</v>
      </c>
      <c r="F2747">
        <v>0</v>
      </c>
      <c r="G2747">
        <v>6</v>
      </c>
      <c r="H2747">
        <f t="shared" si="85"/>
        <v>-6</v>
      </c>
    </row>
    <row r="2748" spans="1:8" x14ac:dyDescent="0.2">
      <c r="A2748" t="s">
        <v>7</v>
      </c>
      <c r="B2748" t="s">
        <v>17</v>
      </c>
      <c r="C2748" t="str">
        <f t="shared" si="86"/>
        <v>No cumple</v>
      </c>
      <c r="D2748" s="17">
        <v>7567</v>
      </c>
      <c r="E2748" s="19" t="s">
        <v>15</v>
      </c>
      <c r="F2748">
        <v>0</v>
      </c>
      <c r="G2748">
        <v>6</v>
      </c>
      <c r="H2748">
        <f t="shared" si="85"/>
        <v>-6</v>
      </c>
    </row>
    <row r="2749" spans="1:8" x14ac:dyDescent="0.2">
      <c r="A2749" t="s">
        <v>7</v>
      </c>
      <c r="B2749" t="s">
        <v>17</v>
      </c>
      <c r="C2749" t="str">
        <f t="shared" si="86"/>
        <v>No cumple</v>
      </c>
      <c r="D2749" s="17">
        <v>7630</v>
      </c>
      <c r="E2749" s="19" t="s">
        <v>15</v>
      </c>
      <c r="F2749">
        <v>0</v>
      </c>
      <c r="G2749">
        <v>6</v>
      </c>
      <c r="H2749">
        <f t="shared" si="85"/>
        <v>-6</v>
      </c>
    </row>
    <row r="2750" spans="1:8" x14ac:dyDescent="0.2">
      <c r="A2750" t="s">
        <v>7</v>
      </c>
      <c r="B2750" t="s">
        <v>17</v>
      </c>
      <c r="C2750" t="str">
        <f t="shared" si="86"/>
        <v>No cumple</v>
      </c>
      <c r="D2750" s="17">
        <v>7633</v>
      </c>
      <c r="E2750" s="19" t="s">
        <v>15</v>
      </c>
      <c r="F2750">
        <v>0</v>
      </c>
      <c r="G2750">
        <v>6</v>
      </c>
      <c r="H2750">
        <f t="shared" si="85"/>
        <v>-6</v>
      </c>
    </row>
    <row r="2751" spans="1:8" x14ac:dyDescent="0.2">
      <c r="A2751" t="s">
        <v>7</v>
      </c>
      <c r="B2751" t="s">
        <v>17</v>
      </c>
      <c r="C2751" t="str">
        <f t="shared" si="86"/>
        <v>No cumple</v>
      </c>
      <c r="D2751" s="17">
        <v>9366</v>
      </c>
      <c r="E2751" s="19" t="s">
        <v>15</v>
      </c>
      <c r="F2751">
        <v>0</v>
      </c>
      <c r="G2751">
        <v>6</v>
      </c>
      <c r="H2751">
        <f t="shared" si="85"/>
        <v>-6</v>
      </c>
    </row>
    <row r="2752" spans="1:8" x14ac:dyDescent="0.2">
      <c r="A2752" t="s">
        <v>7</v>
      </c>
      <c r="B2752" t="s">
        <v>17</v>
      </c>
      <c r="C2752" t="str">
        <f t="shared" si="86"/>
        <v>No cumple</v>
      </c>
      <c r="D2752" s="17">
        <v>9383</v>
      </c>
      <c r="E2752" s="19" t="s">
        <v>16</v>
      </c>
      <c r="F2752">
        <v>0</v>
      </c>
      <c r="G2752">
        <v>6</v>
      </c>
      <c r="H2752">
        <f t="shared" si="85"/>
        <v>-6</v>
      </c>
    </row>
    <row r="2753" spans="1:8" x14ac:dyDescent="0.2">
      <c r="A2753" t="s">
        <v>7</v>
      </c>
      <c r="B2753" t="s">
        <v>17</v>
      </c>
      <c r="C2753" t="str">
        <f t="shared" si="86"/>
        <v>No cumple</v>
      </c>
      <c r="D2753" s="17">
        <v>9384</v>
      </c>
      <c r="E2753" s="19" t="s">
        <v>16</v>
      </c>
      <c r="F2753">
        <v>0</v>
      </c>
      <c r="G2753">
        <v>6</v>
      </c>
      <c r="H2753">
        <f t="shared" si="85"/>
        <v>-6</v>
      </c>
    </row>
    <row r="2754" spans="1:8" x14ac:dyDescent="0.2">
      <c r="A2754" t="s">
        <v>7</v>
      </c>
      <c r="B2754" t="s">
        <v>17</v>
      </c>
      <c r="C2754" t="str">
        <f t="shared" si="86"/>
        <v>No cumple</v>
      </c>
      <c r="D2754" s="17">
        <v>9386</v>
      </c>
      <c r="E2754" s="19" t="s">
        <v>16</v>
      </c>
      <c r="F2754">
        <v>0</v>
      </c>
      <c r="G2754">
        <v>6</v>
      </c>
      <c r="H2754">
        <f t="shared" si="85"/>
        <v>-6</v>
      </c>
    </row>
    <row r="2755" spans="1:8" x14ac:dyDescent="0.2">
      <c r="A2755" t="s">
        <v>7</v>
      </c>
      <c r="B2755" t="s">
        <v>17</v>
      </c>
      <c r="C2755" t="str">
        <f t="shared" si="86"/>
        <v>No cumple</v>
      </c>
      <c r="D2755" s="17">
        <v>9387</v>
      </c>
      <c r="E2755" s="19" t="s">
        <v>16</v>
      </c>
      <c r="F2755">
        <v>0</v>
      </c>
      <c r="G2755">
        <v>6</v>
      </c>
      <c r="H2755">
        <f t="shared" ref="H2755:H2818" si="87">F2755-G2755</f>
        <v>-6</v>
      </c>
    </row>
    <row r="2756" spans="1:8" x14ac:dyDescent="0.2">
      <c r="A2756" t="s">
        <v>7</v>
      </c>
      <c r="B2756" t="s">
        <v>17</v>
      </c>
      <c r="C2756" t="str">
        <f t="shared" ref="C2756:C2819" si="88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>
        <f t="shared" si="87"/>
        <v>-6</v>
      </c>
    </row>
    <row r="2757" spans="1:8" x14ac:dyDescent="0.2">
      <c r="A2757" t="s">
        <v>7</v>
      </c>
      <c r="B2757" t="s">
        <v>17</v>
      </c>
      <c r="C2757" t="str">
        <f t="shared" si="88"/>
        <v>No cumple</v>
      </c>
      <c r="D2757" s="17">
        <v>9390</v>
      </c>
      <c r="E2757" s="19" t="s">
        <v>16</v>
      </c>
      <c r="F2757">
        <v>0</v>
      </c>
      <c r="G2757">
        <v>6</v>
      </c>
      <c r="H2757">
        <f t="shared" si="87"/>
        <v>-6</v>
      </c>
    </row>
    <row r="2758" spans="1:8" x14ac:dyDescent="0.2">
      <c r="A2758" t="s">
        <v>7</v>
      </c>
      <c r="B2758" t="s">
        <v>17</v>
      </c>
      <c r="C2758" t="str">
        <f t="shared" si="88"/>
        <v>No cumple</v>
      </c>
      <c r="D2758" s="17">
        <v>9391</v>
      </c>
      <c r="E2758" s="19" t="s">
        <v>16</v>
      </c>
      <c r="F2758">
        <v>0</v>
      </c>
      <c r="G2758">
        <v>6</v>
      </c>
      <c r="H2758">
        <f t="shared" si="87"/>
        <v>-6</v>
      </c>
    </row>
    <row r="2759" spans="1:8" x14ac:dyDescent="0.2">
      <c r="A2759" t="s">
        <v>7</v>
      </c>
      <c r="B2759" t="s">
        <v>17</v>
      </c>
      <c r="C2759" t="str">
        <f t="shared" si="88"/>
        <v>No cumple</v>
      </c>
      <c r="D2759" s="17">
        <v>9393</v>
      </c>
      <c r="E2759" s="19" t="s">
        <v>16</v>
      </c>
      <c r="F2759">
        <v>0</v>
      </c>
      <c r="G2759">
        <v>6</v>
      </c>
      <c r="H2759">
        <f t="shared" si="87"/>
        <v>-6</v>
      </c>
    </row>
    <row r="2760" spans="1:8" x14ac:dyDescent="0.2">
      <c r="A2760" t="s">
        <v>7</v>
      </c>
      <c r="B2760" t="s">
        <v>17</v>
      </c>
      <c r="C2760" t="str">
        <f t="shared" si="88"/>
        <v>No cumple</v>
      </c>
      <c r="D2760" s="17">
        <v>9400</v>
      </c>
      <c r="E2760" s="19" t="s">
        <v>16</v>
      </c>
      <c r="F2760">
        <v>0</v>
      </c>
      <c r="G2760">
        <v>6</v>
      </c>
      <c r="H2760">
        <f t="shared" si="87"/>
        <v>-6</v>
      </c>
    </row>
    <row r="2761" spans="1:8" x14ac:dyDescent="0.2">
      <c r="A2761" t="s">
        <v>7</v>
      </c>
      <c r="B2761" t="s">
        <v>17</v>
      </c>
      <c r="C2761" t="str">
        <f t="shared" si="88"/>
        <v>No cumple</v>
      </c>
      <c r="D2761" s="17">
        <v>9404</v>
      </c>
      <c r="E2761" s="19" t="s">
        <v>16</v>
      </c>
      <c r="F2761">
        <v>0</v>
      </c>
      <c r="G2761">
        <v>6</v>
      </c>
      <c r="H2761">
        <f t="shared" si="87"/>
        <v>-6</v>
      </c>
    </row>
    <row r="2762" spans="1:8" x14ac:dyDescent="0.2">
      <c r="A2762" t="s">
        <v>7</v>
      </c>
      <c r="B2762" t="s">
        <v>17</v>
      </c>
      <c r="C2762" t="str">
        <f t="shared" si="88"/>
        <v>No cumple</v>
      </c>
      <c r="D2762" s="17">
        <v>9405</v>
      </c>
      <c r="E2762" s="19" t="s">
        <v>16</v>
      </c>
      <c r="F2762">
        <v>0</v>
      </c>
      <c r="G2762">
        <v>6</v>
      </c>
      <c r="H2762">
        <f t="shared" si="87"/>
        <v>-6</v>
      </c>
    </row>
    <row r="2763" spans="1:8" x14ac:dyDescent="0.2">
      <c r="A2763" t="s">
        <v>7</v>
      </c>
      <c r="B2763" t="s">
        <v>17</v>
      </c>
      <c r="C2763" t="str">
        <f t="shared" si="88"/>
        <v>No cumple</v>
      </c>
      <c r="D2763" s="17">
        <v>9406</v>
      </c>
      <c r="E2763" s="19" t="s">
        <v>16</v>
      </c>
      <c r="F2763">
        <v>0</v>
      </c>
      <c r="G2763">
        <v>6</v>
      </c>
      <c r="H2763">
        <f t="shared" si="87"/>
        <v>-6</v>
      </c>
    </row>
    <row r="2764" spans="1:8" x14ac:dyDescent="0.2">
      <c r="A2764" t="s">
        <v>7</v>
      </c>
      <c r="B2764" t="s">
        <v>17</v>
      </c>
      <c r="C2764" t="str">
        <f t="shared" si="88"/>
        <v>No cumple</v>
      </c>
      <c r="D2764" s="17">
        <v>9407</v>
      </c>
      <c r="E2764" s="19" t="s">
        <v>16</v>
      </c>
      <c r="F2764">
        <v>0</v>
      </c>
      <c r="G2764">
        <v>6</v>
      </c>
      <c r="H2764">
        <f t="shared" si="87"/>
        <v>-6</v>
      </c>
    </row>
    <row r="2765" spans="1:8" x14ac:dyDescent="0.2">
      <c r="A2765" t="s">
        <v>7</v>
      </c>
      <c r="B2765" t="s">
        <v>17</v>
      </c>
      <c r="C2765" t="str">
        <f t="shared" si="88"/>
        <v>No cumple</v>
      </c>
      <c r="D2765" s="17">
        <v>9408</v>
      </c>
      <c r="E2765" s="19" t="s">
        <v>16</v>
      </c>
      <c r="F2765">
        <v>0</v>
      </c>
      <c r="G2765">
        <v>6</v>
      </c>
      <c r="H2765">
        <f t="shared" si="87"/>
        <v>-6</v>
      </c>
    </row>
    <row r="2766" spans="1:8" x14ac:dyDescent="0.2">
      <c r="A2766" t="s">
        <v>7</v>
      </c>
      <c r="B2766" t="s">
        <v>17</v>
      </c>
      <c r="C2766" t="str">
        <f t="shared" si="88"/>
        <v>No cumple</v>
      </c>
      <c r="D2766" s="17">
        <v>9409</v>
      </c>
      <c r="E2766" s="19" t="s">
        <v>16</v>
      </c>
      <c r="F2766">
        <v>0</v>
      </c>
      <c r="G2766">
        <v>6</v>
      </c>
      <c r="H2766">
        <f t="shared" si="87"/>
        <v>-6</v>
      </c>
    </row>
    <row r="2767" spans="1:8" x14ac:dyDescent="0.2">
      <c r="A2767" t="s">
        <v>7</v>
      </c>
      <c r="B2767" t="s">
        <v>17</v>
      </c>
      <c r="C2767" t="str">
        <f t="shared" si="88"/>
        <v>No cumple</v>
      </c>
      <c r="D2767" s="17">
        <v>9410</v>
      </c>
      <c r="E2767" s="19" t="s">
        <v>16</v>
      </c>
      <c r="F2767">
        <v>0</v>
      </c>
      <c r="G2767">
        <v>6</v>
      </c>
      <c r="H2767">
        <f t="shared" si="87"/>
        <v>-6</v>
      </c>
    </row>
    <row r="2768" spans="1:8" x14ac:dyDescent="0.2">
      <c r="A2768" t="s">
        <v>7</v>
      </c>
      <c r="B2768" t="s">
        <v>17</v>
      </c>
      <c r="C2768" t="str">
        <f t="shared" si="88"/>
        <v>No cumple</v>
      </c>
      <c r="D2768" s="17">
        <v>9417</v>
      </c>
      <c r="E2768" s="19" t="s">
        <v>16</v>
      </c>
      <c r="F2768">
        <v>0</v>
      </c>
      <c r="G2768">
        <v>6</v>
      </c>
      <c r="H2768">
        <f t="shared" si="87"/>
        <v>-6</v>
      </c>
    </row>
    <row r="2769" spans="1:8" x14ac:dyDescent="0.2">
      <c r="A2769" t="s">
        <v>7</v>
      </c>
      <c r="B2769" t="s">
        <v>17</v>
      </c>
      <c r="C2769" t="str">
        <f t="shared" si="88"/>
        <v>No cumple</v>
      </c>
      <c r="D2769" s="17">
        <v>9418</v>
      </c>
      <c r="E2769" s="19" t="s">
        <v>16</v>
      </c>
      <c r="F2769">
        <v>0</v>
      </c>
      <c r="G2769">
        <v>6</v>
      </c>
      <c r="H2769">
        <f t="shared" si="87"/>
        <v>-6</v>
      </c>
    </row>
    <row r="2770" spans="1:8" x14ac:dyDescent="0.2">
      <c r="A2770" t="s">
        <v>7</v>
      </c>
      <c r="B2770" t="s">
        <v>17</v>
      </c>
      <c r="C2770" t="str">
        <f t="shared" si="88"/>
        <v>No cumple</v>
      </c>
      <c r="D2770" s="17">
        <v>9444</v>
      </c>
      <c r="E2770" s="19" t="s">
        <v>16</v>
      </c>
      <c r="F2770">
        <v>0</v>
      </c>
      <c r="G2770">
        <v>6</v>
      </c>
      <c r="H2770">
        <f t="shared" si="87"/>
        <v>-6</v>
      </c>
    </row>
    <row r="2771" spans="1:8" x14ac:dyDescent="0.2">
      <c r="A2771" t="s">
        <v>7</v>
      </c>
      <c r="B2771" t="s">
        <v>17</v>
      </c>
      <c r="C2771" t="str">
        <f t="shared" si="88"/>
        <v>No cumple</v>
      </c>
      <c r="D2771" s="17">
        <v>9445</v>
      </c>
      <c r="E2771" s="19" t="s">
        <v>16</v>
      </c>
      <c r="F2771">
        <v>0</v>
      </c>
      <c r="G2771">
        <v>6</v>
      </c>
      <c r="H2771">
        <f t="shared" si="87"/>
        <v>-6</v>
      </c>
    </row>
    <row r="2772" spans="1:8" x14ac:dyDescent="0.2">
      <c r="A2772" t="s">
        <v>7</v>
      </c>
      <c r="B2772" t="s">
        <v>17</v>
      </c>
      <c r="C2772" t="str">
        <f t="shared" si="88"/>
        <v>No cumple</v>
      </c>
      <c r="D2772" s="17">
        <v>9447</v>
      </c>
      <c r="E2772" s="19" t="s">
        <v>16</v>
      </c>
      <c r="F2772">
        <v>0</v>
      </c>
      <c r="G2772">
        <v>6</v>
      </c>
      <c r="H2772">
        <f t="shared" si="87"/>
        <v>-6</v>
      </c>
    </row>
    <row r="2773" spans="1:8" x14ac:dyDescent="0.2">
      <c r="A2773" t="s">
        <v>7</v>
      </c>
      <c r="B2773" t="s">
        <v>17</v>
      </c>
      <c r="C2773" t="str">
        <f t="shared" si="88"/>
        <v>No cumple</v>
      </c>
      <c r="D2773" s="17">
        <v>9492</v>
      </c>
      <c r="E2773" s="19" t="s">
        <v>16</v>
      </c>
      <c r="F2773">
        <v>0</v>
      </c>
      <c r="G2773">
        <v>6</v>
      </c>
      <c r="H2773">
        <f t="shared" si="87"/>
        <v>-6</v>
      </c>
    </row>
    <row r="2774" spans="1:8" x14ac:dyDescent="0.2">
      <c r="A2774" t="s">
        <v>7</v>
      </c>
      <c r="B2774" t="s">
        <v>17</v>
      </c>
      <c r="C2774" t="str">
        <f t="shared" si="88"/>
        <v>No cumple</v>
      </c>
      <c r="D2774" s="17">
        <v>9493</v>
      </c>
      <c r="E2774" s="19" t="s">
        <v>16</v>
      </c>
      <c r="F2774">
        <v>0</v>
      </c>
      <c r="G2774">
        <v>6</v>
      </c>
      <c r="H2774">
        <f t="shared" si="87"/>
        <v>-6</v>
      </c>
    </row>
    <row r="2775" spans="1:8" x14ac:dyDescent="0.2">
      <c r="A2775" t="s">
        <v>7</v>
      </c>
      <c r="B2775" t="s">
        <v>17</v>
      </c>
      <c r="C2775" t="str">
        <f t="shared" si="88"/>
        <v>No cumple</v>
      </c>
      <c r="D2775" s="17">
        <v>9494</v>
      </c>
      <c r="E2775" s="19" t="s">
        <v>16</v>
      </c>
      <c r="F2775">
        <v>0</v>
      </c>
      <c r="G2775">
        <v>6</v>
      </c>
      <c r="H2775">
        <f t="shared" si="87"/>
        <v>-6</v>
      </c>
    </row>
    <row r="2776" spans="1:8" x14ac:dyDescent="0.2">
      <c r="A2776" t="s">
        <v>7</v>
      </c>
      <c r="B2776" t="s">
        <v>17</v>
      </c>
      <c r="C2776" t="str">
        <f t="shared" si="88"/>
        <v>No cumple</v>
      </c>
      <c r="D2776" s="17">
        <v>9572</v>
      </c>
      <c r="E2776" s="19" t="s">
        <v>16</v>
      </c>
      <c r="F2776">
        <v>0</v>
      </c>
      <c r="G2776">
        <v>6</v>
      </c>
      <c r="H2776">
        <f t="shared" si="87"/>
        <v>-6</v>
      </c>
    </row>
    <row r="2777" spans="1:8" x14ac:dyDescent="0.2">
      <c r="A2777" t="s">
        <v>7</v>
      </c>
      <c r="B2777" t="s">
        <v>17</v>
      </c>
      <c r="C2777" t="str">
        <f t="shared" si="88"/>
        <v>No cumple</v>
      </c>
      <c r="D2777" s="17">
        <v>9678</v>
      </c>
      <c r="E2777" s="19" t="s">
        <v>16</v>
      </c>
      <c r="F2777">
        <v>0</v>
      </c>
      <c r="G2777">
        <v>6</v>
      </c>
      <c r="H2777">
        <f t="shared" si="87"/>
        <v>-6</v>
      </c>
    </row>
    <row r="2778" spans="1:8" x14ac:dyDescent="0.2">
      <c r="A2778" t="s">
        <v>7</v>
      </c>
      <c r="B2778" t="s">
        <v>17</v>
      </c>
      <c r="C2778" t="str">
        <f t="shared" si="88"/>
        <v>No cumple</v>
      </c>
      <c r="D2778" s="17">
        <v>9779</v>
      </c>
      <c r="E2778" s="19" t="s">
        <v>16</v>
      </c>
      <c r="F2778">
        <v>0</v>
      </c>
      <c r="G2778">
        <v>6</v>
      </c>
      <c r="H2778">
        <f t="shared" si="87"/>
        <v>-6</v>
      </c>
    </row>
    <row r="2779" spans="1:8" x14ac:dyDescent="0.2">
      <c r="A2779" t="s">
        <v>7</v>
      </c>
      <c r="B2779" t="s">
        <v>17</v>
      </c>
      <c r="C2779" t="str">
        <f t="shared" si="88"/>
        <v>No cumple</v>
      </c>
      <c r="D2779" s="17">
        <v>9797</v>
      </c>
      <c r="E2779" s="19" t="s">
        <v>16</v>
      </c>
      <c r="F2779">
        <v>0</v>
      </c>
      <c r="G2779">
        <v>6</v>
      </c>
      <c r="H2779">
        <f t="shared" si="87"/>
        <v>-6</v>
      </c>
    </row>
    <row r="2780" spans="1:8" x14ac:dyDescent="0.2">
      <c r="A2780" t="s">
        <v>7</v>
      </c>
      <c r="B2780" t="s">
        <v>17</v>
      </c>
      <c r="C2780" t="str">
        <f t="shared" si="88"/>
        <v>No cumple</v>
      </c>
      <c r="D2780" s="17">
        <v>3867</v>
      </c>
      <c r="E2780" s="19" t="s">
        <v>15</v>
      </c>
      <c r="F2780">
        <v>0</v>
      </c>
      <c r="G2780">
        <v>6</v>
      </c>
      <c r="H2780">
        <f t="shared" si="87"/>
        <v>-6</v>
      </c>
    </row>
    <row r="2781" spans="1:8" x14ac:dyDescent="0.2">
      <c r="A2781" t="s">
        <v>7</v>
      </c>
      <c r="B2781" t="s">
        <v>20</v>
      </c>
      <c r="C2781" t="str">
        <f t="shared" si="88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 t="shared" si="87"/>
        <v>16</v>
      </c>
    </row>
    <row r="2782" spans="1:8" x14ac:dyDescent="0.2">
      <c r="A2782" t="s">
        <v>7</v>
      </c>
      <c r="B2782" t="s">
        <v>20</v>
      </c>
      <c r="C2782" t="str">
        <f t="shared" si="88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si="87"/>
        <v>9</v>
      </c>
    </row>
    <row r="2783" spans="1:8" x14ac:dyDescent="0.2">
      <c r="A2783" t="s">
        <v>7</v>
      </c>
      <c r="B2783" t="s">
        <v>20</v>
      </c>
      <c r="C2783" t="str">
        <f t="shared" si="88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87"/>
        <v>9</v>
      </c>
    </row>
    <row r="2784" spans="1:8" x14ac:dyDescent="0.2">
      <c r="A2784" t="s">
        <v>7</v>
      </c>
      <c r="B2784" t="s">
        <v>20</v>
      </c>
      <c r="C2784" t="str">
        <f t="shared" si="88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87"/>
        <v>8</v>
      </c>
    </row>
    <row r="2785" spans="1:8" x14ac:dyDescent="0.2">
      <c r="A2785" t="s">
        <v>7</v>
      </c>
      <c r="B2785" t="s">
        <v>20</v>
      </c>
      <c r="C2785" t="str">
        <f t="shared" si="88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87"/>
        <v>8</v>
      </c>
    </row>
    <row r="2786" spans="1:8" x14ac:dyDescent="0.2">
      <c r="A2786" t="s">
        <v>7</v>
      </c>
      <c r="B2786" t="s">
        <v>20</v>
      </c>
      <c r="C2786" t="str">
        <f t="shared" si="88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87"/>
        <v>8</v>
      </c>
    </row>
    <row r="2787" spans="1:8" x14ac:dyDescent="0.2">
      <c r="A2787" t="s">
        <v>7</v>
      </c>
      <c r="B2787" t="s">
        <v>20</v>
      </c>
      <c r="C2787" t="str">
        <f t="shared" si="88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87"/>
        <v>7</v>
      </c>
    </row>
    <row r="2788" spans="1:8" x14ac:dyDescent="0.2">
      <c r="A2788" t="s">
        <v>7</v>
      </c>
      <c r="B2788" t="s">
        <v>20</v>
      </c>
      <c r="C2788" t="str">
        <f t="shared" si="88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87"/>
        <v>7</v>
      </c>
    </row>
    <row r="2789" spans="1:8" x14ac:dyDescent="0.2">
      <c r="A2789" t="s">
        <v>7</v>
      </c>
      <c r="B2789" t="s">
        <v>20</v>
      </c>
      <c r="C2789" t="str">
        <f t="shared" si="88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87"/>
        <v>7</v>
      </c>
    </row>
    <row r="2790" spans="1:8" x14ac:dyDescent="0.2">
      <c r="A2790" t="s">
        <v>7</v>
      </c>
      <c r="B2790" t="s">
        <v>20</v>
      </c>
      <c r="C2790" t="str">
        <f t="shared" si="88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87"/>
        <v>7</v>
      </c>
    </row>
    <row r="2791" spans="1:8" x14ac:dyDescent="0.2">
      <c r="A2791" t="s">
        <v>7</v>
      </c>
      <c r="B2791" t="s">
        <v>20</v>
      </c>
      <c r="C2791" t="str">
        <f t="shared" si="88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87"/>
        <v>6</v>
      </c>
    </row>
    <row r="2792" spans="1:8" x14ac:dyDescent="0.2">
      <c r="A2792" t="s">
        <v>7</v>
      </c>
      <c r="B2792" t="s">
        <v>20</v>
      </c>
      <c r="C2792" t="str">
        <f t="shared" si="88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87"/>
        <v>6</v>
      </c>
    </row>
    <row r="2793" spans="1:8" x14ac:dyDescent="0.2">
      <c r="A2793" t="s">
        <v>7</v>
      </c>
      <c r="B2793" t="s">
        <v>20</v>
      </c>
      <c r="C2793" t="str">
        <f t="shared" si="88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87"/>
        <v>6</v>
      </c>
    </row>
    <row r="2794" spans="1:8" x14ac:dyDescent="0.2">
      <c r="A2794" t="s">
        <v>7</v>
      </c>
      <c r="B2794" t="s">
        <v>20</v>
      </c>
      <c r="C2794" t="str">
        <f t="shared" si="88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87"/>
        <v>6</v>
      </c>
    </row>
    <row r="2795" spans="1:8" x14ac:dyDescent="0.2">
      <c r="A2795" t="s">
        <v>7</v>
      </c>
      <c r="B2795" t="s">
        <v>20</v>
      </c>
      <c r="C2795" t="str">
        <f t="shared" si="88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87"/>
        <v>5</v>
      </c>
    </row>
    <row r="2796" spans="1:8" x14ac:dyDescent="0.2">
      <c r="A2796" t="s">
        <v>7</v>
      </c>
      <c r="B2796" t="s">
        <v>20</v>
      </c>
      <c r="C2796" t="str">
        <f t="shared" si="88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87"/>
        <v>5</v>
      </c>
    </row>
    <row r="2797" spans="1:8" x14ac:dyDescent="0.2">
      <c r="A2797" t="s">
        <v>7</v>
      </c>
      <c r="B2797" t="s">
        <v>20</v>
      </c>
      <c r="C2797" t="str">
        <f t="shared" si="88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87"/>
        <v>5</v>
      </c>
    </row>
    <row r="2798" spans="1:8" x14ac:dyDescent="0.2">
      <c r="A2798" t="s">
        <v>7</v>
      </c>
      <c r="B2798" t="s">
        <v>20</v>
      </c>
      <c r="C2798" t="str">
        <f t="shared" si="88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87"/>
        <v>5</v>
      </c>
    </row>
    <row r="2799" spans="1:8" x14ac:dyDescent="0.2">
      <c r="A2799" t="s">
        <v>7</v>
      </c>
      <c r="B2799" t="s">
        <v>20</v>
      </c>
      <c r="C2799" t="str">
        <f t="shared" si="88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87"/>
        <v>5</v>
      </c>
    </row>
    <row r="2800" spans="1:8" x14ac:dyDescent="0.2">
      <c r="A2800" t="s">
        <v>7</v>
      </c>
      <c r="B2800" t="s">
        <v>20</v>
      </c>
      <c r="C2800" t="str">
        <f t="shared" si="88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87"/>
        <v>4</v>
      </c>
    </row>
    <row r="2801" spans="1:8" x14ac:dyDescent="0.2">
      <c r="A2801" t="s">
        <v>7</v>
      </c>
      <c r="B2801" t="s">
        <v>20</v>
      </c>
      <c r="C2801" t="str">
        <f t="shared" si="88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87"/>
        <v>4</v>
      </c>
    </row>
    <row r="2802" spans="1:8" x14ac:dyDescent="0.2">
      <c r="A2802" t="s">
        <v>7</v>
      </c>
      <c r="B2802" t="s">
        <v>20</v>
      </c>
      <c r="C2802" t="str">
        <f t="shared" si="88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87"/>
        <v>4</v>
      </c>
    </row>
    <row r="2803" spans="1:8" x14ac:dyDescent="0.2">
      <c r="A2803" t="s">
        <v>7</v>
      </c>
      <c r="B2803" t="s">
        <v>20</v>
      </c>
      <c r="C2803" t="str">
        <f t="shared" si="88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87"/>
        <v>4</v>
      </c>
    </row>
    <row r="2804" spans="1:8" x14ac:dyDescent="0.2">
      <c r="A2804" t="s">
        <v>7</v>
      </c>
      <c r="B2804" t="s">
        <v>20</v>
      </c>
      <c r="C2804" t="str">
        <f t="shared" si="88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87"/>
        <v>4</v>
      </c>
    </row>
    <row r="2805" spans="1:8" x14ac:dyDescent="0.2">
      <c r="A2805" t="s">
        <v>7</v>
      </c>
      <c r="B2805" t="s">
        <v>20</v>
      </c>
      <c r="C2805" t="str">
        <f t="shared" si="88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87"/>
        <v>4</v>
      </c>
    </row>
    <row r="2806" spans="1:8" x14ac:dyDescent="0.2">
      <c r="A2806" t="s">
        <v>7</v>
      </c>
      <c r="B2806" t="s">
        <v>20</v>
      </c>
      <c r="C2806" t="str">
        <f t="shared" si="88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87"/>
        <v>3</v>
      </c>
    </row>
    <row r="2807" spans="1:8" x14ac:dyDescent="0.2">
      <c r="A2807" t="s">
        <v>7</v>
      </c>
      <c r="B2807" t="s">
        <v>20</v>
      </c>
      <c r="C2807" t="str">
        <f t="shared" si="88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87"/>
        <v>3</v>
      </c>
    </row>
    <row r="2808" spans="1:8" x14ac:dyDescent="0.2">
      <c r="A2808" t="s">
        <v>7</v>
      </c>
      <c r="B2808" t="s">
        <v>20</v>
      </c>
      <c r="C2808" t="str">
        <f t="shared" si="88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87"/>
        <v>3</v>
      </c>
    </row>
    <row r="2809" spans="1:8" x14ac:dyDescent="0.2">
      <c r="A2809" t="s">
        <v>7</v>
      </c>
      <c r="B2809" t="s">
        <v>20</v>
      </c>
      <c r="C2809" t="str">
        <f t="shared" si="88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87"/>
        <v>3</v>
      </c>
    </row>
    <row r="2810" spans="1:8" x14ac:dyDescent="0.2">
      <c r="A2810" t="s">
        <v>7</v>
      </c>
      <c r="B2810" t="s">
        <v>20</v>
      </c>
      <c r="C2810" t="str">
        <f t="shared" si="88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87"/>
        <v>3</v>
      </c>
    </row>
    <row r="2811" spans="1:8" x14ac:dyDescent="0.2">
      <c r="A2811" t="s">
        <v>7</v>
      </c>
      <c r="B2811" t="s">
        <v>20</v>
      </c>
      <c r="C2811" t="str">
        <f t="shared" si="88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87"/>
        <v>3</v>
      </c>
    </row>
    <row r="2812" spans="1:8" x14ac:dyDescent="0.2">
      <c r="A2812" t="s">
        <v>7</v>
      </c>
      <c r="B2812" t="s">
        <v>20</v>
      </c>
      <c r="C2812" t="str">
        <f t="shared" si="88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87"/>
        <v>3</v>
      </c>
    </row>
    <row r="2813" spans="1:8" x14ac:dyDescent="0.2">
      <c r="A2813" t="s">
        <v>7</v>
      </c>
      <c r="B2813" t="s">
        <v>20</v>
      </c>
      <c r="C2813" t="str">
        <f t="shared" si="88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87"/>
        <v>3</v>
      </c>
    </row>
    <row r="2814" spans="1:8" x14ac:dyDescent="0.2">
      <c r="A2814" t="s">
        <v>7</v>
      </c>
      <c r="B2814" t="s">
        <v>20</v>
      </c>
      <c r="C2814" t="str">
        <f t="shared" si="88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87"/>
        <v>3</v>
      </c>
    </row>
    <row r="2815" spans="1:8" x14ac:dyDescent="0.2">
      <c r="A2815" t="s">
        <v>7</v>
      </c>
      <c r="B2815" t="s">
        <v>20</v>
      </c>
      <c r="C2815" t="str">
        <f t="shared" si="88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87"/>
        <v>3</v>
      </c>
    </row>
    <row r="2816" spans="1:8" x14ac:dyDescent="0.2">
      <c r="A2816" t="s">
        <v>7</v>
      </c>
      <c r="B2816" t="s">
        <v>20</v>
      </c>
      <c r="C2816" t="str">
        <f t="shared" si="88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87"/>
        <v>3</v>
      </c>
    </row>
    <row r="2817" spans="1:8" x14ac:dyDescent="0.2">
      <c r="A2817" t="s">
        <v>7</v>
      </c>
      <c r="B2817" t="s">
        <v>20</v>
      </c>
      <c r="C2817" t="str">
        <f t="shared" si="88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87"/>
        <v>3</v>
      </c>
    </row>
    <row r="2818" spans="1:8" x14ac:dyDescent="0.2">
      <c r="A2818" t="s">
        <v>7</v>
      </c>
      <c r="B2818" t="s">
        <v>20</v>
      </c>
      <c r="C2818" t="str">
        <f t="shared" si="88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87"/>
        <v>3</v>
      </c>
    </row>
    <row r="2819" spans="1:8" x14ac:dyDescent="0.2">
      <c r="A2819" t="s">
        <v>7</v>
      </c>
      <c r="B2819" t="s">
        <v>20</v>
      </c>
      <c r="C2819" t="str">
        <f t="shared" si="88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ref="H2819:H2882" si="89">F2819-G2819</f>
        <v>3</v>
      </c>
    </row>
    <row r="2820" spans="1:8" x14ac:dyDescent="0.2">
      <c r="A2820" t="s">
        <v>7</v>
      </c>
      <c r="B2820" t="s">
        <v>20</v>
      </c>
      <c r="C2820" t="str">
        <f t="shared" ref="C2820:C2883" si="90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89"/>
        <v>3</v>
      </c>
    </row>
    <row r="2821" spans="1:8" x14ac:dyDescent="0.2">
      <c r="A2821" t="s">
        <v>7</v>
      </c>
      <c r="B2821" t="s">
        <v>20</v>
      </c>
      <c r="C2821" t="str">
        <f t="shared" si="90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89"/>
        <v>2</v>
      </c>
    </row>
    <row r="2822" spans="1:8" x14ac:dyDescent="0.2">
      <c r="A2822" t="s">
        <v>7</v>
      </c>
      <c r="B2822" t="s">
        <v>20</v>
      </c>
      <c r="C2822" t="str">
        <f t="shared" si="90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89"/>
        <v>2</v>
      </c>
    </row>
    <row r="2823" spans="1:8" x14ac:dyDescent="0.2">
      <c r="A2823" t="s">
        <v>7</v>
      </c>
      <c r="B2823" t="s">
        <v>20</v>
      </c>
      <c r="C2823" t="str">
        <f t="shared" si="90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89"/>
        <v>2</v>
      </c>
    </row>
    <row r="2824" spans="1:8" x14ac:dyDescent="0.2">
      <c r="A2824" t="s">
        <v>7</v>
      </c>
      <c r="B2824" t="s">
        <v>20</v>
      </c>
      <c r="C2824" t="str">
        <f t="shared" si="90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89"/>
        <v>2</v>
      </c>
    </row>
    <row r="2825" spans="1:8" x14ac:dyDescent="0.2">
      <c r="A2825" t="s">
        <v>7</v>
      </c>
      <c r="B2825" t="s">
        <v>20</v>
      </c>
      <c r="C2825" t="str">
        <f t="shared" si="90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89"/>
        <v>2</v>
      </c>
    </row>
    <row r="2826" spans="1:8" x14ac:dyDescent="0.2">
      <c r="A2826" t="s">
        <v>7</v>
      </c>
      <c r="B2826" t="s">
        <v>20</v>
      </c>
      <c r="C2826" t="str">
        <f t="shared" si="90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89"/>
        <v>2</v>
      </c>
    </row>
    <row r="2827" spans="1:8" x14ac:dyDescent="0.2">
      <c r="A2827" t="s">
        <v>7</v>
      </c>
      <c r="B2827" t="s">
        <v>20</v>
      </c>
      <c r="C2827" t="str">
        <f t="shared" si="90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89"/>
        <v>2</v>
      </c>
    </row>
    <row r="2828" spans="1:8" x14ac:dyDescent="0.2">
      <c r="A2828" t="s">
        <v>7</v>
      </c>
      <c r="B2828" t="s">
        <v>20</v>
      </c>
      <c r="C2828" t="str">
        <f t="shared" si="90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89"/>
        <v>2</v>
      </c>
    </row>
    <row r="2829" spans="1:8" x14ac:dyDescent="0.2">
      <c r="A2829" t="s">
        <v>7</v>
      </c>
      <c r="B2829" t="s">
        <v>20</v>
      </c>
      <c r="C2829" t="str">
        <f t="shared" si="90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89"/>
        <v>1</v>
      </c>
    </row>
    <row r="2830" spans="1:8" x14ac:dyDescent="0.2">
      <c r="A2830" t="s">
        <v>7</v>
      </c>
      <c r="B2830" t="s">
        <v>20</v>
      </c>
      <c r="C2830" t="str">
        <f t="shared" si="90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89"/>
        <v>1</v>
      </c>
    </row>
    <row r="2831" spans="1:8" x14ac:dyDescent="0.2">
      <c r="A2831" t="s">
        <v>7</v>
      </c>
      <c r="B2831" t="s">
        <v>20</v>
      </c>
      <c r="C2831" t="str">
        <f t="shared" si="90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89"/>
        <v>1</v>
      </c>
    </row>
    <row r="2832" spans="1:8" x14ac:dyDescent="0.2">
      <c r="A2832" t="s">
        <v>7</v>
      </c>
      <c r="B2832" t="s">
        <v>20</v>
      </c>
      <c r="C2832" t="str">
        <f t="shared" si="90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89"/>
        <v>1</v>
      </c>
    </row>
    <row r="2833" spans="1:8" x14ac:dyDescent="0.2">
      <c r="A2833" t="s">
        <v>7</v>
      </c>
      <c r="B2833" t="s">
        <v>20</v>
      </c>
      <c r="C2833" t="str">
        <f t="shared" si="90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89"/>
        <v>1</v>
      </c>
    </row>
    <row r="2834" spans="1:8" x14ac:dyDescent="0.2">
      <c r="A2834" t="s">
        <v>7</v>
      </c>
      <c r="B2834" t="s">
        <v>20</v>
      </c>
      <c r="C2834" t="str">
        <f t="shared" si="90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89"/>
        <v>1</v>
      </c>
    </row>
    <row r="2835" spans="1:8" x14ac:dyDescent="0.2">
      <c r="A2835" t="s">
        <v>7</v>
      </c>
      <c r="B2835" t="s">
        <v>20</v>
      </c>
      <c r="C2835" t="str">
        <f t="shared" si="90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89"/>
        <v>1</v>
      </c>
    </row>
    <row r="2836" spans="1:8" x14ac:dyDescent="0.2">
      <c r="A2836" t="s">
        <v>7</v>
      </c>
      <c r="B2836" t="s">
        <v>20</v>
      </c>
      <c r="C2836" t="str">
        <f t="shared" si="90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89"/>
        <v>1</v>
      </c>
    </row>
    <row r="2837" spans="1:8" x14ac:dyDescent="0.2">
      <c r="A2837" t="s">
        <v>7</v>
      </c>
      <c r="B2837" t="s">
        <v>20</v>
      </c>
      <c r="C2837" t="str">
        <f t="shared" si="90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89"/>
        <v>1</v>
      </c>
    </row>
    <row r="2838" spans="1:8" x14ac:dyDescent="0.2">
      <c r="A2838" t="s">
        <v>7</v>
      </c>
      <c r="B2838" t="s">
        <v>20</v>
      </c>
      <c r="C2838" t="str">
        <f t="shared" si="90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89"/>
        <v>1</v>
      </c>
    </row>
    <row r="2839" spans="1:8" x14ac:dyDescent="0.2">
      <c r="A2839" t="s">
        <v>7</v>
      </c>
      <c r="B2839" t="s">
        <v>20</v>
      </c>
      <c r="C2839" t="str">
        <f t="shared" si="90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89"/>
        <v>1</v>
      </c>
    </row>
    <row r="2840" spans="1:8" x14ac:dyDescent="0.2">
      <c r="A2840" t="s">
        <v>7</v>
      </c>
      <c r="B2840" t="s">
        <v>20</v>
      </c>
      <c r="C2840" t="str">
        <f t="shared" si="90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89"/>
        <v>1</v>
      </c>
    </row>
    <row r="2841" spans="1:8" x14ac:dyDescent="0.2">
      <c r="A2841" t="s">
        <v>7</v>
      </c>
      <c r="B2841" t="s">
        <v>20</v>
      </c>
      <c r="C2841" t="str">
        <f t="shared" si="90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89"/>
        <v>1</v>
      </c>
    </row>
    <row r="2842" spans="1:8" x14ac:dyDescent="0.2">
      <c r="A2842" t="s">
        <v>7</v>
      </c>
      <c r="B2842" t="s">
        <v>20</v>
      </c>
      <c r="C2842" t="str">
        <f t="shared" si="90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89"/>
        <v>0</v>
      </c>
    </row>
    <row r="2843" spans="1:8" x14ac:dyDescent="0.2">
      <c r="A2843" t="s">
        <v>7</v>
      </c>
      <c r="B2843" t="s">
        <v>20</v>
      </c>
      <c r="C2843" t="str">
        <f t="shared" si="90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89"/>
        <v>0</v>
      </c>
    </row>
    <row r="2844" spans="1:8" x14ac:dyDescent="0.2">
      <c r="A2844" t="s">
        <v>7</v>
      </c>
      <c r="B2844" t="s">
        <v>20</v>
      </c>
      <c r="C2844" t="str">
        <f t="shared" si="90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89"/>
        <v>0</v>
      </c>
    </row>
    <row r="2845" spans="1:8" x14ac:dyDescent="0.2">
      <c r="A2845" t="s">
        <v>7</v>
      </c>
      <c r="B2845" t="s">
        <v>20</v>
      </c>
      <c r="C2845" t="str">
        <f t="shared" si="90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89"/>
        <v>0</v>
      </c>
    </row>
    <row r="2846" spans="1:8" x14ac:dyDescent="0.2">
      <c r="A2846" t="s">
        <v>7</v>
      </c>
      <c r="B2846" t="s">
        <v>20</v>
      </c>
      <c r="C2846" t="str">
        <f t="shared" si="90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si="89"/>
        <v>0</v>
      </c>
    </row>
    <row r="2847" spans="1:8" x14ac:dyDescent="0.2">
      <c r="A2847" t="s">
        <v>7</v>
      </c>
      <c r="B2847" t="s">
        <v>20</v>
      </c>
      <c r="C2847" t="str">
        <f t="shared" si="90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89"/>
        <v>0</v>
      </c>
    </row>
    <row r="2848" spans="1:8" x14ac:dyDescent="0.2">
      <c r="A2848" t="s">
        <v>7</v>
      </c>
      <c r="B2848" t="s">
        <v>20</v>
      </c>
      <c r="C2848" t="str">
        <f t="shared" si="90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89"/>
        <v>0</v>
      </c>
    </row>
    <row r="2849" spans="1:8" x14ac:dyDescent="0.2">
      <c r="A2849" t="s">
        <v>7</v>
      </c>
      <c r="B2849" t="s">
        <v>20</v>
      </c>
      <c r="C2849" t="str">
        <f t="shared" si="90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89"/>
        <v>0</v>
      </c>
    </row>
    <row r="2850" spans="1:8" x14ac:dyDescent="0.2">
      <c r="A2850" t="s">
        <v>7</v>
      </c>
      <c r="B2850" t="s">
        <v>20</v>
      </c>
      <c r="C2850" t="str">
        <f t="shared" si="90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89"/>
        <v>0</v>
      </c>
    </row>
    <row r="2851" spans="1:8" x14ac:dyDescent="0.2">
      <c r="A2851" t="s">
        <v>7</v>
      </c>
      <c r="B2851" t="s">
        <v>20</v>
      </c>
      <c r="C2851" t="str">
        <f t="shared" si="90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89"/>
        <v>0</v>
      </c>
    </row>
    <row r="2852" spans="1:8" x14ac:dyDescent="0.2">
      <c r="A2852" t="s">
        <v>7</v>
      </c>
      <c r="B2852" t="s">
        <v>20</v>
      </c>
      <c r="C2852" t="str">
        <f t="shared" si="90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89"/>
        <v>0</v>
      </c>
    </row>
    <row r="2853" spans="1:8" x14ac:dyDescent="0.2">
      <c r="A2853" t="s">
        <v>7</v>
      </c>
      <c r="B2853" t="s">
        <v>20</v>
      </c>
      <c r="C2853" t="str">
        <f t="shared" si="90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89"/>
        <v>0</v>
      </c>
    </row>
    <row r="2854" spans="1:8" x14ac:dyDescent="0.2">
      <c r="A2854" t="s">
        <v>7</v>
      </c>
      <c r="B2854" t="s">
        <v>20</v>
      </c>
      <c r="C2854" t="str">
        <f t="shared" si="90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89"/>
        <v>0</v>
      </c>
    </row>
    <row r="2855" spans="1:8" x14ac:dyDescent="0.2">
      <c r="A2855" t="s">
        <v>7</v>
      </c>
      <c r="B2855" t="s">
        <v>20</v>
      </c>
      <c r="C2855" t="str">
        <f t="shared" si="90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89"/>
        <v>0</v>
      </c>
    </row>
    <row r="2856" spans="1:8" x14ac:dyDescent="0.2">
      <c r="A2856" t="s">
        <v>7</v>
      </c>
      <c r="B2856" t="s">
        <v>20</v>
      </c>
      <c r="C2856" t="str">
        <f t="shared" si="90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89"/>
        <v>-1</v>
      </c>
    </row>
    <row r="2857" spans="1:8" x14ac:dyDescent="0.2">
      <c r="A2857" t="s">
        <v>7</v>
      </c>
      <c r="B2857" t="s">
        <v>20</v>
      </c>
      <c r="C2857" t="str">
        <f t="shared" si="90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89"/>
        <v>-1</v>
      </c>
    </row>
    <row r="2858" spans="1:8" x14ac:dyDescent="0.2">
      <c r="A2858" t="s">
        <v>7</v>
      </c>
      <c r="B2858" t="s">
        <v>20</v>
      </c>
      <c r="C2858" t="str">
        <f t="shared" si="90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89"/>
        <v>-1</v>
      </c>
    </row>
    <row r="2859" spans="1:8" x14ac:dyDescent="0.2">
      <c r="A2859" t="s">
        <v>7</v>
      </c>
      <c r="B2859" t="s">
        <v>20</v>
      </c>
      <c r="C2859" t="str">
        <f t="shared" si="90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89"/>
        <v>-1</v>
      </c>
    </row>
    <row r="2860" spans="1:8" x14ac:dyDescent="0.2">
      <c r="A2860" t="s">
        <v>7</v>
      </c>
      <c r="B2860" t="s">
        <v>20</v>
      </c>
      <c r="C2860" t="str">
        <f t="shared" si="90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89"/>
        <v>-1</v>
      </c>
    </row>
    <row r="2861" spans="1:8" x14ac:dyDescent="0.2">
      <c r="A2861" t="s">
        <v>7</v>
      </c>
      <c r="B2861" t="s">
        <v>20</v>
      </c>
      <c r="C2861" t="str">
        <f t="shared" si="90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89"/>
        <v>-1</v>
      </c>
    </row>
    <row r="2862" spans="1:8" x14ac:dyDescent="0.2">
      <c r="A2862" t="s">
        <v>7</v>
      </c>
      <c r="B2862" t="s">
        <v>20</v>
      </c>
      <c r="C2862" t="str">
        <f t="shared" si="90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89"/>
        <v>-1</v>
      </c>
    </row>
    <row r="2863" spans="1:8" x14ac:dyDescent="0.2">
      <c r="A2863" t="s">
        <v>7</v>
      </c>
      <c r="B2863" t="s">
        <v>20</v>
      </c>
      <c r="C2863" t="str">
        <f t="shared" si="90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89"/>
        <v>-1</v>
      </c>
    </row>
    <row r="2864" spans="1:8" x14ac:dyDescent="0.2">
      <c r="A2864" t="s">
        <v>7</v>
      </c>
      <c r="B2864" t="s">
        <v>20</v>
      </c>
      <c r="C2864" t="str">
        <f t="shared" si="90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89"/>
        <v>-1</v>
      </c>
    </row>
    <row r="2865" spans="1:8" x14ac:dyDescent="0.2">
      <c r="A2865" t="s">
        <v>7</v>
      </c>
      <c r="B2865" t="s">
        <v>20</v>
      </c>
      <c r="C2865" t="str">
        <f t="shared" si="90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89"/>
        <v>0</v>
      </c>
    </row>
    <row r="2866" spans="1:8" x14ac:dyDescent="0.2">
      <c r="A2866" t="s">
        <v>7</v>
      </c>
      <c r="B2866" t="s">
        <v>20</v>
      </c>
      <c r="C2866" t="str">
        <f t="shared" si="90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89"/>
        <v>-1</v>
      </c>
    </row>
    <row r="2867" spans="1:8" x14ac:dyDescent="0.2">
      <c r="A2867" t="s">
        <v>7</v>
      </c>
      <c r="B2867" t="s">
        <v>20</v>
      </c>
      <c r="C2867" t="str">
        <f t="shared" si="90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89"/>
        <v>-1</v>
      </c>
    </row>
    <row r="2868" spans="1:8" x14ac:dyDescent="0.2">
      <c r="A2868" t="s">
        <v>7</v>
      </c>
      <c r="B2868" t="s">
        <v>20</v>
      </c>
      <c r="C2868" t="str">
        <f t="shared" si="90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89"/>
        <v>-2</v>
      </c>
    </row>
    <row r="2869" spans="1:8" x14ac:dyDescent="0.2">
      <c r="A2869" t="s">
        <v>7</v>
      </c>
      <c r="B2869" t="s">
        <v>20</v>
      </c>
      <c r="C2869" t="str">
        <f t="shared" si="90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89"/>
        <v>-2</v>
      </c>
    </row>
    <row r="2870" spans="1:8" x14ac:dyDescent="0.2">
      <c r="A2870" t="s">
        <v>7</v>
      </c>
      <c r="B2870" t="s">
        <v>20</v>
      </c>
      <c r="C2870" t="str">
        <f t="shared" si="90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89"/>
        <v>-2</v>
      </c>
    </row>
    <row r="2871" spans="1:8" x14ac:dyDescent="0.2">
      <c r="A2871" t="s">
        <v>7</v>
      </c>
      <c r="B2871" t="s">
        <v>20</v>
      </c>
      <c r="C2871" t="str">
        <f t="shared" si="90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89"/>
        <v>-2</v>
      </c>
    </row>
    <row r="2872" spans="1:8" x14ac:dyDescent="0.2">
      <c r="A2872" t="s">
        <v>7</v>
      </c>
      <c r="B2872" t="s">
        <v>20</v>
      </c>
      <c r="C2872" t="str">
        <f t="shared" si="90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89"/>
        <v>-2</v>
      </c>
    </row>
    <row r="2873" spans="1:8" x14ac:dyDescent="0.2">
      <c r="A2873" t="s">
        <v>7</v>
      </c>
      <c r="B2873" t="s">
        <v>20</v>
      </c>
      <c r="C2873" t="str">
        <f t="shared" si="90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89"/>
        <v>-2</v>
      </c>
    </row>
    <row r="2874" spans="1:8" x14ac:dyDescent="0.2">
      <c r="A2874" t="s">
        <v>7</v>
      </c>
      <c r="B2874" t="s">
        <v>20</v>
      </c>
      <c r="C2874" t="str">
        <f t="shared" si="90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89"/>
        <v>-2</v>
      </c>
    </row>
    <row r="2875" spans="1:8" x14ac:dyDescent="0.2">
      <c r="A2875" t="s">
        <v>7</v>
      </c>
      <c r="B2875" t="s">
        <v>20</v>
      </c>
      <c r="C2875" t="str">
        <f t="shared" si="90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89"/>
        <v>-2</v>
      </c>
    </row>
    <row r="2876" spans="1:8" x14ac:dyDescent="0.2">
      <c r="A2876" t="s">
        <v>7</v>
      </c>
      <c r="B2876" t="s">
        <v>20</v>
      </c>
      <c r="C2876" t="str">
        <f t="shared" si="90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89"/>
        <v>-2</v>
      </c>
    </row>
    <row r="2877" spans="1:8" x14ac:dyDescent="0.2">
      <c r="A2877" t="s">
        <v>7</v>
      </c>
      <c r="B2877" t="s">
        <v>20</v>
      </c>
      <c r="C2877" t="str">
        <f t="shared" si="90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89"/>
        <v>-2</v>
      </c>
    </row>
    <row r="2878" spans="1:8" x14ac:dyDescent="0.2">
      <c r="A2878" t="s">
        <v>7</v>
      </c>
      <c r="B2878" t="s">
        <v>20</v>
      </c>
      <c r="C2878" t="str">
        <f t="shared" si="90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89"/>
        <v>-2</v>
      </c>
    </row>
    <row r="2879" spans="1:8" x14ac:dyDescent="0.2">
      <c r="A2879" t="s">
        <v>7</v>
      </c>
      <c r="B2879" t="s">
        <v>20</v>
      </c>
      <c r="C2879" t="str">
        <f t="shared" si="90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89"/>
        <v>-2</v>
      </c>
    </row>
    <row r="2880" spans="1:8" x14ac:dyDescent="0.2">
      <c r="A2880" t="s">
        <v>7</v>
      </c>
      <c r="B2880" t="s">
        <v>20</v>
      </c>
      <c r="C2880" t="str">
        <f t="shared" si="90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89"/>
        <v>-2</v>
      </c>
    </row>
    <row r="2881" spans="1:8" x14ac:dyDescent="0.2">
      <c r="A2881" t="s">
        <v>7</v>
      </c>
      <c r="B2881" t="s">
        <v>20</v>
      </c>
      <c r="C2881" t="str">
        <f t="shared" si="90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89"/>
        <v>-2</v>
      </c>
    </row>
    <row r="2882" spans="1:8" x14ac:dyDescent="0.2">
      <c r="A2882" t="s">
        <v>7</v>
      </c>
      <c r="B2882" t="s">
        <v>20</v>
      </c>
      <c r="C2882" t="str">
        <f t="shared" si="90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89"/>
        <v>-2</v>
      </c>
    </row>
    <row r="2883" spans="1:8" x14ac:dyDescent="0.2">
      <c r="A2883" t="s">
        <v>7</v>
      </c>
      <c r="B2883" t="s">
        <v>20</v>
      </c>
      <c r="C2883" t="str">
        <f t="shared" si="90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ref="H2883:H2946" si="91">F2883-G2883</f>
        <v>-2</v>
      </c>
    </row>
    <row r="2884" spans="1:8" x14ac:dyDescent="0.2">
      <c r="A2884" t="s">
        <v>7</v>
      </c>
      <c r="B2884" t="s">
        <v>20</v>
      </c>
      <c r="C2884" t="str">
        <f t="shared" ref="C2884:C2947" si="92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1"/>
        <v>-2</v>
      </c>
    </row>
    <row r="2885" spans="1:8" x14ac:dyDescent="0.2">
      <c r="A2885" t="s">
        <v>7</v>
      </c>
      <c r="B2885" t="s">
        <v>20</v>
      </c>
      <c r="C2885" t="str">
        <f t="shared" si="92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1"/>
        <v>-2</v>
      </c>
    </row>
    <row r="2886" spans="1:8" x14ac:dyDescent="0.2">
      <c r="A2886" t="s">
        <v>7</v>
      </c>
      <c r="B2886" t="s">
        <v>20</v>
      </c>
      <c r="C2886" t="str">
        <f t="shared" si="92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1"/>
        <v>-2</v>
      </c>
    </row>
    <row r="2887" spans="1:8" x14ac:dyDescent="0.2">
      <c r="A2887" t="s">
        <v>7</v>
      </c>
      <c r="B2887" t="s">
        <v>20</v>
      </c>
      <c r="C2887" t="str">
        <f t="shared" si="92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1"/>
        <v>-2</v>
      </c>
    </row>
    <row r="2888" spans="1:8" x14ac:dyDescent="0.2">
      <c r="A2888" t="s">
        <v>7</v>
      </c>
      <c r="B2888" t="s">
        <v>20</v>
      </c>
      <c r="C2888" t="str">
        <f t="shared" si="92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1"/>
        <v>-3</v>
      </c>
    </row>
    <row r="2889" spans="1:8" x14ac:dyDescent="0.2">
      <c r="A2889" t="s">
        <v>7</v>
      </c>
      <c r="B2889" t="s">
        <v>20</v>
      </c>
      <c r="C2889" t="str">
        <f t="shared" si="92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1"/>
        <v>-3</v>
      </c>
    </row>
    <row r="2890" spans="1:8" x14ac:dyDescent="0.2">
      <c r="A2890" t="s">
        <v>7</v>
      </c>
      <c r="B2890" t="s">
        <v>20</v>
      </c>
      <c r="C2890" t="str">
        <f t="shared" si="92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1"/>
        <v>-3</v>
      </c>
    </row>
    <row r="2891" spans="1:8" x14ac:dyDescent="0.2">
      <c r="A2891" t="s">
        <v>7</v>
      </c>
      <c r="B2891" t="s">
        <v>20</v>
      </c>
      <c r="C2891" t="str">
        <f t="shared" si="92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1"/>
        <v>-3</v>
      </c>
    </row>
    <row r="2892" spans="1:8" x14ac:dyDescent="0.2">
      <c r="A2892" t="s">
        <v>7</v>
      </c>
      <c r="B2892" t="s">
        <v>20</v>
      </c>
      <c r="C2892" t="str">
        <f t="shared" si="92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1"/>
        <v>-3</v>
      </c>
    </row>
    <row r="2893" spans="1:8" x14ac:dyDescent="0.2">
      <c r="A2893" t="s">
        <v>7</v>
      </c>
      <c r="B2893" t="s">
        <v>20</v>
      </c>
      <c r="C2893" t="str">
        <f t="shared" si="92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1"/>
        <v>-3</v>
      </c>
    </row>
    <row r="2894" spans="1:8" x14ac:dyDescent="0.2">
      <c r="A2894" t="s">
        <v>7</v>
      </c>
      <c r="B2894" t="s">
        <v>20</v>
      </c>
      <c r="C2894" t="str">
        <f t="shared" si="92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1"/>
        <v>-3</v>
      </c>
    </row>
    <row r="2895" spans="1:8" x14ac:dyDescent="0.2">
      <c r="A2895" t="s">
        <v>7</v>
      </c>
      <c r="B2895" t="s">
        <v>20</v>
      </c>
      <c r="C2895" t="str">
        <f t="shared" si="92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1"/>
        <v>-3</v>
      </c>
    </row>
    <row r="2896" spans="1:8" x14ac:dyDescent="0.2">
      <c r="A2896" t="s">
        <v>7</v>
      </c>
      <c r="B2896" t="s">
        <v>20</v>
      </c>
      <c r="C2896" t="str">
        <f t="shared" si="92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1"/>
        <v>-3</v>
      </c>
    </row>
    <row r="2897" spans="1:8" x14ac:dyDescent="0.2">
      <c r="A2897" t="s">
        <v>7</v>
      </c>
      <c r="B2897" t="s">
        <v>20</v>
      </c>
      <c r="C2897" t="str">
        <f t="shared" si="92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1"/>
        <v>-3</v>
      </c>
    </row>
    <row r="2898" spans="1:8" x14ac:dyDescent="0.2">
      <c r="A2898" t="s">
        <v>7</v>
      </c>
      <c r="B2898" t="s">
        <v>20</v>
      </c>
      <c r="C2898" t="str">
        <f t="shared" si="92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1"/>
        <v>-3</v>
      </c>
    </row>
    <row r="2899" spans="1:8" x14ac:dyDescent="0.2">
      <c r="A2899" t="s">
        <v>7</v>
      </c>
      <c r="B2899" t="s">
        <v>20</v>
      </c>
      <c r="C2899" t="str">
        <f t="shared" si="92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1"/>
        <v>-3</v>
      </c>
    </row>
    <row r="2900" spans="1:8" x14ac:dyDescent="0.2">
      <c r="A2900" t="s">
        <v>7</v>
      </c>
      <c r="B2900" t="s">
        <v>20</v>
      </c>
      <c r="C2900" t="str">
        <f t="shared" si="92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1"/>
        <v>-3</v>
      </c>
    </row>
    <row r="2901" spans="1:8" x14ac:dyDescent="0.2">
      <c r="A2901" t="s">
        <v>7</v>
      </c>
      <c r="B2901" t="s">
        <v>20</v>
      </c>
      <c r="C2901" t="str">
        <f t="shared" si="92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1"/>
        <v>-3</v>
      </c>
    </row>
    <row r="2902" spans="1:8" x14ac:dyDescent="0.2">
      <c r="A2902" t="s">
        <v>7</v>
      </c>
      <c r="B2902" t="s">
        <v>20</v>
      </c>
      <c r="C2902" t="str">
        <f t="shared" si="92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1"/>
        <v>-3</v>
      </c>
    </row>
    <row r="2903" spans="1:8" x14ac:dyDescent="0.2">
      <c r="A2903" t="s">
        <v>7</v>
      </c>
      <c r="B2903" t="s">
        <v>20</v>
      </c>
      <c r="C2903" t="str">
        <f t="shared" si="92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1"/>
        <v>-4</v>
      </c>
    </row>
    <row r="2904" spans="1:8" x14ac:dyDescent="0.2">
      <c r="A2904" t="s">
        <v>7</v>
      </c>
      <c r="B2904" t="s">
        <v>20</v>
      </c>
      <c r="C2904" t="str">
        <f t="shared" si="92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1"/>
        <v>-4</v>
      </c>
    </row>
    <row r="2905" spans="1:8" x14ac:dyDescent="0.2">
      <c r="A2905" t="s">
        <v>7</v>
      </c>
      <c r="B2905" t="s">
        <v>20</v>
      </c>
      <c r="C2905" t="str">
        <f t="shared" si="92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1"/>
        <v>-4</v>
      </c>
    </row>
    <row r="2906" spans="1:8" x14ac:dyDescent="0.2">
      <c r="A2906" t="s">
        <v>7</v>
      </c>
      <c r="B2906" t="s">
        <v>20</v>
      </c>
      <c r="C2906" t="str">
        <f t="shared" si="92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1"/>
        <v>-4</v>
      </c>
    </row>
    <row r="2907" spans="1:8" x14ac:dyDescent="0.2">
      <c r="A2907" t="s">
        <v>7</v>
      </c>
      <c r="B2907" t="s">
        <v>20</v>
      </c>
      <c r="C2907" t="str">
        <f t="shared" si="92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1"/>
        <v>-4</v>
      </c>
    </row>
    <row r="2908" spans="1:8" x14ac:dyDescent="0.2">
      <c r="A2908" t="s">
        <v>7</v>
      </c>
      <c r="B2908" t="s">
        <v>20</v>
      </c>
      <c r="C2908" t="str">
        <f t="shared" si="92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1"/>
        <v>-4</v>
      </c>
    </row>
    <row r="2909" spans="1:8" x14ac:dyDescent="0.2">
      <c r="A2909" t="s">
        <v>7</v>
      </c>
      <c r="B2909" t="s">
        <v>20</v>
      </c>
      <c r="C2909" t="str">
        <f t="shared" si="92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1"/>
        <v>-4</v>
      </c>
    </row>
    <row r="2910" spans="1:8" x14ac:dyDescent="0.2">
      <c r="A2910" t="s">
        <v>7</v>
      </c>
      <c r="B2910" t="s">
        <v>20</v>
      </c>
      <c r="C2910" t="str">
        <f t="shared" si="92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si="91"/>
        <v>-4</v>
      </c>
    </row>
    <row r="2911" spans="1:8" x14ac:dyDescent="0.2">
      <c r="A2911" t="s">
        <v>7</v>
      </c>
      <c r="B2911" t="s">
        <v>20</v>
      </c>
      <c r="C2911" t="str">
        <f t="shared" si="92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1"/>
        <v>-4</v>
      </c>
    </row>
    <row r="2912" spans="1:8" x14ac:dyDescent="0.2">
      <c r="A2912" t="s">
        <v>7</v>
      </c>
      <c r="B2912" t="s">
        <v>20</v>
      </c>
      <c r="C2912" t="str">
        <f t="shared" si="92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1"/>
        <v>-4</v>
      </c>
    </row>
    <row r="2913" spans="1:8" x14ac:dyDescent="0.2">
      <c r="A2913" t="s">
        <v>7</v>
      </c>
      <c r="B2913" t="s">
        <v>20</v>
      </c>
      <c r="C2913" t="str">
        <f t="shared" si="92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1"/>
        <v>-4</v>
      </c>
    </row>
    <row r="2914" spans="1:8" x14ac:dyDescent="0.2">
      <c r="A2914" t="s">
        <v>7</v>
      </c>
      <c r="B2914" t="s">
        <v>20</v>
      </c>
      <c r="C2914" t="str">
        <f t="shared" si="92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1"/>
        <v>-4</v>
      </c>
    </row>
    <row r="2915" spans="1:8" x14ac:dyDescent="0.2">
      <c r="A2915" t="s">
        <v>7</v>
      </c>
      <c r="B2915" t="s">
        <v>20</v>
      </c>
      <c r="C2915" t="str">
        <f t="shared" si="92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1"/>
        <v>0</v>
      </c>
    </row>
    <row r="2916" spans="1:8" x14ac:dyDescent="0.2">
      <c r="A2916" t="s">
        <v>7</v>
      </c>
      <c r="B2916" t="s">
        <v>20</v>
      </c>
      <c r="C2916" t="str">
        <f t="shared" si="92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1"/>
        <v>-4</v>
      </c>
    </row>
    <row r="2917" spans="1:8" x14ac:dyDescent="0.2">
      <c r="A2917" t="s">
        <v>7</v>
      </c>
      <c r="B2917" t="s">
        <v>20</v>
      </c>
      <c r="C2917" t="str">
        <f t="shared" si="92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1"/>
        <v>-4</v>
      </c>
    </row>
    <row r="2918" spans="1:8" x14ac:dyDescent="0.2">
      <c r="A2918" t="s">
        <v>7</v>
      </c>
      <c r="B2918" t="s">
        <v>20</v>
      </c>
      <c r="C2918" t="str">
        <f t="shared" si="92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1"/>
        <v>-4</v>
      </c>
    </row>
    <row r="2919" spans="1:8" x14ac:dyDescent="0.2">
      <c r="A2919" t="s">
        <v>7</v>
      </c>
      <c r="B2919" t="s">
        <v>20</v>
      </c>
      <c r="C2919" t="str">
        <f t="shared" si="92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1"/>
        <v>-4</v>
      </c>
    </row>
    <row r="2920" spans="1:8" x14ac:dyDescent="0.2">
      <c r="A2920" t="s">
        <v>7</v>
      </c>
      <c r="B2920" t="s">
        <v>20</v>
      </c>
      <c r="C2920" t="str">
        <f t="shared" si="92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1"/>
        <v>-4</v>
      </c>
    </row>
    <row r="2921" spans="1:8" x14ac:dyDescent="0.2">
      <c r="A2921" t="s">
        <v>7</v>
      </c>
      <c r="B2921" t="s">
        <v>20</v>
      </c>
      <c r="C2921" t="str">
        <f t="shared" si="92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1"/>
        <v>-4</v>
      </c>
    </row>
    <row r="2922" spans="1:8" x14ac:dyDescent="0.2">
      <c r="A2922" t="s">
        <v>7</v>
      </c>
      <c r="B2922" t="s">
        <v>20</v>
      </c>
      <c r="C2922" t="str">
        <f t="shared" si="92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1"/>
        <v>-4</v>
      </c>
    </row>
    <row r="2923" spans="1:8" x14ac:dyDescent="0.2">
      <c r="A2923" t="s">
        <v>7</v>
      </c>
      <c r="B2923" t="s">
        <v>20</v>
      </c>
      <c r="C2923" t="str">
        <f t="shared" si="92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1"/>
        <v>-4</v>
      </c>
    </row>
    <row r="2924" spans="1:8" x14ac:dyDescent="0.2">
      <c r="A2924" t="s">
        <v>7</v>
      </c>
      <c r="B2924" t="s">
        <v>20</v>
      </c>
      <c r="C2924" t="str">
        <f t="shared" si="92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1"/>
        <v>-4</v>
      </c>
    </row>
    <row r="2925" spans="1:8" x14ac:dyDescent="0.2">
      <c r="A2925" t="s">
        <v>7</v>
      </c>
      <c r="B2925" t="s">
        <v>20</v>
      </c>
      <c r="C2925" t="str">
        <f t="shared" si="92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1"/>
        <v>-4</v>
      </c>
    </row>
    <row r="2926" spans="1:8" x14ac:dyDescent="0.2">
      <c r="A2926" t="s">
        <v>7</v>
      </c>
      <c r="B2926" t="s">
        <v>20</v>
      </c>
      <c r="C2926" t="str">
        <f t="shared" si="92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1"/>
        <v>-4</v>
      </c>
    </row>
    <row r="2927" spans="1:8" x14ac:dyDescent="0.2">
      <c r="A2927" t="s">
        <v>7</v>
      </c>
      <c r="B2927" t="s">
        <v>20</v>
      </c>
      <c r="C2927" t="str">
        <f t="shared" si="92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1"/>
        <v>-4</v>
      </c>
    </row>
    <row r="2928" spans="1:8" x14ac:dyDescent="0.2">
      <c r="A2928" t="s">
        <v>7</v>
      </c>
      <c r="B2928" t="s">
        <v>20</v>
      </c>
      <c r="C2928" t="str">
        <f t="shared" si="92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1"/>
        <v>-5</v>
      </c>
    </row>
    <row r="2929" spans="1:8" x14ac:dyDescent="0.2">
      <c r="A2929" t="s">
        <v>7</v>
      </c>
      <c r="B2929" t="s">
        <v>20</v>
      </c>
      <c r="C2929" t="str">
        <f t="shared" si="92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1"/>
        <v>-5</v>
      </c>
    </row>
    <row r="2930" spans="1:8" x14ac:dyDescent="0.2">
      <c r="A2930" t="s">
        <v>7</v>
      </c>
      <c r="B2930" t="s">
        <v>20</v>
      </c>
      <c r="C2930" t="str">
        <f t="shared" si="92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1"/>
        <v>-5</v>
      </c>
    </row>
    <row r="2931" spans="1:8" x14ac:dyDescent="0.2">
      <c r="A2931" t="s">
        <v>7</v>
      </c>
      <c r="B2931" t="s">
        <v>20</v>
      </c>
      <c r="C2931" t="str">
        <f t="shared" si="92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1"/>
        <v>-5</v>
      </c>
    </row>
    <row r="2932" spans="1:8" x14ac:dyDescent="0.2">
      <c r="A2932" t="s">
        <v>7</v>
      </c>
      <c r="B2932" t="s">
        <v>20</v>
      </c>
      <c r="C2932" t="str">
        <f t="shared" si="92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1"/>
        <v>-5</v>
      </c>
    </row>
    <row r="2933" spans="1:8" x14ac:dyDescent="0.2">
      <c r="A2933" t="s">
        <v>7</v>
      </c>
      <c r="B2933" t="s">
        <v>20</v>
      </c>
      <c r="C2933" t="str">
        <f t="shared" si="92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1"/>
        <v>-5</v>
      </c>
    </row>
    <row r="2934" spans="1:8" x14ac:dyDescent="0.2">
      <c r="A2934" t="s">
        <v>7</v>
      </c>
      <c r="B2934" t="s">
        <v>20</v>
      </c>
      <c r="C2934" t="str">
        <f t="shared" si="92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1"/>
        <v>0</v>
      </c>
    </row>
    <row r="2935" spans="1:8" x14ac:dyDescent="0.2">
      <c r="A2935" t="s">
        <v>7</v>
      </c>
      <c r="B2935" t="s">
        <v>20</v>
      </c>
      <c r="C2935" t="str">
        <f t="shared" si="92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1"/>
        <v>-5</v>
      </c>
    </row>
    <row r="2936" spans="1:8" x14ac:dyDescent="0.2">
      <c r="A2936" t="s">
        <v>7</v>
      </c>
      <c r="B2936" t="s">
        <v>20</v>
      </c>
      <c r="C2936" t="str">
        <f t="shared" si="92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1"/>
        <v>0</v>
      </c>
    </row>
    <row r="2937" spans="1:8" x14ac:dyDescent="0.2">
      <c r="A2937" t="s">
        <v>7</v>
      </c>
      <c r="B2937" t="s">
        <v>20</v>
      </c>
      <c r="C2937" t="str">
        <f t="shared" si="92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1"/>
        <v>-5</v>
      </c>
    </row>
    <row r="2938" spans="1:8" x14ac:dyDescent="0.2">
      <c r="A2938" t="s">
        <v>7</v>
      </c>
      <c r="B2938" t="s">
        <v>20</v>
      </c>
      <c r="C2938" t="str">
        <f t="shared" si="92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1"/>
        <v>-5</v>
      </c>
    </row>
    <row r="2939" spans="1:8" x14ac:dyDescent="0.2">
      <c r="A2939" t="s">
        <v>7</v>
      </c>
      <c r="B2939" t="s">
        <v>20</v>
      </c>
      <c r="C2939" t="str">
        <f t="shared" si="92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1"/>
        <v>-5</v>
      </c>
    </row>
    <row r="2940" spans="1:8" x14ac:dyDescent="0.2">
      <c r="A2940" t="s">
        <v>7</v>
      </c>
      <c r="B2940" t="s">
        <v>20</v>
      </c>
      <c r="C2940" t="str">
        <f t="shared" si="92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1"/>
        <v>-5</v>
      </c>
    </row>
    <row r="2941" spans="1:8" x14ac:dyDescent="0.2">
      <c r="A2941" t="s">
        <v>7</v>
      </c>
      <c r="B2941" t="s">
        <v>20</v>
      </c>
      <c r="C2941" t="str">
        <f t="shared" si="92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1"/>
        <v>-5</v>
      </c>
    </row>
    <row r="2942" spans="1:8" x14ac:dyDescent="0.2">
      <c r="A2942" t="s">
        <v>7</v>
      </c>
      <c r="B2942" t="s">
        <v>20</v>
      </c>
      <c r="C2942" t="str">
        <f t="shared" si="92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1"/>
        <v>-5</v>
      </c>
    </row>
    <row r="2943" spans="1:8" x14ac:dyDescent="0.2">
      <c r="A2943" t="s">
        <v>7</v>
      </c>
      <c r="B2943" t="s">
        <v>20</v>
      </c>
      <c r="C2943" t="str">
        <f t="shared" si="92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1"/>
        <v>-5</v>
      </c>
    </row>
    <row r="2944" spans="1:8" x14ac:dyDescent="0.2">
      <c r="A2944" t="s">
        <v>7</v>
      </c>
      <c r="B2944" t="s">
        <v>20</v>
      </c>
      <c r="C2944" t="str">
        <f t="shared" si="92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1"/>
        <v>-5</v>
      </c>
    </row>
    <row r="2945" spans="1:8" x14ac:dyDescent="0.2">
      <c r="A2945" t="s">
        <v>7</v>
      </c>
      <c r="B2945" t="s">
        <v>20</v>
      </c>
      <c r="C2945" t="str">
        <f t="shared" si="92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1"/>
        <v>-5</v>
      </c>
    </row>
    <row r="2946" spans="1:8" x14ac:dyDescent="0.2">
      <c r="A2946" t="s">
        <v>7</v>
      </c>
      <c r="B2946" t="s">
        <v>20</v>
      </c>
      <c r="C2946" t="str">
        <f t="shared" si="92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1"/>
        <v>-5</v>
      </c>
    </row>
    <row r="2947" spans="1:8" x14ac:dyDescent="0.2">
      <c r="A2947" t="s">
        <v>7</v>
      </c>
      <c r="B2947" t="s">
        <v>20</v>
      </c>
      <c r="C2947" t="str">
        <f t="shared" si="92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ref="H2947:H3010" si="93">F2947-G2947</f>
        <v>-5</v>
      </c>
    </row>
    <row r="2948" spans="1:8" x14ac:dyDescent="0.2">
      <c r="A2948" t="s">
        <v>7</v>
      </c>
      <c r="B2948" t="s">
        <v>20</v>
      </c>
      <c r="C2948" t="str">
        <f t="shared" ref="C2948:C3011" si="94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3"/>
        <v>-5</v>
      </c>
    </row>
    <row r="2949" spans="1:8" x14ac:dyDescent="0.2">
      <c r="A2949" t="s">
        <v>7</v>
      </c>
      <c r="B2949" t="s">
        <v>20</v>
      </c>
      <c r="C2949" t="str">
        <f t="shared" si="94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3"/>
        <v>-5</v>
      </c>
    </row>
    <row r="2950" spans="1:8" x14ac:dyDescent="0.2">
      <c r="A2950" t="s">
        <v>7</v>
      </c>
      <c r="B2950" t="s">
        <v>20</v>
      </c>
      <c r="C2950" t="str">
        <f t="shared" si="94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3"/>
        <v>-5</v>
      </c>
    </row>
    <row r="2951" spans="1:8" x14ac:dyDescent="0.2">
      <c r="A2951" t="s">
        <v>7</v>
      </c>
      <c r="B2951" t="s">
        <v>20</v>
      </c>
      <c r="C2951" t="str">
        <f t="shared" si="94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3"/>
        <v>-5</v>
      </c>
    </row>
    <row r="2952" spans="1:8" x14ac:dyDescent="0.2">
      <c r="A2952" t="s">
        <v>7</v>
      </c>
      <c r="B2952" t="s">
        <v>20</v>
      </c>
      <c r="C2952" t="str">
        <f t="shared" si="94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3"/>
        <v>-5</v>
      </c>
    </row>
    <row r="2953" spans="1:8" x14ac:dyDescent="0.2">
      <c r="A2953" t="s">
        <v>7</v>
      </c>
      <c r="B2953" t="s">
        <v>20</v>
      </c>
      <c r="C2953" t="str">
        <f t="shared" si="94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3"/>
        <v>-5</v>
      </c>
    </row>
    <row r="2954" spans="1:8" x14ac:dyDescent="0.2">
      <c r="A2954" t="s">
        <v>7</v>
      </c>
      <c r="B2954" t="s">
        <v>20</v>
      </c>
      <c r="C2954" t="str">
        <f t="shared" si="94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3"/>
        <v>0</v>
      </c>
    </row>
    <row r="2955" spans="1:8" x14ac:dyDescent="0.2">
      <c r="A2955" t="s">
        <v>7</v>
      </c>
      <c r="B2955" t="s">
        <v>20</v>
      </c>
      <c r="C2955" t="str">
        <f t="shared" si="94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3"/>
        <v>-5</v>
      </c>
    </row>
    <row r="2956" spans="1:8" x14ac:dyDescent="0.2">
      <c r="A2956" t="s">
        <v>7</v>
      </c>
      <c r="B2956" t="s">
        <v>20</v>
      </c>
      <c r="C2956" t="str">
        <f t="shared" si="94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3"/>
        <v>-6</v>
      </c>
    </row>
    <row r="2957" spans="1:8" x14ac:dyDescent="0.2">
      <c r="A2957" t="s">
        <v>7</v>
      </c>
      <c r="B2957" t="s">
        <v>20</v>
      </c>
      <c r="C2957" t="str">
        <f t="shared" si="94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3"/>
        <v>-6</v>
      </c>
    </row>
    <row r="2958" spans="1:8" x14ac:dyDescent="0.2">
      <c r="A2958" t="s">
        <v>7</v>
      </c>
      <c r="B2958" t="s">
        <v>20</v>
      </c>
      <c r="C2958" t="str">
        <f t="shared" si="94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3"/>
        <v>-6</v>
      </c>
    </row>
    <row r="2959" spans="1:8" x14ac:dyDescent="0.2">
      <c r="A2959" t="s">
        <v>7</v>
      </c>
      <c r="B2959" t="s">
        <v>20</v>
      </c>
      <c r="C2959" t="str">
        <f t="shared" si="94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3"/>
        <v>-6</v>
      </c>
    </row>
    <row r="2960" spans="1:8" x14ac:dyDescent="0.2">
      <c r="A2960" t="s">
        <v>7</v>
      </c>
      <c r="B2960" t="s">
        <v>20</v>
      </c>
      <c r="C2960" t="str">
        <f t="shared" si="94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3"/>
        <v>0</v>
      </c>
    </row>
    <row r="2961" spans="1:8" x14ac:dyDescent="0.2">
      <c r="A2961" t="s">
        <v>7</v>
      </c>
      <c r="B2961" t="s">
        <v>20</v>
      </c>
      <c r="C2961" t="str">
        <f t="shared" si="94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3"/>
        <v>-6</v>
      </c>
    </row>
    <row r="2962" spans="1:8" x14ac:dyDescent="0.2">
      <c r="A2962" t="s">
        <v>7</v>
      </c>
      <c r="B2962" t="s">
        <v>20</v>
      </c>
      <c r="C2962" t="str">
        <f t="shared" si="94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3"/>
        <v>-6</v>
      </c>
    </row>
    <row r="2963" spans="1:8" x14ac:dyDescent="0.2">
      <c r="A2963" t="s">
        <v>7</v>
      </c>
      <c r="B2963" t="s">
        <v>20</v>
      </c>
      <c r="C2963" t="str">
        <f t="shared" si="94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3"/>
        <v>-6</v>
      </c>
    </row>
    <row r="2964" spans="1:8" x14ac:dyDescent="0.2">
      <c r="A2964" t="s">
        <v>7</v>
      </c>
      <c r="B2964" t="s">
        <v>20</v>
      </c>
      <c r="C2964" t="str">
        <f t="shared" si="94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3"/>
        <v>-6</v>
      </c>
    </row>
    <row r="2965" spans="1:8" x14ac:dyDescent="0.2">
      <c r="A2965" t="s">
        <v>7</v>
      </c>
      <c r="B2965" t="s">
        <v>20</v>
      </c>
      <c r="C2965" t="str">
        <f t="shared" si="94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3"/>
        <v>-6</v>
      </c>
    </row>
    <row r="2966" spans="1:8" x14ac:dyDescent="0.2">
      <c r="A2966" t="s">
        <v>7</v>
      </c>
      <c r="B2966" t="s">
        <v>20</v>
      </c>
      <c r="C2966" t="str">
        <f t="shared" si="94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3"/>
        <v>-6</v>
      </c>
    </row>
    <row r="2967" spans="1:8" x14ac:dyDescent="0.2">
      <c r="A2967" t="s">
        <v>7</v>
      </c>
      <c r="B2967" t="s">
        <v>20</v>
      </c>
      <c r="C2967" t="str">
        <f t="shared" si="94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3"/>
        <v>-6</v>
      </c>
    </row>
    <row r="2968" spans="1:8" x14ac:dyDescent="0.2">
      <c r="A2968" t="s">
        <v>7</v>
      </c>
      <c r="B2968" t="s">
        <v>20</v>
      </c>
      <c r="C2968" t="str">
        <f t="shared" si="94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3"/>
        <v>-6</v>
      </c>
    </row>
    <row r="2969" spans="1:8" x14ac:dyDescent="0.2">
      <c r="A2969" t="s">
        <v>7</v>
      </c>
      <c r="B2969" t="s">
        <v>20</v>
      </c>
      <c r="C2969" t="str">
        <f t="shared" si="94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3"/>
        <v>-6</v>
      </c>
    </row>
    <row r="2970" spans="1:8" x14ac:dyDescent="0.2">
      <c r="A2970" t="s">
        <v>7</v>
      </c>
      <c r="B2970" t="s">
        <v>20</v>
      </c>
      <c r="C2970" t="str">
        <f t="shared" si="94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3"/>
        <v>-6</v>
      </c>
    </row>
    <row r="2971" spans="1:8" x14ac:dyDescent="0.2">
      <c r="A2971" t="s">
        <v>7</v>
      </c>
      <c r="B2971" t="s">
        <v>20</v>
      </c>
      <c r="C2971" t="str">
        <f t="shared" si="94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3"/>
        <v>-6</v>
      </c>
    </row>
    <row r="2972" spans="1:8" x14ac:dyDescent="0.2">
      <c r="A2972" t="s">
        <v>7</v>
      </c>
      <c r="B2972" t="s">
        <v>20</v>
      </c>
      <c r="C2972" t="str">
        <f t="shared" si="94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3"/>
        <v>-6</v>
      </c>
    </row>
    <row r="2973" spans="1:8" x14ac:dyDescent="0.2">
      <c r="A2973" t="s">
        <v>7</v>
      </c>
      <c r="B2973" t="s">
        <v>20</v>
      </c>
      <c r="C2973" t="str">
        <f t="shared" si="94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3"/>
        <v>0</v>
      </c>
    </row>
    <row r="2974" spans="1:8" x14ac:dyDescent="0.2">
      <c r="A2974" t="s">
        <v>7</v>
      </c>
      <c r="B2974" t="s">
        <v>20</v>
      </c>
      <c r="C2974" t="str">
        <f t="shared" si="94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si="93"/>
        <v>-6</v>
      </c>
    </row>
    <row r="2975" spans="1:8" x14ac:dyDescent="0.2">
      <c r="A2975" t="s">
        <v>7</v>
      </c>
      <c r="B2975" t="s">
        <v>20</v>
      </c>
      <c r="C2975" t="str">
        <f t="shared" si="94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3"/>
        <v>-6</v>
      </c>
    </row>
    <row r="2976" spans="1:8" x14ac:dyDescent="0.2">
      <c r="A2976" t="s">
        <v>7</v>
      </c>
      <c r="B2976" t="s">
        <v>20</v>
      </c>
      <c r="C2976" t="str">
        <f t="shared" si="94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3"/>
        <v>-6</v>
      </c>
    </row>
    <row r="2977" spans="1:8" x14ac:dyDescent="0.2">
      <c r="A2977" t="s">
        <v>7</v>
      </c>
      <c r="B2977" t="s">
        <v>20</v>
      </c>
      <c r="C2977" t="str">
        <f t="shared" si="94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3"/>
        <v>-6</v>
      </c>
    </row>
    <row r="2978" spans="1:8" x14ac:dyDescent="0.2">
      <c r="A2978" t="s">
        <v>7</v>
      </c>
      <c r="B2978" t="s">
        <v>20</v>
      </c>
      <c r="C2978" t="str">
        <f t="shared" si="94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3"/>
        <v>-6</v>
      </c>
    </row>
    <row r="2979" spans="1:8" x14ac:dyDescent="0.2">
      <c r="A2979" t="s">
        <v>7</v>
      </c>
      <c r="B2979" t="s">
        <v>20</v>
      </c>
      <c r="C2979" t="str">
        <f t="shared" si="94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3"/>
        <v>-6</v>
      </c>
    </row>
    <row r="2980" spans="1:8" x14ac:dyDescent="0.2">
      <c r="A2980" t="s">
        <v>7</v>
      </c>
      <c r="B2980" t="s">
        <v>20</v>
      </c>
      <c r="C2980" t="str">
        <f t="shared" si="94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3"/>
        <v>-6</v>
      </c>
    </row>
    <row r="2981" spans="1:8" x14ac:dyDescent="0.2">
      <c r="A2981" t="s">
        <v>7</v>
      </c>
      <c r="B2981" t="s">
        <v>20</v>
      </c>
      <c r="C2981" t="str">
        <f t="shared" si="94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3"/>
        <v>-6</v>
      </c>
    </row>
    <row r="2982" spans="1:8" x14ac:dyDescent="0.2">
      <c r="A2982" t="s">
        <v>7</v>
      </c>
      <c r="B2982" t="s">
        <v>20</v>
      </c>
      <c r="C2982" t="str">
        <f t="shared" si="94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3"/>
        <v>-6</v>
      </c>
    </row>
    <row r="2983" spans="1:8" x14ac:dyDescent="0.2">
      <c r="A2983" t="s">
        <v>7</v>
      </c>
      <c r="B2983" t="s">
        <v>20</v>
      </c>
      <c r="C2983" t="str">
        <f t="shared" si="94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3"/>
        <v>-6</v>
      </c>
    </row>
    <row r="2984" spans="1:8" x14ac:dyDescent="0.2">
      <c r="A2984" t="s">
        <v>7</v>
      </c>
      <c r="B2984" t="s">
        <v>20</v>
      </c>
      <c r="C2984" t="str">
        <f t="shared" si="94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3"/>
        <v>-7</v>
      </c>
    </row>
    <row r="2985" spans="1:8" x14ac:dyDescent="0.2">
      <c r="A2985" t="s">
        <v>7</v>
      </c>
      <c r="B2985" t="s">
        <v>20</v>
      </c>
      <c r="C2985" t="str">
        <f t="shared" si="94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3"/>
        <v>-7</v>
      </c>
    </row>
    <row r="2986" spans="1:8" x14ac:dyDescent="0.2">
      <c r="A2986" t="s">
        <v>7</v>
      </c>
      <c r="B2986" t="s">
        <v>20</v>
      </c>
      <c r="C2986" t="str">
        <f t="shared" si="94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3"/>
        <v>-7</v>
      </c>
    </row>
    <row r="2987" spans="1:8" x14ac:dyDescent="0.2">
      <c r="A2987" t="s">
        <v>7</v>
      </c>
      <c r="B2987" t="s">
        <v>20</v>
      </c>
      <c r="C2987" t="str">
        <f t="shared" si="94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3"/>
        <v>-7</v>
      </c>
    </row>
    <row r="2988" spans="1:8" x14ac:dyDescent="0.2">
      <c r="A2988" t="s">
        <v>7</v>
      </c>
      <c r="B2988" t="s">
        <v>20</v>
      </c>
      <c r="C2988" t="str">
        <f t="shared" si="94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3"/>
        <v>-7</v>
      </c>
    </row>
    <row r="2989" spans="1:8" x14ac:dyDescent="0.2">
      <c r="A2989" t="s">
        <v>7</v>
      </c>
      <c r="B2989" t="s">
        <v>20</v>
      </c>
      <c r="C2989" t="str">
        <f t="shared" si="94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3"/>
        <v>-7</v>
      </c>
    </row>
    <row r="2990" spans="1:8" x14ac:dyDescent="0.2">
      <c r="A2990" t="s">
        <v>7</v>
      </c>
      <c r="B2990" t="s">
        <v>20</v>
      </c>
      <c r="C2990" t="str">
        <f t="shared" si="94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3"/>
        <v>-7</v>
      </c>
    </row>
    <row r="2991" spans="1:8" x14ac:dyDescent="0.2">
      <c r="A2991" t="s">
        <v>7</v>
      </c>
      <c r="B2991" t="s">
        <v>20</v>
      </c>
      <c r="C2991" t="str">
        <f t="shared" si="94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3"/>
        <v>-7</v>
      </c>
    </row>
    <row r="2992" spans="1:8" x14ac:dyDescent="0.2">
      <c r="A2992" t="s">
        <v>7</v>
      </c>
      <c r="B2992" t="s">
        <v>20</v>
      </c>
      <c r="C2992" t="str">
        <f t="shared" si="94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3"/>
        <v>-7</v>
      </c>
    </row>
    <row r="2993" spans="1:8" x14ac:dyDescent="0.2">
      <c r="A2993" t="s">
        <v>7</v>
      </c>
      <c r="B2993" t="s">
        <v>20</v>
      </c>
      <c r="C2993" t="str">
        <f t="shared" si="94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3"/>
        <v>-7</v>
      </c>
    </row>
    <row r="2994" spans="1:8" x14ac:dyDescent="0.2">
      <c r="A2994" t="s">
        <v>7</v>
      </c>
      <c r="B2994" t="s">
        <v>20</v>
      </c>
      <c r="C2994" t="str">
        <f t="shared" si="94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3"/>
        <v>-7</v>
      </c>
    </row>
    <row r="2995" spans="1:8" x14ac:dyDescent="0.2">
      <c r="A2995" t="s">
        <v>7</v>
      </c>
      <c r="B2995" t="s">
        <v>20</v>
      </c>
      <c r="C2995" t="str">
        <f t="shared" si="94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3"/>
        <v>-7</v>
      </c>
    </row>
    <row r="2996" spans="1:8" x14ac:dyDescent="0.2">
      <c r="A2996" t="s">
        <v>7</v>
      </c>
      <c r="B2996" t="s">
        <v>20</v>
      </c>
      <c r="C2996" t="str">
        <f t="shared" si="94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3"/>
        <v>-7</v>
      </c>
    </row>
    <row r="2997" spans="1:8" x14ac:dyDescent="0.2">
      <c r="A2997" t="s">
        <v>7</v>
      </c>
      <c r="B2997" t="s">
        <v>20</v>
      </c>
      <c r="C2997" t="str">
        <f t="shared" si="94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3"/>
        <v>-7</v>
      </c>
    </row>
    <row r="2998" spans="1:8" x14ac:dyDescent="0.2">
      <c r="A2998" t="s">
        <v>7</v>
      </c>
      <c r="B2998" t="s">
        <v>20</v>
      </c>
      <c r="C2998" t="str">
        <f t="shared" si="94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3"/>
        <v>-7</v>
      </c>
    </row>
    <row r="2999" spans="1:8" x14ac:dyDescent="0.2">
      <c r="A2999" t="s">
        <v>7</v>
      </c>
      <c r="B2999" t="s">
        <v>20</v>
      </c>
      <c r="C2999" t="str">
        <f t="shared" si="94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3"/>
        <v>-7</v>
      </c>
    </row>
    <row r="3000" spans="1:8" x14ac:dyDescent="0.2">
      <c r="A3000" t="s">
        <v>7</v>
      </c>
      <c r="B3000" t="s">
        <v>20</v>
      </c>
      <c r="C3000" t="str">
        <f t="shared" si="94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3"/>
        <v>-7</v>
      </c>
    </row>
    <row r="3001" spans="1:8" x14ac:dyDescent="0.2">
      <c r="A3001" t="s">
        <v>7</v>
      </c>
      <c r="B3001" t="s">
        <v>20</v>
      </c>
      <c r="C3001" t="str">
        <f t="shared" si="94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3"/>
        <v>-7</v>
      </c>
    </row>
    <row r="3002" spans="1:8" x14ac:dyDescent="0.2">
      <c r="A3002" t="s">
        <v>7</v>
      </c>
      <c r="B3002" t="s">
        <v>20</v>
      </c>
      <c r="C3002" t="str">
        <f t="shared" si="94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3"/>
        <v>-7</v>
      </c>
    </row>
    <row r="3003" spans="1:8" x14ac:dyDescent="0.2">
      <c r="A3003" t="s">
        <v>7</v>
      </c>
      <c r="B3003" t="s">
        <v>20</v>
      </c>
      <c r="C3003" t="str">
        <f t="shared" si="94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3"/>
        <v>-7</v>
      </c>
    </row>
    <row r="3004" spans="1:8" x14ac:dyDescent="0.2">
      <c r="A3004" t="s">
        <v>7</v>
      </c>
      <c r="B3004" t="s">
        <v>20</v>
      </c>
      <c r="C3004" t="str">
        <f t="shared" si="94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3"/>
        <v>-7</v>
      </c>
    </row>
    <row r="3005" spans="1:8" x14ac:dyDescent="0.2">
      <c r="A3005" t="s">
        <v>7</v>
      </c>
      <c r="B3005" t="s">
        <v>20</v>
      </c>
      <c r="C3005" t="str">
        <f t="shared" si="94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3"/>
        <v>-7</v>
      </c>
    </row>
    <row r="3006" spans="1:8" x14ac:dyDescent="0.2">
      <c r="A3006" t="s">
        <v>7</v>
      </c>
      <c r="B3006" t="s">
        <v>20</v>
      </c>
      <c r="C3006" t="str">
        <f t="shared" si="94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3"/>
        <v>-7</v>
      </c>
    </row>
    <row r="3007" spans="1:8" x14ac:dyDescent="0.2">
      <c r="A3007" t="s">
        <v>7</v>
      </c>
      <c r="B3007" t="s">
        <v>20</v>
      </c>
      <c r="C3007" t="str">
        <f t="shared" si="94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3"/>
        <v>-7</v>
      </c>
    </row>
    <row r="3008" spans="1:8" x14ac:dyDescent="0.2">
      <c r="A3008" t="s">
        <v>7</v>
      </c>
      <c r="B3008" t="s">
        <v>20</v>
      </c>
      <c r="C3008" t="str">
        <f t="shared" si="94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3"/>
        <v>-7</v>
      </c>
    </row>
    <row r="3009" spans="1:8" x14ac:dyDescent="0.2">
      <c r="A3009" t="s">
        <v>7</v>
      </c>
      <c r="B3009" t="s">
        <v>20</v>
      </c>
      <c r="C3009" t="str">
        <f t="shared" si="94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3"/>
        <v>-7</v>
      </c>
    </row>
    <row r="3010" spans="1:8" x14ac:dyDescent="0.2">
      <c r="A3010" t="s">
        <v>7</v>
      </c>
      <c r="B3010" t="s">
        <v>20</v>
      </c>
      <c r="C3010" t="str">
        <f t="shared" si="94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3"/>
        <v>-7</v>
      </c>
    </row>
    <row r="3011" spans="1:8" x14ac:dyDescent="0.2">
      <c r="A3011" t="s">
        <v>7</v>
      </c>
      <c r="B3011" t="s">
        <v>20</v>
      </c>
      <c r="C3011" t="str">
        <f t="shared" si="94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ref="H3011:H3074" si="95">F3011-G3011</f>
        <v>-7</v>
      </c>
    </row>
    <row r="3012" spans="1:8" x14ac:dyDescent="0.2">
      <c r="A3012" t="s">
        <v>7</v>
      </c>
      <c r="B3012" t="s">
        <v>20</v>
      </c>
      <c r="C3012" t="str">
        <f t="shared" ref="C3012:C3075" si="96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5"/>
        <v>-7</v>
      </c>
    </row>
    <row r="3013" spans="1:8" x14ac:dyDescent="0.2">
      <c r="A3013" t="s">
        <v>7</v>
      </c>
      <c r="B3013" t="s">
        <v>20</v>
      </c>
      <c r="C3013" t="str">
        <f t="shared" si="96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5"/>
        <v>-7</v>
      </c>
    </row>
    <row r="3014" spans="1:8" x14ac:dyDescent="0.2">
      <c r="A3014" t="s">
        <v>7</v>
      </c>
      <c r="B3014" t="s">
        <v>20</v>
      </c>
      <c r="C3014" t="str">
        <f t="shared" si="96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5"/>
        <v>-7</v>
      </c>
    </row>
    <row r="3015" spans="1:8" x14ac:dyDescent="0.2">
      <c r="A3015" t="s">
        <v>7</v>
      </c>
      <c r="B3015" t="s">
        <v>20</v>
      </c>
      <c r="C3015" t="str">
        <f t="shared" si="96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5"/>
        <v>-7</v>
      </c>
    </row>
    <row r="3016" spans="1:8" x14ac:dyDescent="0.2">
      <c r="A3016" t="s">
        <v>7</v>
      </c>
      <c r="B3016" t="s">
        <v>20</v>
      </c>
      <c r="C3016" t="str">
        <f t="shared" si="96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5"/>
        <v>-7</v>
      </c>
    </row>
    <row r="3017" spans="1:8" x14ac:dyDescent="0.2">
      <c r="A3017" t="s">
        <v>7</v>
      </c>
      <c r="B3017" t="s">
        <v>20</v>
      </c>
      <c r="C3017" t="str">
        <f t="shared" si="96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5"/>
        <v>-7</v>
      </c>
    </row>
    <row r="3018" spans="1:8" x14ac:dyDescent="0.2">
      <c r="A3018" t="s">
        <v>7</v>
      </c>
      <c r="B3018" t="s">
        <v>20</v>
      </c>
      <c r="C3018" t="str">
        <f t="shared" si="96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5"/>
        <v>-7</v>
      </c>
    </row>
    <row r="3019" spans="1:8" x14ac:dyDescent="0.2">
      <c r="A3019" t="s">
        <v>7</v>
      </c>
      <c r="B3019" t="s">
        <v>20</v>
      </c>
      <c r="C3019" t="str">
        <f t="shared" si="96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5"/>
        <v>-7</v>
      </c>
    </row>
    <row r="3020" spans="1:8" x14ac:dyDescent="0.2">
      <c r="A3020" t="s">
        <v>18</v>
      </c>
      <c r="B3020" t="s">
        <v>20</v>
      </c>
      <c r="C3020" t="str">
        <f t="shared" si="96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5"/>
        <v>-8</v>
      </c>
    </row>
    <row r="3021" spans="1:8" x14ac:dyDescent="0.2">
      <c r="A3021" t="s">
        <v>18</v>
      </c>
      <c r="B3021" t="s">
        <v>20</v>
      </c>
      <c r="C3021" t="str">
        <f t="shared" si="96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5"/>
        <v>-8</v>
      </c>
    </row>
    <row r="3022" spans="1:8" x14ac:dyDescent="0.2">
      <c r="A3022" t="s">
        <v>18</v>
      </c>
      <c r="B3022" t="s">
        <v>20</v>
      </c>
      <c r="C3022" t="str">
        <f t="shared" si="96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5"/>
        <v>-8</v>
      </c>
    </row>
    <row r="3023" spans="1:8" x14ac:dyDescent="0.2">
      <c r="A3023" t="s">
        <v>18</v>
      </c>
      <c r="B3023" t="s">
        <v>20</v>
      </c>
      <c r="C3023" t="str">
        <f t="shared" si="96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5"/>
        <v>-8</v>
      </c>
    </row>
    <row r="3024" spans="1:8" x14ac:dyDescent="0.2">
      <c r="A3024" t="s">
        <v>7</v>
      </c>
      <c r="B3024" t="s">
        <v>20</v>
      </c>
      <c r="C3024" t="str">
        <f t="shared" si="96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5"/>
        <v>-8</v>
      </c>
    </row>
    <row r="3025" spans="1:8" x14ac:dyDescent="0.2">
      <c r="A3025" t="s">
        <v>18</v>
      </c>
      <c r="B3025" t="s">
        <v>20</v>
      </c>
      <c r="C3025" t="str">
        <f t="shared" si="96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5"/>
        <v>-8</v>
      </c>
    </row>
    <row r="3026" spans="1:8" x14ac:dyDescent="0.2">
      <c r="A3026" t="s">
        <v>7</v>
      </c>
      <c r="B3026" t="s">
        <v>20</v>
      </c>
      <c r="C3026" t="str">
        <f t="shared" si="96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5"/>
        <v>-8</v>
      </c>
    </row>
    <row r="3027" spans="1:8" x14ac:dyDescent="0.2">
      <c r="A3027" t="s">
        <v>7</v>
      </c>
      <c r="B3027" t="s">
        <v>20</v>
      </c>
      <c r="C3027" t="str">
        <f t="shared" si="96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5"/>
        <v>-8</v>
      </c>
    </row>
    <row r="3028" spans="1:8" x14ac:dyDescent="0.2">
      <c r="A3028" t="s">
        <v>7</v>
      </c>
      <c r="B3028" t="s">
        <v>20</v>
      </c>
      <c r="C3028" t="str">
        <f t="shared" si="96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5"/>
        <v>-8</v>
      </c>
    </row>
    <row r="3029" spans="1:8" x14ac:dyDescent="0.2">
      <c r="A3029" t="s">
        <v>18</v>
      </c>
      <c r="B3029" t="s">
        <v>20</v>
      </c>
      <c r="C3029" t="str">
        <f t="shared" si="96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5"/>
        <v>-8</v>
      </c>
    </row>
    <row r="3030" spans="1:8" x14ac:dyDescent="0.2">
      <c r="A3030" t="s">
        <v>7</v>
      </c>
      <c r="B3030" t="s">
        <v>20</v>
      </c>
      <c r="C3030" t="str">
        <f t="shared" si="96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5"/>
        <v>-8</v>
      </c>
    </row>
    <row r="3031" spans="1:8" x14ac:dyDescent="0.2">
      <c r="A3031" t="s">
        <v>18</v>
      </c>
      <c r="B3031" t="s">
        <v>20</v>
      </c>
      <c r="C3031" t="str">
        <f t="shared" si="96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5"/>
        <v>-8</v>
      </c>
    </row>
    <row r="3032" spans="1:8" x14ac:dyDescent="0.2">
      <c r="A3032" t="s">
        <v>18</v>
      </c>
      <c r="B3032" t="s">
        <v>20</v>
      </c>
      <c r="C3032" t="str">
        <f t="shared" si="96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5"/>
        <v>-8</v>
      </c>
    </row>
    <row r="3033" spans="1:8" x14ac:dyDescent="0.2">
      <c r="A3033" t="s">
        <v>7</v>
      </c>
      <c r="B3033" t="s">
        <v>20</v>
      </c>
      <c r="C3033" t="str">
        <f t="shared" si="96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5"/>
        <v>-8</v>
      </c>
    </row>
    <row r="3034" spans="1:8" x14ac:dyDescent="0.2">
      <c r="A3034" t="s">
        <v>18</v>
      </c>
      <c r="B3034" t="s">
        <v>20</v>
      </c>
      <c r="C3034" t="str">
        <f t="shared" si="96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5"/>
        <v>-8</v>
      </c>
    </row>
    <row r="3035" spans="1:8" x14ac:dyDescent="0.2">
      <c r="A3035" t="s">
        <v>7</v>
      </c>
      <c r="B3035" t="s">
        <v>20</v>
      </c>
      <c r="C3035" t="str">
        <f t="shared" si="96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5"/>
        <v>-8</v>
      </c>
    </row>
    <row r="3036" spans="1:8" x14ac:dyDescent="0.2">
      <c r="A3036" t="s">
        <v>19</v>
      </c>
      <c r="B3036" t="s">
        <v>20</v>
      </c>
      <c r="C3036" t="str">
        <f t="shared" si="96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5"/>
        <v>-8</v>
      </c>
    </row>
    <row r="3037" spans="1:8" x14ac:dyDescent="0.2">
      <c r="A3037" t="s">
        <v>18</v>
      </c>
      <c r="B3037" t="s">
        <v>20</v>
      </c>
      <c r="C3037" t="str">
        <f t="shared" si="96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5"/>
        <v>-8</v>
      </c>
    </row>
    <row r="3038" spans="1:8" x14ac:dyDescent="0.2">
      <c r="A3038" t="s">
        <v>7</v>
      </c>
      <c r="B3038" t="s">
        <v>20</v>
      </c>
      <c r="C3038" t="str">
        <f t="shared" si="96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si="95"/>
        <v>-8</v>
      </c>
    </row>
    <row r="3039" spans="1:8" x14ac:dyDescent="0.2">
      <c r="A3039" t="s">
        <v>19</v>
      </c>
      <c r="B3039" t="s">
        <v>20</v>
      </c>
      <c r="C3039" t="str">
        <f t="shared" si="96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95"/>
        <v>-8</v>
      </c>
    </row>
    <row r="3040" spans="1:8" x14ac:dyDescent="0.2">
      <c r="A3040" t="s">
        <v>18</v>
      </c>
      <c r="B3040" t="s">
        <v>20</v>
      </c>
      <c r="C3040" t="str">
        <f t="shared" si="96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95"/>
        <v>-8</v>
      </c>
    </row>
    <row r="3041" spans="1:8" x14ac:dyDescent="0.2">
      <c r="A3041" t="s">
        <v>7</v>
      </c>
      <c r="B3041" t="s">
        <v>20</v>
      </c>
      <c r="C3041" t="str">
        <f t="shared" si="96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95"/>
        <v>-8</v>
      </c>
    </row>
    <row r="3042" spans="1:8" x14ac:dyDescent="0.2">
      <c r="A3042" t="s">
        <v>18</v>
      </c>
      <c r="B3042" t="s">
        <v>20</v>
      </c>
      <c r="C3042" t="str">
        <f t="shared" si="96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95"/>
        <v>-8</v>
      </c>
    </row>
    <row r="3043" spans="1:8" x14ac:dyDescent="0.2">
      <c r="A3043" t="s">
        <v>19</v>
      </c>
      <c r="B3043" t="s">
        <v>20</v>
      </c>
      <c r="C3043" t="str">
        <f t="shared" si="96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95"/>
        <v>-8</v>
      </c>
    </row>
    <row r="3044" spans="1:8" x14ac:dyDescent="0.2">
      <c r="A3044" t="s">
        <v>7</v>
      </c>
      <c r="B3044" t="s">
        <v>20</v>
      </c>
      <c r="C3044" t="str">
        <f t="shared" si="96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95"/>
        <v>-8</v>
      </c>
    </row>
    <row r="3045" spans="1:8" x14ac:dyDescent="0.2">
      <c r="A3045" t="s">
        <v>7</v>
      </c>
      <c r="B3045" t="s">
        <v>20</v>
      </c>
      <c r="C3045" t="str">
        <f t="shared" si="96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95"/>
        <v>0</v>
      </c>
    </row>
    <row r="3046" spans="1:8" x14ac:dyDescent="0.2">
      <c r="A3046" t="s">
        <v>19</v>
      </c>
      <c r="B3046" t="s">
        <v>20</v>
      </c>
      <c r="C3046" t="str">
        <f t="shared" si="96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95"/>
        <v>-8</v>
      </c>
    </row>
    <row r="3047" spans="1:8" x14ac:dyDescent="0.2">
      <c r="A3047" t="s">
        <v>7</v>
      </c>
      <c r="B3047" t="s">
        <v>20</v>
      </c>
      <c r="C3047" t="str">
        <f t="shared" si="96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95"/>
        <v>-8</v>
      </c>
    </row>
    <row r="3048" spans="1:8" x14ac:dyDescent="0.2">
      <c r="A3048" t="s">
        <v>18</v>
      </c>
      <c r="B3048" t="s">
        <v>20</v>
      </c>
      <c r="C3048" t="str">
        <f t="shared" si="96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95"/>
        <v>-8</v>
      </c>
    </row>
    <row r="3049" spans="1:8" x14ac:dyDescent="0.2">
      <c r="A3049" t="s">
        <v>7</v>
      </c>
      <c r="B3049" t="s">
        <v>20</v>
      </c>
      <c r="C3049" t="str">
        <f t="shared" si="96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95"/>
        <v>-8</v>
      </c>
    </row>
    <row r="3050" spans="1:8" x14ac:dyDescent="0.2">
      <c r="A3050" t="s">
        <v>18</v>
      </c>
      <c r="B3050" t="s">
        <v>20</v>
      </c>
      <c r="C3050" t="str">
        <f t="shared" si="96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95"/>
        <v>-8</v>
      </c>
    </row>
    <row r="3051" spans="1:8" x14ac:dyDescent="0.2">
      <c r="A3051" t="s">
        <v>18</v>
      </c>
      <c r="B3051" t="s">
        <v>20</v>
      </c>
      <c r="C3051" t="str">
        <f t="shared" si="96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95"/>
        <v>-8</v>
      </c>
    </row>
    <row r="3052" spans="1:8" x14ac:dyDescent="0.2">
      <c r="A3052" t="s">
        <v>7</v>
      </c>
      <c r="B3052" t="s">
        <v>20</v>
      </c>
      <c r="C3052" t="str">
        <f t="shared" si="96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95"/>
        <v>-8</v>
      </c>
    </row>
    <row r="3053" spans="1:8" x14ac:dyDescent="0.2">
      <c r="A3053" t="s">
        <v>18</v>
      </c>
      <c r="B3053" t="s">
        <v>20</v>
      </c>
      <c r="C3053" t="str">
        <f t="shared" si="96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95"/>
        <v>-8</v>
      </c>
    </row>
    <row r="3054" spans="1:8" x14ac:dyDescent="0.2">
      <c r="A3054" t="s">
        <v>18</v>
      </c>
      <c r="B3054" t="s">
        <v>20</v>
      </c>
      <c r="C3054" t="str">
        <f t="shared" si="96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95"/>
        <v>-8</v>
      </c>
    </row>
    <row r="3055" spans="1:8" x14ac:dyDescent="0.2">
      <c r="A3055" t="s">
        <v>18</v>
      </c>
      <c r="B3055" t="s">
        <v>20</v>
      </c>
      <c r="C3055" t="str">
        <f t="shared" si="96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95"/>
        <v>-8</v>
      </c>
    </row>
    <row r="3056" spans="1:8" x14ac:dyDescent="0.2">
      <c r="A3056" t="s">
        <v>18</v>
      </c>
      <c r="B3056" t="s">
        <v>20</v>
      </c>
      <c r="C3056" t="str">
        <f t="shared" si="96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95"/>
        <v>-8</v>
      </c>
    </row>
    <row r="3057" spans="1:8" x14ac:dyDescent="0.2">
      <c r="A3057" t="s">
        <v>7</v>
      </c>
      <c r="B3057" t="s">
        <v>20</v>
      </c>
      <c r="C3057" t="str">
        <f t="shared" si="96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95"/>
        <v>-8</v>
      </c>
    </row>
    <row r="3058" spans="1:8" x14ac:dyDescent="0.2">
      <c r="A3058" t="s">
        <v>18</v>
      </c>
      <c r="B3058" t="s">
        <v>20</v>
      </c>
      <c r="C3058" t="str">
        <f t="shared" si="96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95"/>
        <v>-8</v>
      </c>
    </row>
    <row r="3059" spans="1:8" x14ac:dyDescent="0.2">
      <c r="A3059" t="s">
        <v>18</v>
      </c>
      <c r="B3059" t="s">
        <v>20</v>
      </c>
      <c r="C3059" t="str">
        <f t="shared" si="96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95"/>
        <v>-8</v>
      </c>
    </row>
    <row r="3060" spans="1:8" x14ac:dyDescent="0.2">
      <c r="A3060" t="s">
        <v>7</v>
      </c>
      <c r="B3060" t="s">
        <v>20</v>
      </c>
      <c r="C3060" t="str">
        <f t="shared" si="96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95"/>
        <v>-8</v>
      </c>
    </row>
    <row r="3061" spans="1:8" x14ac:dyDescent="0.2">
      <c r="A3061" t="s">
        <v>18</v>
      </c>
      <c r="B3061" t="s">
        <v>20</v>
      </c>
      <c r="C3061" t="str">
        <f t="shared" si="96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95"/>
        <v>-8</v>
      </c>
    </row>
    <row r="3062" spans="1:8" x14ac:dyDescent="0.2">
      <c r="A3062" t="s">
        <v>18</v>
      </c>
      <c r="B3062" t="s">
        <v>20</v>
      </c>
      <c r="C3062" t="str">
        <f t="shared" si="96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95"/>
        <v>-8</v>
      </c>
    </row>
    <row r="3063" spans="1:8" x14ac:dyDescent="0.2">
      <c r="A3063" t="s">
        <v>7</v>
      </c>
      <c r="B3063" t="s">
        <v>20</v>
      </c>
      <c r="C3063" t="str">
        <f t="shared" si="96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95"/>
        <v>-8</v>
      </c>
    </row>
    <row r="3064" spans="1:8" x14ac:dyDescent="0.2">
      <c r="A3064" t="s">
        <v>18</v>
      </c>
      <c r="B3064" t="s">
        <v>20</v>
      </c>
      <c r="C3064" t="str">
        <f t="shared" si="96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95"/>
        <v>-8</v>
      </c>
    </row>
    <row r="3065" spans="1:8" x14ac:dyDescent="0.2">
      <c r="A3065" t="s">
        <v>18</v>
      </c>
      <c r="B3065" t="s">
        <v>20</v>
      </c>
      <c r="C3065" t="str">
        <f t="shared" si="96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95"/>
        <v>-8</v>
      </c>
    </row>
    <row r="3066" spans="1:8" x14ac:dyDescent="0.2">
      <c r="A3066" t="s">
        <v>18</v>
      </c>
      <c r="B3066" t="s">
        <v>20</v>
      </c>
      <c r="C3066" t="str">
        <f t="shared" si="96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95"/>
        <v>-8</v>
      </c>
    </row>
    <row r="3067" spans="1:8" x14ac:dyDescent="0.2">
      <c r="A3067" t="s">
        <v>18</v>
      </c>
      <c r="B3067" t="s">
        <v>20</v>
      </c>
      <c r="C3067" t="str">
        <f t="shared" si="96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95"/>
        <v>-8</v>
      </c>
    </row>
    <row r="3068" spans="1:8" x14ac:dyDescent="0.2">
      <c r="A3068" t="s">
        <v>7</v>
      </c>
      <c r="B3068" t="s">
        <v>20</v>
      </c>
      <c r="C3068" t="str">
        <f t="shared" si="96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95"/>
        <v>-8</v>
      </c>
    </row>
    <row r="3069" spans="1:8" x14ac:dyDescent="0.2">
      <c r="A3069" t="s">
        <v>7</v>
      </c>
      <c r="B3069" t="s">
        <v>20</v>
      </c>
      <c r="C3069" t="str">
        <f t="shared" si="96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95"/>
        <v>-8</v>
      </c>
    </row>
    <row r="3070" spans="1:8" x14ac:dyDescent="0.2">
      <c r="A3070" t="s">
        <v>18</v>
      </c>
      <c r="B3070" t="s">
        <v>20</v>
      </c>
      <c r="C3070" t="str">
        <f t="shared" si="96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95"/>
        <v>-8</v>
      </c>
    </row>
    <row r="3071" spans="1:8" x14ac:dyDescent="0.2">
      <c r="A3071" t="s">
        <v>7</v>
      </c>
      <c r="B3071" t="s">
        <v>20</v>
      </c>
      <c r="C3071" t="str">
        <f t="shared" si="96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95"/>
        <v>-8</v>
      </c>
    </row>
    <row r="3072" spans="1:8" x14ac:dyDescent="0.2">
      <c r="A3072" t="s">
        <v>7</v>
      </c>
      <c r="B3072" t="s">
        <v>20</v>
      </c>
      <c r="C3072" t="str">
        <f t="shared" si="96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95"/>
        <v>-8</v>
      </c>
    </row>
    <row r="3073" spans="1:8" x14ac:dyDescent="0.2">
      <c r="A3073" t="s">
        <v>18</v>
      </c>
      <c r="B3073" t="s">
        <v>20</v>
      </c>
      <c r="C3073" t="str">
        <f t="shared" si="96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95"/>
        <v>-8</v>
      </c>
    </row>
    <row r="3074" spans="1:8" x14ac:dyDescent="0.2">
      <c r="A3074" t="s">
        <v>19</v>
      </c>
      <c r="B3074" t="s">
        <v>20</v>
      </c>
      <c r="C3074" t="str">
        <f t="shared" si="96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95"/>
        <v>-8</v>
      </c>
    </row>
    <row r="3075" spans="1:8" x14ac:dyDescent="0.2">
      <c r="A3075" t="s">
        <v>18</v>
      </c>
      <c r="B3075" t="s">
        <v>20</v>
      </c>
      <c r="C3075" t="str">
        <f t="shared" si="96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ref="H3075:H3138" si="97">F3075-G3075</f>
        <v>-8</v>
      </c>
    </row>
    <row r="3076" spans="1:8" x14ac:dyDescent="0.2">
      <c r="A3076" t="s">
        <v>7</v>
      </c>
      <c r="B3076" t="s">
        <v>20</v>
      </c>
      <c r="C3076" t="str">
        <f t="shared" ref="C3076:C3139" si="98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97"/>
        <v>-8</v>
      </c>
    </row>
    <row r="3077" spans="1:8" x14ac:dyDescent="0.2">
      <c r="A3077" t="s">
        <v>7</v>
      </c>
      <c r="B3077" t="s">
        <v>20</v>
      </c>
      <c r="C3077" t="str">
        <f t="shared" si="98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97"/>
        <v>-8</v>
      </c>
    </row>
    <row r="3078" spans="1:8" x14ac:dyDescent="0.2">
      <c r="A3078" t="s">
        <v>7</v>
      </c>
      <c r="B3078" t="s">
        <v>20</v>
      </c>
      <c r="C3078" t="str">
        <f t="shared" si="98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97"/>
        <v>-8</v>
      </c>
    </row>
    <row r="3079" spans="1:8" x14ac:dyDescent="0.2">
      <c r="A3079" t="s">
        <v>18</v>
      </c>
      <c r="B3079" t="s">
        <v>20</v>
      </c>
      <c r="C3079" t="str">
        <f t="shared" si="98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97"/>
        <v>-8</v>
      </c>
    </row>
    <row r="3080" spans="1:8" x14ac:dyDescent="0.2">
      <c r="A3080" t="s">
        <v>18</v>
      </c>
      <c r="B3080" t="s">
        <v>20</v>
      </c>
      <c r="C3080" t="str">
        <f t="shared" si="98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97"/>
        <v>-8</v>
      </c>
    </row>
    <row r="3081" spans="1:8" x14ac:dyDescent="0.2">
      <c r="A3081" t="s">
        <v>18</v>
      </c>
      <c r="B3081" t="s">
        <v>20</v>
      </c>
      <c r="C3081" t="str">
        <f t="shared" si="98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97"/>
        <v>-8</v>
      </c>
    </row>
    <row r="3082" spans="1:8" x14ac:dyDescent="0.2">
      <c r="A3082" t="s">
        <v>18</v>
      </c>
      <c r="B3082" t="s">
        <v>20</v>
      </c>
      <c r="C3082" t="str">
        <f t="shared" si="98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97"/>
        <v>-8</v>
      </c>
    </row>
    <row r="3083" spans="1:8" x14ac:dyDescent="0.2">
      <c r="A3083" t="s">
        <v>18</v>
      </c>
      <c r="B3083" t="s">
        <v>20</v>
      </c>
      <c r="C3083" t="str">
        <f t="shared" si="98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97"/>
        <v>-8</v>
      </c>
    </row>
    <row r="3084" spans="1:8" x14ac:dyDescent="0.2">
      <c r="A3084" t="s">
        <v>18</v>
      </c>
      <c r="B3084" t="s">
        <v>20</v>
      </c>
      <c r="C3084" t="str">
        <f t="shared" si="98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97"/>
        <v>-8</v>
      </c>
    </row>
    <row r="3085" spans="1:8" x14ac:dyDescent="0.2">
      <c r="A3085" t="s">
        <v>18</v>
      </c>
      <c r="B3085" t="s">
        <v>20</v>
      </c>
      <c r="C3085" t="str">
        <f t="shared" si="98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97"/>
        <v>-8</v>
      </c>
    </row>
    <row r="3086" spans="1:8" x14ac:dyDescent="0.2">
      <c r="A3086" t="s">
        <v>18</v>
      </c>
      <c r="B3086" t="s">
        <v>20</v>
      </c>
      <c r="C3086" t="str">
        <f t="shared" si="98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97"/>
        <v>-8</v>
      </c>
    </row>
    <row r="3087" spans="1:8" x14ac:dyDescent="0.2">
      <c r="A3087" t="s">
        <v>7</v>
      </c>
      <c r="B3087" t="s">
        <v>20</v>
      </c>
      <c r="C3087" t="str">
        <f t="shared" si="98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97"/>
        <v>-8</v>
      </c>
    </row>
    <row r="3088" spans="1:8" x14ac:dyDescent="0.2">
      <c r="A3088" t="s">
        <v>19</v>
      </c>
      <c r="B3088" t="s">
        <v>20</v>
      </c>
      <c r="C3088" t="str">
        <f t="shared" si="98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97"/>
        <v>-8</v>
      </c>
    </row>
    <row r="3089" spans="1:8" x14ac:dyDescent="0.2">
      <c r="A3089" t="s">
        <v>7</v>
      </c>
      <c r="B3089" t="s">
        <v>20</v>
      </c>
      <c r="C3089" t="str">
        <f t="shared" si="98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97"/>
        <v>-8</v>
      </c>
    </row>
    <row r="3090" spans="1:8" x14ac:dyDescent="0.2">
      <c r="A3090" t="s">
        <v>7</v>
      </c>
      <c r="B3090" t="s">
        <v>20</v>
      </c>
      <c r="C3090" t="str">
        <f t="shared" si="98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97"/>
        <v>-8</v>
      </c>
    </row>
    <row r="3091" spans="1:8" x14ac:dyDescent="0.2">
      <c r="A3091" t="s">
        <v>18</v>
      </c>
      <c r="B3091" t="s">
        <v>20</v>
      </c>
      <c r="C3091" t="str">
        <f t="shared" si="98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97"/>
        <v>-8</v>
      </c>
    </row>
    <row r="3092" spans="1:8" x14ac:dyDescent="0.2">
      <c r="A3092" t="s">
        <v>18</v>
      </c>
      <c r="B3092" t="s">
        <v>20</v>
      </c>
      <c r="C3092" t="str">
        <f t="shared" si="98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97"/>
        <v>-8</v>
      </c>
    </row>
    <row r="3093" spans="1:8" x14ac:dyDescent="0.2">
      <c r="A3093" t="s">
        <v>18</v>
      </c>
      <c r="B3093" t="s">
        <v>20</v>
      </c>
      <c r="C3093" t="str">
        <f t="shared" si="98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97"/>
        <v>-8</v>
      </c>
    </row>
    <row r="3094" spans="1:8" x14ac:dyDescent="0.2">
      <c r="A3094" t="s">
        <v>18</v>
      </c>
      <c r="B3094" t="s">
        <v>20</v>
      </c>
      <c r="C3094" t="str">
        <f t="shared" si="98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97"/>
        <v>-8</v>
      </c>
    </row>
    <row r="3095" spans="1:8" x14ac:dyDescent="0.2">
      <c r="A3095" t="s">
        <v>7</v>
      </c>
      <c r="B3095" t="s">
        <v>20</v>
      </c>
      <c r="C3095" t="str">
        <f t="shared" si="98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97"/>
        <v>-8</v>
      </c>
    </row>
    <row r="3096" spans="1:8" x14ac:dyDescent="0.2">
      <c r="A3096" t="s">
        <v>7</v>
      </c>
      <c r="B3096" t="s">
        <v>20</v>
      </c>
      <c r="C3096" t="str">
        <f t="shared" si="98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97"/>
        <v>-8</v>
      </c>
    </row>
    <row r="3097" spans="1:8" x14ac:dyDescent="0.2">
      <c r="A3097" t="s">
        <v>18</v>
      </c>
      <c r="B3097" t="s">
        <v>20</v>
      </c>
      <c r="C3097" t="str">
        <f t="shared" si="98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97"/>
        <v>-8</v>
      </c>
    </row>
    <row r="3098" spans="1:8" x14ac:dyDescent="0.2">
      <c r="A3098" t="s">
        <v>7</v>
      </c>
      <c r="B3098" t="s">
        <v>20</v>
      </c>
      <c r="C3098" t="str">
        <f t="shared" si="98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97"/>
        <v>-8</v>
      </c>
    </row>
    <row r="3099" spans="1:8" x14ac:dyDescent="0.2">
      <c r="A3099" t="s">
        <v>18</v>
      </c>
      <c r="B3099" t="s">
        <v>20</v>
      </c>
      <c r="C3099" t="str">
        <f t="shared" si="98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97"/>
        <v>-8</v>
      </c>
    </row>
    <row r="3100" spans="1:8" x14ac:dyDescent="0.2">
      <c r="A3100" t="s">
        <v>18</v>
      </c>
      <c r="B3100" t="s">
        <v>20</v>
      </c>
      <c r="C3100" t="str">
        <f t="shared" si="98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97"/>
        <v>-8</v>
      </c>
    </row>
    <row r="3101" spans="1:8" x14ac:dyDescent="0.2">
      <c r="A3101" t="s">
        <v>18</v>
      </c>
      <c r="B3101" t="s">
        <v>20</v>
      </c>
      <c r="C3101" t="str">
        <f t="shared" si="98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97"/>
        <v>-8</v>
      </c>
    </row>
    <row r="3102" spans="1:8" x14ac:dyDescent="0.2">
      <c r="A3102" t="s">
        <v>19</v>
      </c>
      <c r="B3102" t="s">
        <v>20</v>
      </c>
      <c r="C3102" t="str">
        <f t="shared" si="98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si="97"/>
        <v>-8</v>
      </c>
    </row>
    <row r="3103" spans="1:8" x14ac:dyDescent="0.2">
      <c r="A3103" t="s">
        <v>19</v>
      </c>
      <c r="B3103" t="s">
        <v>20</v>
      </c>
      <c r="C3103" t="str">
        <f t="shared" si="98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97"/>
        <v>-8</v>
      </c>
    </row>
    <row r="3104" spans="1:8" x14ac:dyDescent="0.2">
      <c r="A3104" t="s">
        <v>7</v>
      </c>
      <c r="B3104" t="s">
        <v>20</v>
      </c>
      <c r="C3104" t="str">
        <f t="shared" si="98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97"/>
        <v>-8</v>
      </c>
    </row>
    <row r="3105" spans="1:8" x14ac:dyDescent="0.2">
      <c r="A3105" t="s">
        <v>19</v>
      </c>
      <c r="B3105" t="s">
        <v>20</v>
      </c>
      <c r="C3105" t="str">
        <f t="shared" si="98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97"/>
        <v>-8</v>
      </c>
    </row>
    <row r="3106" spans="1:8" x14ac:dyDescent="0.2">
      <c r="A3106" t="s">
        <v>18</v>
      </c>
      <c r="B3106" t="s">
        <v>20</v>
      </c>
      <c r="C3106" t="str">
        <f t="shared" si="98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97"/>
        <v>-8</v>
      </c>
    </row>
    <row r="3107" spans="1:8" x14ac:dyDescent="0.2">
      <c r="A3107" t="s">
        <v>19</v>
      </c>
      <c r="B3107" t="s">
        <v>20</v>
      </c>
      <c r="C3107" t="str">
        <f t="shared" si="98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97"/>
        <v>-8</v>
      </c>
    </row>
    <row r="3108" spans="1:8" x14ac:dyDescent="0.2">
      <c r="A3108" t="s">
        <v>18</v>
      </c>
      <c r="B3108" t="s">
        <v>20</v>
      </c>
      <c r="C3108" t="str">
        <f t="shared" si="98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97"/>
        <v>-8</v>
      </c>
    </row>
    <row r="3109" spans="1:8" x14ac:dyDescent="0.2">
      <c r="A3109" t="s">
        <v>7</v>
      </c>
      <c r="B3109" t="s">
        <v>20</v>
      </c>
      <c r="C3109" t="str">
        <f t="shared" si="98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97"/>
        <v>-8</v>
      </c>
    </row>
    <row r="3110" spans="1:8" x14ac:dyDescent="0.2">
      <c r="A3110" t="s">
        <v>7</v>
      </c>
      <c r="B3110" t="s">
        <v>20</v>
      </c>
      <c r="C3110" t="str">
        <f t="shared" si="98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97"/>
        <v>-8</v>
      </c>
    </row>
    <row r="3111" spans="1:8" x14ac:dyDescent="0.2">
      <c r="A3111" t="s">
        <v>7</v>
      </c>
      <c r="B3111" t="s">
        <v>20</v>
      </c>
      <c r="C3111" t="str">
        <f t="shared" si="98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97"/>
        <v>-8</v>
      </c>
    </row>
    <row r="3112" spans="1:8" x14ac:dyDescent="0.2">
      <c r="A3112" t="s">
        <v>18</v>
      </c>
      <c r="B3112" t="s">
        <v>20</v>
      </c>
      <c r="C3112" t="str">
        <f t="shared" si="98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97"/>
        <v>-8</v>
      </c>
    </row>
    <row r="3113" spans="1:8" x14ac:dyDescent="0.2">
      <c r="A3113" t="s">
        <v>18</v>
      </c>
      <c r="B3113" t="s">
        <v>20</v>
      </c>
      <c r="C3113" t="str">
        <f t="shared" si="98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97"/>
        <v>-8</v>
      </c>
    </row>
    <row r="3114" spans="1:8" x14ac:dyDescent="0.2">
      <c r="A3114" t="s">
        <v>19</v>
      </c>
      <c r="B3114" t="s">
        <v>20</v>
      </c>
      <c r="C3114" t="str">
        <f t="shared" si="98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97"/>
        <v>-8</v>
      </c>
    </row>
    <row r="3115" spans="1:8" x14ac:dyDescent="0.2">
      <c r="A3115" t="s">
        <v>19</v>
      </c>
      <c r="B3115" t="s">
        <v>20</v>
      </c>
      <c r="C3115" t="str">
        <f t="shared" si="98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97"/>
        <v>-8</v>
      </c>
    </row>
    <row r="3116" spans="1:8" x14ac:dyDescent="0.2">
      <c r="A3116" t="s">
        <v>7</v>
      </c>
      <c r="B3116" t="s">
        <v>20</v>
      </c>
      <c r="C3116" t="str">
        <f t="shared" si="98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97"/>
        <v>-8</v>
      </c>
    </row>
    <row r="3117" spans="1:8" x14ac:dyDescent="0.2">
      <c r="A3117" t="s">
        <v>18</v>
      </c>
      <c r="B3117" t="s">
        <v>20</v>
      </c>
      <c r="C3117" t="str">
        <f t="shared" si="98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97"/>
        <v>-8</v>
      </c>
    </row>
    <row r="3118" spans="1:8" x14ac:dyDescent="0.2">
      <c r="A3118" t="s">
        <v>7</v>
      </c>
      <c r="B3118" t="s">
        <v>20</v>
      </c>
      <c r="C3118" t="str">
        <f t="shared" si="98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97"/>
        <v>-8</v>
      </c>
    </row>
    <row r="3119" spans="1:8" x14ac:dyDescent="0.2">
      <c r="A3119" t="s">
        <v>7</v>
      </c>
      <c r="B3119" t="s">
        <v>20</v>
      </c>
      <c r="C3119" t="str">
        <f t="shared" si="98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97"/>
        <v>-8</v>
      </c>
    </row>
    <row r="3120" spans="1:8" x14ac:dyDescent="0.2">
      <c r="A3120" t="s">
        <v>18</v>
      </c>
      <c r="B3120" t="s">
        <v>20</v>
      </c>
      <c r="C3120" t="str">
        <f t="shared" si="98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97"/>
        <v>-8</v>
      </c>
    </row>
    <row r="3121" spans="1:8" x14ac:dyDescent="0.2">
      <c r="A3121" t="s">
        <v>18</v>
      </c>
      <c r="B3121" t="s">
        <v>20</v>
      </c>
      <c r="C3121" t="str">
        <f t="shared" si="98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97"/>
        <v>-8</v>
      </c>
    </row>
    <row r="3122" spans="1:8" x14ac:dyDescent="0.2">
      <c r="A3122" t="s">
        <v>7</v>
      </c>
      <c r="B3122" t="s">
        <v>20</v>
      </c>
      <c r="C3122" t="str">
        <f t="shared" si="98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97"/>
        <v>-8</v>
      </c>
    </row>
    <row r="3123" spans="1:8" x14ac:dyDescent="0.2">
      <c r="A3123" t="s">
        <v>19</v>
      </c>
      <c r="B3123" t="s">
        <v>20</v>
      </c>
      <c r="C3123" t="str">
        <f t="shared" si="98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97"/>
        <v>-8</v>
      </c>
    </row>
    <row r="3124" spans="1:8" x14ac:dyDescent="0.2">
      <c r="A3124" t="s">
        <v>19</v>
      </c>
      <c r="B3124" t="s">
        <v>20</v>
      </c>
      <c r="C3124" t="str">
        <f t="shared" si="98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97"/>
        <v>-8</v>
      </c>
    </row>
    <row r="3125" spans="1:8" x14ac:dyDescent="0.2">
      <c r="A3125" t="s">
        <v>19</v>
      </c>
      <c r="B3125" t="s">
        <v>20</v>
      </c>
      <c r="C3125" t="str">
        <f t="shared" si="98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97"/>
        <v>-8</v>
      </c>
    </row>
    <row r="3126" spans="1:8" x14ac:dyDescent="0.2">
      <c r="A3126" t="s">
        <v>19</v>
      </c>
      <c r="B3126" t="s">
        <v>20</v>
      </c>
      <c r="C3126" t="str">
        <f t="shared" si="98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97"/>
        <v>-8</v>
      </c>
    </row>
    <row r="3127" spans="1:8" x14ac:dyDescent="0.2">
      <c r="A3127" t="s">
        <v>7</v>
      </c>
      <c r="B3127" t="s">
        <v>20</v>
      </c>
      <c r="C3127" t="str">
        <f t="shared" si="98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 t="shared" si="97"/>
        <v>33</v>
      </c>
    </row>
    <row r="3128" spans="1:8" x14ac:dyDescent="0.2">
      <c r="A3128" t="s">
        <v>7</v>
      </c>
      <c r="B3128" s="1" t="s">
        <v>20</v>
      </c>
      <c r="C3128" t="str">
        <f t="shared" si="98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si="97"/>
        <v>31</v>
      </c>
    </row>
    <row r="3129" spans="1:8" x14ac:dyDescent="0.2">
      <c r="A3129" t="s">
        <v>7</v>
      </c>
      <c r="B3129" t="s">
        <v>20</v>
      </c>
      <c r="C3129" t="str">
        <f t="shared" si="98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97"/>
        <v>26</v>
      </c>
    </row>
    <row r="3130" spans="1:8" x14ac:dyDescent="0.2">
      <c r="A3130" t="s">
        <v>7</v>
      </c>
      <c r="B3130" s="1" t="s">
        <v>20</v>
      </c>
      <c r="C3130" t="str">
        <f t="shared" si="98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97"/>
        <v>25</v>
      </c>
    </row>
    <row r="3131" spans="1:8" x14ac:dyDescent="0.2">
      <c r="A3131" t="s">
        <v>7</v>
      </c>
      <c r="B3131" t="s">
        <v>20</v>
      </c>
      <c r="C3131" t="str">
        <f t="shared" si="98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97"/>
        <v>24</v>
      </c>
    </row>
    <row r="3132" spans="1:8" x14ac:dyDescent="0.2">
      <c r="A3132" t="s">
        <v>7</v>
      </c>
      <c r="B3132" s="1" t="s">
        <v>20</v>
      </c>
      <c r="C3132" t="str">
        <f t="shared" si="98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97"/>
        <v>20</v>
      </c>
    </row>
    <row r="3133" spans="1:8" x14ac:dyDescent="0.2">
      <c r="A3133" t="s">
        <v>7</v>
      </c>
      <c r="B3133" t="s">
        <v>20</v>
      </c>
      <c r="C3133" t="str">
        <f t="shared" si="98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97"/>
        <v>19</v>
      </c>
    </row>
    <row r="3134" spans="1:8" x14ac:dyDescent="0.2">
      <c r="A3134" t="s">
        <v>7</v>
      </c>
      <c r="B3134" s="1" t="s">
        <v>20</v>
      </c>
      <c r="C3134" t="str">
        <f t="shared" si="98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97"/>
        <v>19</v>
      </c>
    </row>
    <row r="3135" spans="1:8" x14ac:dyDescent="0.2">
      <c r="A3135" t="s">
        <v>7</v>
      </c>
      <c r="B3135" t="s">
        <v>20</v>
      </c>
      <c r="C3135" t="str">
        <f t="shared" si="98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97"/>
        <v>19</v>
      </c>
    </row>
    <row r="3136" spans="1:8" x14ac:dyDescent="0.2">
      <c r="A3136" t="s">
        <v>7</v>
      </c>
      <c r="B3136" s="1" t="s">
        <v>20</v>
      </c>
      <c r="C3136" t="str">
        <f t="shared" si="98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97"/>
        <v>18</v>
      </c>
    </row>
    <row r="3137" spans="1:8" x14ac:dyDescent="0.2">
      <c r="A3137" t="s">
        <v>7</v>
      </c>
      <c r="B3137" t="s">
        <v>20</v>
      </c>
      <c r="C3137" t="str">
        <f t="shared" si="98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97"/>
        <v>18</v>
      </c>
    </row>
    <row r="3138" spans="1:8" x14ac:dyDescent="0.2">
      <c r="A3138" t="s">
        <v>7</v>
      </c>
      <c r="B3138" s="1" t="s">
        <v>20</v>
      </c>
      <c r="C3138" t="str">
        <f t="shared" si="98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97"/>
        <v>18</v>
      </c>
    </row>
    <row r="3139" spans="1:8" x14ac:dyDescent="0.2">
      <c r="A3139" t="s">
        <v>7</v>
      </c>
      <c r="B3139" t="s">
        <v>20</v>
      </c>
      <c r="C3139" t="str">
        <f t="shared" si="98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ref="H3139:H3202" si="99">F3139-G3139</f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0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99"/>
        <v>17</v>
      </c>
    </row>
    <row r="3141" spans="1:8" x14ac:dyDescent="0.2">
      <c r="A3141" t="s">
        <v>7</v>
      </c>
      <c r="B3141" t="s">
        <v>20</v>
      </c>
      <c r="C3141" t="str">
        <f t="shared" si="100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99"/>
        <v>17</v>
      </c>
    </row>
    <row r="3142" spans="1:8" x14ac:dyDescent="0.2">
      <c r="A3142" t="s">
        <v>7</v>
      </c>
      <c r="B3142" s="1" t="s">
        <v>20</v>
      </c>
      <c r="C3142" t="str">
        <f t="shared" si="100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99"/>
        <v>17</v>
      </c>
    </row>
    <row r="3143" spans="1:8" x14ac:dyDescent="0.2">
      <c r="A3143" t="s">
        <v>7</v>
      </c>
      <c r="B3143" t="s">
        <v>20</v>
      </c>
      <c r="C3143" t="str">
        <f t="shared" si="100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99"/>
        <v>17</v>
      </c>
    </row>
    <row r="3144" spans="1:8" x14ac:dyDescent="0.2">
      <c r="A3144" t="s">
        <v>7</v>
      </c>
      <c r="B3144" s="1" t="s">
        <v>20</v>
      </c>
      <c r="C3144" t="str">
        <f t="shared" si="100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99"/>
        <v>16</v>
      </c>
    </row>
    <row r="3145" spans="1:8" x14ac:dyDescent="0.2">
      <c r="A3145" t="s">
        <v>7</v>
      </c>
      <c r="B3145" t="s">
        <v>20</v>
      </c>
      <c r="C3145" t="str">
        <f t="shared" si="100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99"/>
        <v>16</v>
      </c>
    </row>
    <row r="3146" spans="1:8" x14ac:dyDescent="0.2">
      <c r="A3146" t="s">
        <v>7</v>
      </c>
      <c r="B3146" s="1" t="s">
        <v>20</v>
      </c>
      <c r="C3146" t="str">
        <f t="shared" si="100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99"/>
        <v>15</v>
      </c>
    </row>
    <row r="3147" spans="1:8" x14ac:dyDescent="0.2">
      <c r="A3147" t="s">
        <v>7</v>
      </c>
      <c r="B3147" t="s">
        <v>20</v>
      </c>
      <c r="C3147" t="str">
        <f t="shared" si="100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99"/>
        <v>15</v>
      </c>
    </row>
    <row r="3148" spans="1:8" x14ac:dyDescent="0.2">
      <c r="A3148" t="s">
        <v>7</v>
      </c>
      <c r="B3148" s="1" t="s">
        <v>20</v>
      </c>
      <c r="C3148" t="str">
        <f t="shared" si="100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99"/>
        <v>15</v>
      </c>
    </row>
    <row r="3149" spans="1:8" x14ac:dyDescent="0.2">
      <c r="A3149" t="s">
        <v>7</v>
      </c>
      <c r="B3149" t="s">
        <v>20</v>
      </c>
      <c r="C3149" t="str">
        <f t="shared" si="100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99"/>
        <v>14</v>
      </c>
    </row>
    <row r="3150" spans="1:8" x14ac:dyDescent="0.2">
      <c r="A3150" t="s">
        <v>7</v>
      </c>
      <c r="B3150" s="1" t="s">
        <v>20</v>
      </c>
      <c r="C3150" t="str">
        <f t="shared" si="100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99"/>
        <v>14</v>
      </c>
    </row>
    <row r="3151" spans="1:8" x14ac:dyDescent="0.2">
      <c r="A3151" t="s">
        <v>7</v>
      </c>
      <c r="B3151" t="s">
        <v>20</v>
      </c>
      <c r="C3151" t="str">
        <f t="shared" si="100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99"/>
        <v>14</v>
      </c>
    </row>
    <row r="3152" spans="1:8" x14ac:dyDescent="0.2">
      <c r="A3152" t="s">
        <v>7</v>
      </c>
      <c r="B3152" s="1" t="s">
        <v>20</v>
      </c>
      <c r="C3152" t="str">
        <f t="shared" si="100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99"/>
        <v>14</v>
      </c>
    </row>
    <row r="3153" spans="1:8" x14ac:dyDescent="0.2">
      <c r="A3153" t="s">
        <v>7</v>
      </c>
      <c r="B3153" t="s">
        <v>20</v>
      </c>
      <c r="C3153" t="str">
        <f t="shared" si="100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99"/>
        <v>14</v>
      </c>
    </row>
    <row r="3154" spans="1:8" x14ac:dyDescent="0.2">
      <c r="A3154" t="s">
        <v>7</v>
      </c>
      <c r="B3154" s="1" t="s">
        <v>20</v>
      </c>
      <c r="C3154" t="str">
        <f t="shared" si="100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99"/>
        <v>14</v>
      </c>
    </row>
    <row r="3155" spans="1:8" x14ac:dyDescent="0.2">
      <c r="A3155" t="s">
        <v>7</v>
      </c>
      <c r="B3155" t="s">
        <v>20</v>
      </c>
      <c r="C3155" t="str">
        <f t="shared" si="100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99"/>
        <v>14</v>
      </c>
    </row>
    <row r="3156" spans="1:8" x14ac:dyDescent="0.2">
      <c r="A3156" t="s">
        <v>7</v>
      </c>
      <c r="B3156" s="1" t="s">
        <v>20</v>
      </c>
      <c r="C3156" t="str">
        <f t="shared" si="100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99"/>
        <v>13</v>
      </c>
    </row>
    <row r="3157" spans="1:8" x14ac:dyDescent="0.2">
      <c r="A3157" t="s">
        <v>7</v>
      </c>
      <c r="B3157" t="s">
        <v>20</v>
      </c>
      <c r="C3157" t="str">
        <f t="shared" si="100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99"/>
        <v>13</v>
      </c>
    </row>
    <row r="3158" spans="1:8" x14ac:dyDescent="0.2">
      <c r="A3158" t="s">
        <v>7</v>
      </c>
      <c r="B3158" s="1" t="s">
        <v>20</v>
      </c>
      <c r="C3158" t="str">
        <f t="shared" si="100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99"/>
        <v>13</v>
      </c>
    </row>
    <row r="3159" spans="1:8" x14ac:dyDescent="0.2">
      <c r="A3159" t="s">
        <v>7</v>
      </c>
      <c r="B3159" t="s">
        <v>20</v>
      </c>
      <c r="C3159" t="str">
        <f t="shared" si="100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99"/>
        <v>12</v>
      </c>
    </row>
    <row r="3160" spans="1:8" x14ac:dyDescent="0.2">
      <c r="A3160" t="s">
        <v>7</v>
      </c>
      <c r="B3160" s="1" t="s">
        <v>20</v>
      </c>
      <c r="C3160" t="str">
        <f t="shared" si="100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99"/>
        <v>12</v>
      </c>
    </row>
    <row r="3161" spans="1:8" x14ac:dyDescent="0.2">
      <c r="A3161" t="s">
        <v>7</v>
      </c>
      <c r="B3161" t="s">
        <v>20</v>
      </c>
      <c r="C3161" t="str">
        <f t="shared" si="100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99"/>
        <v>12</v>
      </c>
    </row>
    <row r="3162" spans="1:8" x14ac:dyDescent="0.2">
      <c r="A3162" t="s">
        <v>7</v>
      </c>
      <c r="B3162" s="1" t="s">
        <v>20</v>
      </c>
      <c r="C3162" t="str">
        <f t="shared" si="100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99"/>
        <v>12</v>
      </c>
    </row>
    <row r="3163" spans="1:8" x14ac:dyDescent="0.2">
      <c r="A3163" t="s">
        <v>7</v>
      </c>
      <c r="B3163" t="s">
        <v>20</v>
      </c>
      <c r="C3163" t="str">
        <f t="shared" si="100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99"/>
        <v>12</v>
      </c>
    </row>
    <row r="3164" spans="1:8" x14ac:dyDescent="0.2">
      <c r="A3164" t="s">
        <v>7</v>
      </c>
      <c r="B3164" s="1" t="s">
        <v>20</v>
      </c>
      <c r="C3164" t="str">
        <f t="shared" si="100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99"/>
        <v>12</v>
      </c>
    </row>
    <row r="3165" spans="1:8" x14ac:dyDescent="0.2">
      <c r="A3165" t="s">
        <v>7</v>
      </c>
      <c r="B3165" t="s">
        <v>20</v>
      </c>
      <c r="C3165" t="str">
        <f t="shared" si="100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99"/>
        <v>12</v>
      </c>
    </row>
    <row r="3166" spans="1:8" x14ac:dyDescent="0.2">
      <c r="A3166" t="s">
        <v>7</v>
      </c>
      <c r="B3166" s="1" t="s">
        <v>20</v>
      </c>
      <c r="C3166" t="str">
        <f t="shared" si="100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99"/>
        <v>12</v>
      </c>
    </row>
    <row r="3167" spans="1:8" x14ac:dyDescent="0.2">
      <c r="A3167" t="s">
        <v>7</v>
      </c>
      <c r="B3167" t="s">
        <v>20</v>
      </c>
      <c r="C3167" t="str">
        <f t="shared" si="100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99"/>
        <v>11</v>
      </c>
    </row>
    <row r="3168" spans="1:8" x14ac:dyDescent="0.2">
      <c r="A3168" t="s">
        <v>7</v>
      </c>
      <c r="B3168" s="1" t="s">
        <v>20</v>
      </c>
      <c r="C3168" t="str">
        <f t="shared" si="100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99"/>
        <v>11</v>
      </c>
    </row>
    <row r="3169" spans="1:8" x14ac:dyDescent="0.2">
      <c r="A3169" t="s">
        <v>7</v>
      </c>
      <c r="B3169" t="s">
        <v>20</v>
      </c>
      <c r="C3169" t="str">
        <f t="shared" si="100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99"/>
        <v>11</v>
      </c>
    </row>
    <row r="3170" spans="1:8" x14ac:dyDescent="0.2">
      <c r="A3170" t="s">
        <v>7</v>
      </c>
      <c r="B3170" s="1" t="s">
        <v>20</v>
      </c>
      <c r="C3170" t="str">
        <f t="shared" si="100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99"/>
        <v>11</v>
      </c>
    </row>
    <row r="3171" spans="1:8" x14ac:dyDescent="0.2">
      <c r="A3171" t="s">
        <v>7</v>
      </c>
      <c r="B3171" t="s">
        <v>20</v>
      </c>
      <c r="C3171" t="str">
        <f t="shared" si="100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99"/>
        <v>11</v>
      </c>
    </row>
    <row r="3172" spans="1:8" x14ac:dyDescent="0.2">
      <c r="A3172" t="s">
        <v>7</v>
      </c>
      <c r="B3172" s="1" t="s">
        <v>20</v>
      </c>
      <c r="C3172" t="str">
        <f t="shared" si="100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99"/>
        <v>11</v>
      </c>
    </row>
    <row r="3173" spans="1:8" x14ac:dyDescent="0.2">
      <c r="A3173" t="s">
        <v>7</v>
      </c>
      <c r="B3173" t="s">
        <v>20</v>
      </c>
      <c r="C3173" t="str">
        <f t="shared" si="100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99"/>
        <v>11</v>
      </c>
    </row>
    <row r="3174" spans="1:8" x14ac:dyDescent="0.2">
      <c r="A3174" t="s">
        <v>7</v>
      </c>
      <c r="B3174" s="1" t="s">
        <v>20</v>
      </c>
      <c r="C3174" t="str">
        <f t="shared" si="100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99"/>
        <v>11</v>
      </c>
    </row>
    <row r="3175" spans="1:8" x14ac:dyDescent="0.2">
      <c r="A3175" t="s">
        <v>7</v>
      </c>
      <c r="B3175" t="s">
        <v>20</v>
      </c>
      <c r="C3175" t="str">
        <f t="shared" si="100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99"/>
        <v>10</v>
      </c>
    </row>
    <row r="3176" spans="1:8" x14ac:dyDescent="0.2">
      <c r="A3176" t="s">
        <v>7</v>
      </c>
      <c r="B3176" s="1" t="s">
        <v>20</v>
      </c>
      <c r="C3176" t="str">
        <f t="shared" si="100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99"/>
        <v>10</v>
      </c>
    </row>
    <row r="3177" spans="1:8" x14ac:dyDescent="0.2">
      <c r="A3177" t="s">
        <v>7</v>
      </c>
      <c r="B3177" t="s">
        <v>20</v>
      </c>
      <c r="C3177" t="str">
        <f t="shared" si="100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99"/>
        <v>10</v>
      </c>
    </row>
    <row r="3178" spans="1:8" x14ac:dyDescent="0.2">
      <c r="A3178" t="s">
        <v>7</v>
      </c>
      <c r="B3178" s="1" t="s">
        <v>20</v>
      </c>
      <c r="C3178" t="str">
        <f t="shared" si="100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99"/>
        <v>10</v>
      </c>
    </row>
    <row r="3179" spans="1:8" x14ac:dyDescent="0.2">
      <c r="A3179" t="s">
        <v>7</v>
      </c>
      <c r="B3179" t="s">
        <v>20</v>
      </c>
      <c r="C3179" t="str">
        <f t="shared" si="100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99"/>
        <v>10</v>
      </c>
    </row>
    <row r="3180" spans="1:8" x14ac:dyDescent="0.2">
      <c r="A3180" t="s">
        <v>7</v>
      </c>
      <c r="B3180" s="1" t="s">
        <v>20</v>
      </c>
      <c r="C3180" t="str">
        <f t="shared" si="100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99"/>
        <v>10</v>
      </c>
    </row>
    <row r="3181" spans="1:8" x14ac:dyDescent="0.2">
      <c r="A3181" t="s">
        <v>7</v>
      </c>
      <c r="B3181" t="s">
        <v>20</v>
      </c>
      <c r="C3181" t="str">
        <f t="shared" si="100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99"/>
        <v>10</v>
      </c>
    </row>
    <row r="3182" spans="1:8" x14ac:dyDescent="0.2">
      <c r="A3182" t="s">
        <v>7</v>
      </c>
      <c r="B3182" s="1" t="s">
        <v>20</v>
      </c>
      <c r="C3182" t="str">
        <f t="shared" si="100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99"/>
        <v>10</v>
      </c>
    </row>
    <row r="3183" spans="1:8" x14ac:dyDescent="0.2">
      <c r="A3183" t="s">
        <v>7</v>
      </c>
      <c r="B3183" t="s">
        <v>20</v>
      </c>
      <c r="C3183" t="str">
        <f t="shared" si="100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99"/>
        <v>10</v>
      </c>
    </row>
    <row r="3184" spans="1:8" x14ac:dyDescent="0.2">
      <c r="A3184" t="s">
        <v>7</v>
      </c>
      <c r="B3184" s="1" t="s">
        <v>20</v>
      </c>
      <c r="C3184" t="str">
        <f t="shared" si="100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99"/>
        <v>9</v>
      </c>
    </row>
    <row r="3185" spans="1:8" x14ac:dyDescent="0.2">
      <c r="A3185" t="s">
        <v>7</v>
      </c>
      <c r="B3185" t="s">
        <v>20</v>
      </c>
      <c r="C3185" t="str">
        <f t="shared" si="100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99"/>
        <v>9</v>
      </c>
    </row>
    <row r="3186" spans="1:8" x14ac:dyDescent="0.2">
      <c r="A3186" t="s">
        <v>7</v>
      </c>
      <c r="B3186" s="1" t="s">
        <v>20</v>
      </c>
      <c r="C3186" t="str">
        <f t="shared" si="100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99"/>
        <v>9</v>
      </c>
    </row>
    <row r="3187" spans="1:8" x14ac:dyDescent="0.2">
      <c r="A3187" t="s">
        <v>7</v>
      </c>
      <c r="B3187" t="s">
        <v>20</v>
      </c>
      <c r="C3187" t="str">
        <f t="shared" si="100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99"/>
        <v>8</v>
      </c>
    </row>
    <row r="3188" spans="1:8" x14ac:dyDescent="0.2">
      <c r="A3188" t="s">
        <v>7</v>
      </c>
      <c r="B3188" s="1" t="s">
        <v>20</v>
      </c>
      <c r="C3188" t="str">
        <f t="shared" si="100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99"/>
        <v>8</v>
      </c>
    </row>
    <row r="3189" spans="1:8" x14ac:dyDescent="0.2">
      <c r="A3189" t="s">
        <v>7</v>
      </c>
      <c r="B3189" t="s">
        <v>20</v>
      </c>
      <c r="C3189" t="str">
        <f t="shared" si="100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99"/>
        <v>8</v>
      </c>
    </row>
    <row r="3190" spans="1:8" x14ac:dyDescent="0.2">
      <c r="A3190" t="s">
        <v>7</v>
      </c>
      <c r="B3190" s="1" t="s">
        <v>20</v>
      </c>
      <c r="C3190" t="str">
        <f t="shared" si="100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99"/>
        <v>8</v>
      </c>
    </row>
    <row r="3191" spans="1:8" x14ac:dyDescent="0.2">
      <c r="A3191" t="s">
        <v>7</v>
      </c>
      <c r="B3191" t="s">
        <v>20</v>
      </c>
      <c r="C3191" t="str">
        <f t="shared" si="100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99"/>
        <v>8</v>
      </c>
    </row>
    <row r="3192" spans="1:8" x14ac:dyDescent="0.2">
      <c r="A3192" t="s">
        <v>7</v>
      </c>
      <c r="B3192" s="1" t="s">
        <v>20</v>
      </c>
      <c r="C3192" t="str">
        <f t="shared" si="100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si="99"/>
        <v>8</v>
      </c>
    </row>
    <row r="3193" spans="1:8" x14ac:dyDescent="0.2">
      <c r="A3193" t="s">
        <v>7</v>
      </c>
      <c r="B3193" t="s">
        <v>20</v>
      </c>
      <c r="C3193" t="str">
        <f t="shared" si="100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99"/>
        <v>8</v>
      </c>
    </row>
    <row r="3194" spans="1:8" x14ac:dyDescent="0.2">
      <c r="A3194" t="s">
        <v>7</v>
      </c>
      <c r="B3194" s="1" t="s">
        <v>20</v>
      </c>
      <c r="C3194" t="str">
        <f t="shared" si="100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99"/>
        <v>8</v>
      </c>
    </row>
    <row r="3195" spans="1:8" x14ac:dyDescent="0.2">
      <c r="A3195" t="s">
        <v>7</v>
      </c>
      <c r="B3195" t="s">
        <v>20</v>
      </c>
      <c r="C3195" t="str">
        <f t="shared" si="100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99"/>
        <v>7</v>
      </c>
    </row>
    <row r="3196" spans="1:8" x14ac:dyDescent="0.2">
      <c r="A3196" t="s">
        <v>7</v>
      </c>
      <c r="B3196" s="1" t="s">
        <v>20</v>
      </c>
      <c r="C3196" t="str">
        <f t="shared" si="100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99"/>
        <v>7</v>
      </c>
    </row>
    <row r="3197" spans="1:8" x14ac:dyDescent="0.2">
      <c r="A3197" t="s">
        <v>7</v>
      </c>
      <c r="B3197" t="s">
        <v>20</v>
      </c>
      <c r="C3197" t="str">
        <f t="shared" si="100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99"/>
        <v>7</v>
      </c>
    </row>
    <row r="3198" spans="1:8" x14ac:dyDescent="0.2">
      <c r="A3198" t="s">
        <v>7</v>
      </c>
      <c r="B3198" s="1" t="s">
        <v>20</v>
      </c>
      <c r="C3198" t="str">
        <f t="shared" si="100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99"/>
        <v>7</v>
      </c>
    </row>
    <row r="3199" spans="1:8" x14ac:dyDescent="0.2">
      <c r="A3199" t="s">
        <v>7</v>
      </c>
      <c r="B3199" t="s">
        <v>20</v>
      </c>
      <c r="C3199" t="str">
        <f t="shared" si="100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99"/>
        <v>7</v>
      </c>
    </row>
    <row r="3200" spans="1:8" x14ac:dyDescent="0.2">
      <c r="A3200" t="s">
        <v>7</v>
      </c>
      <c r="B3200" s="1" t="s">
        <v>20</v>
      </c>
      <c r="C3200" t="str">
        <f t="shared" si="100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99"/>
        <v>7</v>
      </c>
    </row>
    <row r="3201" spans="1:8" x14ac:dyDescent="0.2">
      <c r="A3201" t="s">
        <v>7</v>
      </c>
      <c r="B3201" t="s">
        <v>20</v>
      </c>
      <c r="C3201" t="str">
        <f t="shared" si="100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99"/>
        <v>6</v>
      </c>
    </row>
    <row r="3202" spans="1:8" x14ac:dyDescent="0.2">
      <c r="A3202" t="s">
        <v>7</v>
      </c>
      <c r="B3202" s="1" t="s">
        <v>20</v>
      </c>
      <c r="C3202" t="str">
        <f t="shared" si="100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99"/>
        <v>6</v>
      </c>
    </row>
    <row r="3203" spans="1:8" x14ac:dyDescent="0.2">
      <c r="A3203" t="s">
        <v>7</v>
      </c>
      <c r="B3203" t="s">
        <v>20</v>
      </c>
      <c r="C3203" t="str">
        <f t="shared" si="100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ref="H3203:H3266" si="101">F3203-G3203</f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2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1"/>
        <v>6</v>
      </c>
    </row>
    <row r="3205" spans="1:8" x14ac:dyDescent="0.2">
      <c r="A3205" t="s">
        <v>7</v>
      </c>
      <c r="B3205" t="s">
        <v>20</v>
      </c>
      <c r="C3205" t="str">
        <f t="shared" si="102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1"/>
        <v>6</v>
      </c>
    </row>
    <row r="3206" spans="1:8" x14ac:dyDescent="0.2">
      <c r="A3206" t="s">
        <v>7</v>
      </c>
      <c r="B3206" s="1" t="s">
        <v>20</v>
      </c>
      <c r="C3206" t="str">
        <f t="shared" si="102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1"/>
        <v>6</v>
      </c>
    </row>
    <row r="3207" spans="1:8" x14ac:dyDescent="0.2">
      <c r="A3207" t="s">
        <v>7</v>
      </c>
      <c r="B3207" t="s">
        <v>20</v>
      </c>
      <c r="C3207" t="str">
        <f t="shared" si="102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1"/>
        <v>6</v>
      </c>
    </row>
    <row r="3208" spans="1:8" x14ac:dyDescent="0.2">
      <c r="A3208" t="s">
        <v>7</v>
      </c>
      <c r="B3208" s="1" t="s">
        <v>20</v>
      </c>
      <c r="C3208" t="str">
        <f t="shared" si="102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1"/>
        <v>6</v>
      </c>
    </row>
    <row r="3209" spans="1:8" x14ac:dyDescent="0.2">
      <c r="A3209" t="s">
        <v>7</v>
      </c>
      <c r="B3209" t="s">
        <v>20</v>
      </c>
      <c r="C3209" t="str">
        <f t="shared" si="102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1"/>
        <v>5</v>
      </c>
    </row>
    <row r="3210" spans="1:8" x14ac:dyDescent="0.2">
      <c r="A3210" t="s">
        <v>7</v>
      </c>
      <c r="B3210" s="1" t="s">
        <v>20</v>
      </c>
      <c r="C3210" t="str">
        <f t="shared" si="102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1"/>
        <v>5</v>
      </c>
    </row>
    <row r="3211" spans="1:8" x14ac:dyDescent="0.2">
      <c r="A3211" t="s">
        <v>7</v>
      </c>
      <c r="B3211" t="s">
        <v>20</v>
      </c>
      <c r="C3211" t="str">
        <f t="shared" si="102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1"/>
        <v>5</v>
      </c>
    </row>
    <row r="3212" spans="1:8" x14ac:dyDescent="0.2">
      <c r="A3212" t="s">
        <v>7</v>
      </c>
      <c r="B3212" s="1" t="s">
        <v>20</v>
      </c>
      <c r="C3212" t="str">
        <f t="shared" si="102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1"/>
        <v>5</v>
      </c>
    </row>
    <row r="3213" spans="1:8" x14ac:dyDescent="0.2">
      <c r="A3213" t="s">
        <v>7</v>
      </c>
      <c r="B3213" t="s">
        <v>20</v>
      </c>
      <c r="C3213" t="str">
        <f t="shared" si="102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1"/>
        <v>5</v>
      </c>
    </row>
    <row r="3214" spans="1:8" x14ac:dyDescent="0.2">
      <c r="A3214" t="s">
        <v>7</v>
      </c>
      <c r="B3214" s="1" t="s">
        <v>20</v>
      </c>
      <c r="C3214" t="str">
        <f t="shared" si="102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1"/>
        <v>5</v>
      </c>
    </row>
    <row r="3215" spans="1:8" x14ac:dyDescent="0.2">
      <c r="A3215" t="s">
        <v>7</v>
      </c>
      <c r="B3215" t="s">
        <v>20</v>
      </c>
      <c r="C3215" t="str">
        <f t="shared" si="102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1"/>
        <v>4</v>
      </c>
    </row>
    <row r="3216" spans="1:8" x14ac:dyDescent="0.2">
      <c r="A3216" t="s">
        <v>7</v>
      </c>
      <c r="B3216" s="1" t="s">
        <v>20</v>
      </c>
      <c r="C3216" t="str">
        <f t="shared" si="102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1"/>
        <v>4</v>
      </c>
    </row>
    <row r="3217" spans="1:8" x14ac:dyDescent="0.2">
      <c r="A3217" t="s">
        <v>7</v>
      </c>
      <c r="B3217" t="s">
        <v>20</v>
      </c>
      <c r="C3217" t="str">
        <f t="shared" si="102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1"/>
        <v>4</v>
      </c>
    </row>
    <row r="3218" spans="1:8" x14ac:dyDescent="0.2">
      <c r="A3218" t="s">
        <v>7</v>
      </c>
      <c r="B3218" s="1" t="s">
        <v>20</v>
      </c>
      <c r="C3218" t="str">
        <f t="shared" si="102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1"/>
        <v>4</v>
      </c>
    </row>
    <row r="3219" spans="1:8" x14ac:dyDescent="0.2">
      <c r="A3219" t="s">
        <v>7</v>
      </c>
      <c r="B3219" t="s">
        <v>20</v>
      </c>
      <c r="C3219" t="str">
        <f t="shared" si="102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1"/>
        <v>4</v>
      </c>
    </row>
    <row r="3220" spans="1:8" x14ac:dyDescent="0.2">
      <c r="A3220" t="s">
        <v>7</v>
      </c>
      <c r="B3220" s="1" t="s">
        <v>20</v>
      </c>
      <c r="C3220" t="str">
        <f t="shared" si="102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1"/>
        <v>3</v>
      </c>
    </row>
    <row r="3221" spans="1:8" x14ac:dyDescent="0.2">
      <c r="A3221" t="s">
        <v>7</v>
      </c>
      <c r="B3221" t="s">
        <v>20</v>
      </c>
      <c r="C3221" t="str">
        <f t="shared" si="102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1"/>
        <v>3</v>
      </c>
    </row>
    <row r="3222" spans="1:8" x14ac:dyDescent="0.2">
      <c r="A3222" t="s">
        <v>7</v>
      </c>
      <c r="B3222" s="1" t="s">
        <v>20</v>
      </c>
      <c r="C3222" t="str">
        <f t="shared" si="102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1"/>
        <v>3</v>
      </c>
    </row>
    <row r="3223" spans="1:8" x14ac:dyDescent="0.2">
      <c r="A3223" t="s">
        <v>7</v>
      </c>
      <c r="B3223" t="s">
        <v>20</v>
      </c>
      <c r="C3223" t="str">
        <f t="shared" si="102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1"/>
        <v>2</v>
      </c>
    </row>
    <row r="3224" spans="1:8" x14ac:dyDescent="0.2">
      <c r="A3224" t="s">
        <v>7</v>
      </c>
      <c r="B3224" s="1" t="s">
        <v>20</v>
      </c>
      <c r="C3224" t="str">
        <f t="shared" si="102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1"/>
        <v>2</v>
      </c>
    </row>
    <row r="3225" spans="1:8" x14ac:dyDescent="0.2">
      <c r="A3225" t="s">
        <v>7</v>
      </c>
      <c r="B3225" t="s">
        <v>20</v>
      </c>
      <c r="C3225" t="str">
        <f t="shared" si="102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1"/>
        <v>2</v>
      </c>
    </row>
    <row r="3226" spans="1:8" x14ac:dyDescent="0.2">
      <c r="A3226" t="s">
        <v>7</v>
      </c>
      <c r="B3226" s="1" t="s">
        <v>20</v>
      </c>
      <c r="C3226" t="str">
        <f t="shared" si="102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1"/>
        <v>1</v>
      </c>
    </row>
    <row r="3227" spans="1:8" x14ac:dyDescent="0.2">
      <c r="A3227" t="s">
        <v>7</v>
      </c>
      <c r="B3227" t="s">
        <v>20</v>
      </c>
      <c r="C3227" t="str">
        <f t="shared" si="102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1"/>
        <v>1</v>
      </c>
    </row>
    <row r="3228" spans="1:8" x14ac:dyDescent="0.2">
      <c r="A3228" t="s">
        <v>7</v>
      </c>
      <c r="B3228" s="1" t="s">
        <v>20</v>
      </c>
      <c r="C3228" t="str">
        <f t="shared" si="102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1"/>
        <v>0</v>
      </c>
    </row>
    <row r="3229" spans="1:8" x14ac:dyDescent="0.2">
      <c r="A3229" t="s">
        <v>7</v>
      </c>
      <c r="B3229" t="s">
        <v>20</v>
      </c>
      <c r="C3229" t="str">
        <f t="shared" si="102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1"/>
        <v>0</v>
      </c>
    </row>
    <row r="3230" spans="1:8" x14ac:dyDescent="0.2">
      <c r="A3230" t="s">
        <v>7</v>
      </c>
      <c r="B3230" s="1" t="s">
        <v>20</v>
      </c>
      <c r="C3230" t="str">
        <f t="shared" si="102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1"/>
        <v>0</v>
      </c>
    </row>
    <row r="3231" spans="1:8" x14ac:dyDescent="0.2">
      <c r="A3231" t="s">
        <v>7</v>
      </c>
      <c r="B3231" t="s">
        <v>20</v>
      </c>
      <c r="C3231" t="str">
        <f t="shared" si="102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1"/>
        <v>0</v>
      </c>
    </row>
    <row r="3232" spans="1:8" x14ac:dyDescent="0.2">
      <c r="A3232" t="s">
        <v>7</v>
      </c>
      <c r="B3232" s="1" t="s">
        <v>20</v>
      </c>
      <c r="C3232" t="str">
        <f t="shared" si="102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1"/>
        <v>0</v>
      </c>
    </row>
    <row r="3233" spans="1:8" x14ac:dyDescent="0.2">
      <c r="A3233" t="s">
        <v>7</v>
      </c>
      <c r="B3233" t="s">
        <v>20</v>
      </c>
      <c r="C3233" t="str">
        <f t="shared" si="102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1"/>
        <v>-1</v>
      </c>
    </row>
    <row r="3234" spans="1:8" x14ac:dyDescent="0.2">
      <c r="A3234" t="s">
        <v>7</v>
      </c>
      <c r="B3234" s="1" t="s">
        <v>20</v>
      </c>
      <c r="C3234" t="str">
        <f t="shared" si="102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1"/>
        <v>-1</v>
      </c>
    </row>
    <row r="3235" spans="1:8" x14ac:dyDescent="0.2">
      <c r="A3235" t="s">
        <v>7</v>
      </c>
      <c r="B3235" t="s">
        <v>20</v>
      </c>
      <c r="C3235" t="str">
        <f t="shared" si="102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1"/>
        <v>-1</v>
      </c>
    </row>
    <row r="3236" spans="1:8" x14ac:dyDescent="0.2">
      <c r="A3236" t="s">
        <v>7</v>
      </c>
      <c r="B3236" s="1" t="s">
        <v>20</v>
      </c>
      <c r="C3236" t="str">
        <f t="shared" si="102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1"/>
        <v>-1</v>
      </c>
    </row>
    <row r="3237" spans="1:8" x14ac:dyDescent="0.2">
      <c r="A3237" t="s">
        <v>7</v>
      </c>
      <c r="B3237" t="s">
        <v>20</v>
      </c>
      <c r="C3237" t="str">
        <f t="shared" si="102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1"/>
        <v>0</v>
      </c>
    </row>
    <row r="3238" spans="1:8" x14ac:dyDescent="0.2">
      <c r="A3238" t="s">
        <v>7</v>
      </c>
      <c r="B3238" s="1" t="s">
        <v>20</v>
      </c>
      <c r="C3238" t="str">
        <f t="shared" si="102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1"/>
        <v>0</v>
      </c>
    </row>
    <row r="3239" spans="1:8" x14ac:dyDescent="0.2">
      <c r="A3239" t="s">
        <v>7</v>
      </c>
      <c r="B3239" t="s">
        <v>20</v>
      </c>
      <c r="C3239" t="str">
        <f t="shared" si="102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1"/>
        <v>-1</v>
      </c>
    </row>
    <row r="3240" spans="1:8" x14ac:dyDescent="0.2">
      <c r="A3240" t="s">
        <v>7</v>
      </c>
      <c r="B3240" s="1" t="s">
        <v>20</v>
      </c>
      <c r="C3240" t="str">
        <f t="shared" si="102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1"/>
        <v>-2</v>
      </c>
    </row>
    <row r="3241" spans="1:8" x14ac:dyDescent="0.2">
      <c r="A3241" t="s">
        <v>7</v>
      </c>
      <c r="B3241" t="s">
        <v>20</v>
      </c>
      <c r="C3241" t="str">
        <f t="shared" si="102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1"/>
        <v>-2</v>
      </c>
    </row>
    <row r="3242" spans="1:8" x14ac:dyDescent="0.2">
      <c r="A3242" t="s">
        <v>7</v>
      </c>
      <c r="B3242" s="1" t="s">
        <v>20</v>
      </c>
      <c r="C3242" t="str">
        <f t="shared" si="102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1"/>
        <v>-2</v>
      </c>
    </row>
    <row r="3243" spans="1:8" x14ac:dyDescent="0.2">
      <c r="A3243" t="s">
        <v>7</v>
      </c>
      <c r="B3243" t="s">
        <v>20</v>
      </c>
      <c r="C3243" t="str">
        <f t="shared" si="102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1"/>
        <v>0</v>
      </c>
    </row>
    <row r="3244" spans="1:8" x14ac:dyDescent="0.2">
      <c r="A3244" t="s">
        <v>7</v>
      </c>
      <c r="B3244" s="1" t="s">
        <v>20</v>
      </c>
      <c r="C3244" t="str">
        <f t="shared" si="102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1"/>
        <v>-3</v>
      </c>
    </row>
    <row r="3245" spans="1:8" x14ac:dyDescent="0.2">
      <c r="A3245" t="s">
        <v>7</v>
      </c>
      <c r="B3245" t="s">
        <v>20</v>
      </c>
      <c r="C3245" t="str">
        <f t="shared" si="102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1"/>
        <v>-3</v>
      </c>
    </row>
    <row r="3246" spans="1:8" x14ac:dyDescent="0.2">
      <c r="A3246" t="s">
        <v>7</v>
      </c>
      <c r="B3246" s="1" t="s">
        <v>20</v>
      </c>
      <c r="C3246" t="str">
        <f t="shared" si="102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1"/>
        <v>-3</v>
      </c>
    </row>
    <row r="3247" spans="1:8" x14ac:dyDescent="0.2">
      <c r="A3247" t="s">
        <v>7</v>
      </c>
      <c r="B3247" t="s">
        <v>20</v>
      </c>
      <c r="C3247" t="str">
        <f t="shared" si="102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1"/>
        <v>-3</v>
      </c>
    </row>
    <row r="3248" spans="1:8" x14ac:dyDescent="0.2">
      <c r="A3248" t="s">
        <v>7</v>
      </c>
      <c r="B3248" s="1" t="s">
        <v>20</v>
      </c>
      <c r="C3248" t="str">
        <f t="shared" si="102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1"/>
        <v>-4</v>
      </c>
    </row>
    <row r="3249" spans="1:8" x14ac:dyDescent="0.2">
      <c r="A3249" t="s">
        <v>7</v>
      </c>
      <c r="B3249" t="s">
        <v>20</v>
      </c>
      <c r="C3249" t="str">
        <f t="shared" si="102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1"/>
        <v>-4</v>
      </c>
    </row>
    <row r="3250" spans="1:8" x14ac:dyDescent="0.2">
      <c r="A3250" t="s">
        <v>7</v>
      </c>
      <c r="B3250" s="1" t="s">
        <v>20</v>
      </c>
      <c r="C3250" t="str">
        <f t="shared" si="102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1"/>
        <v>-5</v>
      </c>
    </row>
    <row r="3251" spans="1:8" x14ac:dyDescent="0.2">
      <c r="A3251" t="s">
        <v>7</v>
      </c>
      <c r="B3251" t="s">
        <v>20</v>
      </c>
      <c r="C3251" t="str">
        <f t="shared" si="102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1"/>
        <v>-5</v>
      </c>
    </row>
    <row r="3252" spans="1:8" x14ac:dyDescent="0.2">
      <c r="A3252" t="s">
        <v>7</v>
      </c>
      <c r="B3252" s="1" t="s">
        <v>20</v>
      </c>
      <c r="C3252" t="str">
        <f t="shared" si="102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1"/>
        <v>-5</v>
      </c>
    </row>
    <row r="3253" spans="1:8" x14ac:dyDescent="0.2">
      <c r="A3253" t="s">
        <v>7</v>
      </c>
      <c r="B3253" t="s">
        <v>20</v>
      </c>
      <c r="C3253" t="str">
        <f t="shared" si="102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1"/>
        <v>-5</v>
      </c>
    </row>
    <row r="3254" spans="1:8" x14ac:dyDescent="0.2">
      <c r="A3254" t="s">
        <v>7</v>
      </c>
      <c r="B3254" s="1" t="s">
        <v>20</v>
      </c>
      <c r="C3254" t="str">
        <f t="shared" si="102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1"/>
        <v>-5</v>
      </c>
    </row>
    <row r="3255" spans="1:8" x14ac:dyDescent="0.2">
      <c r="A3255" t="s">
        <v>7</v>
      </c>
      <c r="B3255" t="s">
        <v>20</v>
      </c>
      <c r="C3255" t="str">
        <f t="shared" si="102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1"/>
        <v>-5</v>
      </c>
    </row>
    <row r="3256" spans="1:8" x14ac:dyDescent="0.2">
      <c r="A3256" t="s">
        <v>7</v>
      </c>
      <c r="B3256" s="1" t="s">
        <v>20</v>
      </c>
      <c r="C3256" t="str">
        <f t="shared" si="102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si="101"/>
        <v>0</v>
      </c>
    </row>
    <row r="3257" spans="1:8" x14ac:dyDescent="0.2">
      <c r="A3257" t="s">
        <v>7</v>
      </c>
      <c r="B3257" t="s">
        <v>20</v>
      </c>
      <c r="C3257" t="str">
        <f t="shared" si="102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1"/>
        <v>-6</v>
      </c>
    </row>
    <row r="3258" spans="1:8" x14ac:dyDescent="0.2">
      <c r="A3258" t="s">
        <v>7</v>
      </c>
      <c r="B3258" s="1" t="s">
        <v>20</v>
      </c>
      <c r="C3258" t="str">
        <f t="shared" si="102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1"/>
        <v>-6</v>
      </c>
    </row>
    <row r="3259" spans="1:8" x14ac:dyDescent="0.2">
      <c r="A3259" t="s">
        <v>7</v>
      </c>
      <c r="B3259" t="s">
        <v>20</v>
      </c>
      <c r="C3259" t="str">
        <f t="shared" si="102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1"/>
        <v>-6</v>
      </c>
    </row>
    <row r="3260" spans="1:8" x14ac:dyDescent="0.2">
      <c r="A3260" t="s">
        <v>7</v>
      </c>
      <c r="B3260" s="1" t="s">
        <v>20</v>
      </c>
      <c r="C3260" t="str">
        <f t="shared" si="102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1"/>
        <v>-6</v>
      </c>
    </row>
    <row r="3261" spans="1:8" x14ac:dyDescent="0.2">
      <c r="A3261" t="s">
        <v>7</v>
      </c>
      <c r="B3261" t="s">
        <v>20</v>
      </c>
      <c r="C3261" t="str">
        <f t="shared" si="102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1"/>
        <v>-7</v>
      </c>
    </row>
    <row r="3262" spans="1:8" x14ac:dyDescent="0.2">
      <c r="A3262" t="s">
        <v>7</v>
      </c>
      <c r="B3262" s="1" t="s">
        <v>20</v>
      </c>
      <c r="C3262" t="str">
        <f t="shared" si="102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1"/>
        <v>-7</v>
      </c>
    </row>
    <row r="3263" spans="1:8" x14ac:dyDescent="0.2">
      <c r="A3263" t="s">
        <v>7</v>
      </c>
      <c r="B3263" t="s">
        <v>20</v>
      </c>
      <c r="C3263" t="str">
        <f t="shared" si="102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1"/>
        <v>-7</v>
      </c>
    </row>
    <row r="3264" spans="1:8" x14ac:dyDescent="0.2">
      <c r="A3264" t="s">
        <v>7</v>
      </c>
      <c r="B3264" s="1" t="s">
        <v>20</v>
      </c>
      <c r="C3264" t="str">
        <f t="shared" si="102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1"/>
        <v>-7</v>
      </c>
    </row>
    <row r="3265" spans="1:8" x14ac:dyDescent="0.2">
      <c r="A3265" t="s">
        <v>7</v>
      </c>
      <c r="B3265" t="s">
        <v>20</v>
      </c>
      <c r="C3265" t="str">
        <f t="shared" si="102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1"/>
        <v>0</v>
      </c>
    </row>
    <row r="3266" spans="1:8" x14ac:dyDescent="0.2">
      <c r="A3266" t="s">
        <v>7</v>
      </c>
      <c r="B3266" s="1" t="s">
        <v>20</v>
      </c>
      <c r="C3266" t="str">
        <f t="shared" si="102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1"/>
        <v>-8</v>
      </c>
    </row>
    <row r="3267" spans="1:8" x14ac:dyDescent="0.2">
      <c r="A3267" t="s">
        <v>7</v>
      </c>
      <c r="B3267" t="s">
        <v>20</v>
      </c>
      <c r="C3267" t="str">
        <f t="shared" si="102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ref="H3267:H3330" si="103">F3267-G3267</f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4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3"/>
        <v>-8</v>
      </c>
    </row>
    <row r="3269" spans="1:8" x14ac:dyDescent="0.2">
      <c r="A3269" t="s">
        <v>7</v>
      </c>
      <c r="B3269" t="s">
        <v>20</v>
      </c>
      <c r="C3269" t="str">
        <f t="shared" si="104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3"/>
        <v>-8</v>
      </c>
    </row>
    <row r="3270" spans="1:8" x14ac:dyDescent="0.2">
      <c r="A3270" t="s">
        <v>7</v>
      </c>
      <c r="B3270" s="1" t="s">
        <v>20</v>
      </c>
      <c r="C3270" t="str">
        <f t="shared" si="104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3"/>
        <v>-9</v>
      </c>
    </row>
    <row r="3271" spans="1:8" x14ac:dyDescent="0.2">
      <c r="A3271" t="s">
        <v>7</v>
      </c>
      <c r="B3271" t="s">
        <v>20</v>
      </c>
      <c r="C3271" t="str">
        <f t="shared" si="104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3"/>
        <v>-9</v>
      </c>
    </row>
    <row r="3272" spans="1:8" x14ac:dyDescent="0.2">
      <c r="A3272" t="s">
        <v>7</v>
      </c>
      <c r="B3272" s="1" t="s">
        <v>20</v>
      </c>
      <c r="C3272" t="str">
        <f t="shared" si="104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3"/>
        <v>0</v>
      </c>
    </row>
    <row r="3273" spans="1:8" x14ac:dyDescent="0.2">
      <c r="A3273" t="s">
        <v>7</v>
      </c>
      <c r="B3273" t="s">
        <v>20</v>
      </c>
      <c r="C3273" t="str">
        <f t="shared" si="104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3"/>
        <v>-10</v>
      </c>
    </row>
    <row r="3274" spans="1:8" x14ac:dyDescent="0.2">
      <c r="A3274" t="s">
        <v>7</v>
      </c>
      <c r="B3274" s="1" t="s">
        <v>20</v>
      </c>
      <c r="C3274" t="str">
        <f t="shared" si="104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3"/>
        <v>-10</v>
      </c>
    </row>
    <row r="3275" spans="1:8" x14ac:dyDescent="0.2">
      <c r="A3275" t="s">
        <v>7</v>
      </c>
      <c r="B3275" t="s">
        <v>20</v>
      </c>
      <c r="C3275" t="str">
        <f t="shared" si="104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3"/>
        <v>-10</v>
      </c>
    </row>
    <row r="3276" spans="1:8" x14ac:dyDescent="0.2">
      <c r="A3276" t="s">
        <v>7</v>
      </c>
      <c r="B3276" s="1" t="s">
        <v>20</v>
      </c>
      <c r="C3276" t="str">
        <f t="shared" si="104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3"/>
        <v>-10</v>
      </c>
    </row>
    <row r="3277" spans="1:8" x14ac:dyDescent="0.2">
      <c r="A3277" t="s">
        <v>7</v>
      </c>
      <c r="B3277" t="s">
        <v>20</v>
      </c>
      <c r="C3277" t="str">
        <f t="shared" si="104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3"/>
        <v>-10</v>
      </c>
    </row>
    <row r="3278" spans="1:8" x14ac:dyDescent="0.2">
      <c r="A3278" t="s">
        <v>7</v>
      </c>
      <c r="B3278" s="1" t="s">
        <v>20</v>
      </c>
      <c r="C3278" t="str">
        <f t="shared" si="104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3"/>
        <v>-11</v>
      </c>
    </row>
    <row r="3279" spans="1:8" x14ac:dyDescent="0.2">
      <c r="A3279" t="s">
        <v>7</v>
      </c>
      <c r="B3279" t="s">
        <v>20</v>
      </c>
      <c r="C3279" t="str">
        <f t="shared" si="104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3"/>
        <v>-11</v>
      </c>
    </row>
    <row r="3280" spans="1:8" x14ac:dyDescent="0.2">
      <c r="A3280" t="s">
        <v>7</v>
      </c>
      <c r="B3280" s="1" t="s">
        <v>20</v>
      </c>
      <c r="C3280" t="str">
        <f t="shared" si="104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3"/>
        <v>-11</v>
      </c>
    </row>
    <row r="3281" spans="1:8" x14ac:dyDescent="0.2">
      <c r="A3281" t="s">
        <v>7</v>
      </c>
      <c r="B3281" t="s">
        <v>20</v>
      </c>
      <c r="C3281" t="str">
        <f t="shared" si="104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3"/>
        <v>-11</v>
      </c>
    </row>
    <row r="3282" spans="1:8" x14ac:dyDescent="0.2">
      <c r="A3282" t="s">
        <v>7</v>
      </c>
      <c r="B3282" s="1" t="s">
        <v>20</v>
      </c>
      <c r="C3282" t="str">
        <f t="shared" si="104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3"/>
        <v>-11</v>
      </c>
    </row>
    <row r="3283" spans="1:8" x14ac:dyDescent="0.2">
      <c r="A3283" t="s">
        <v>7</v>
      </c>
      <c r="B3283" t="s">
        <v>20</v>
      </c>
      <c r="C3283" t="str">
        <f t="shared" si="104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3"/>
        <v>0</v>
      </c>
    </row>
    <row r="3284" spans="1:8" x14ac:dyDescent="0.2">
      <c r="A3284" t="s">
        <v>7</v>
      </c>
      <c r="B3284" s="1" t="s">
        <v>20</v>
      </c>
      <c r="C3284" t="str">
        <f t="shared" si="104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3"/>
        <v>-11</v>
      </c>
    </row>
    <row r="3285" spans="1:8" x14ac:dyDescent="0.2">
      <c r="A3285" t="s">
        <v>7</v>
      </c>
      <c r="B3285" t="s">
        <v>20</v>
      </c>
      <c r="C3285" t="str">
        <f t="shared" si="104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3"/>
        <v>-12</v>
      </c>
    </row>
    <row r="3286" spans="1:8" x14ac:dyDescent="0.2">
      <c r="A3286" t="s">
        <v>7</v>
      </c>
      <c r="B3286" s="1" t="s">
        <v>20</v>
      </c>
      <c r="C3286" t="str">
        <f t="shared" si="104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3"/>
        <v>-12</v>
      </c>
    </row>
    <row r="3287" spans="1:8" x14ac:dyDescent="0.2">
      <c r="A3287" t="s">
        <v>7</v>
      </c>
      <c r="B3287" t="s">
        <v>20</v>
      </c>
      <c r="C3287" t="str">
        <f t="shared" si="104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3"/>
        <v>-13</v>
      </c>
    </row>
    <row r="3288" spans="1:8" x14ac:dyDescent="0.2">
      <c r="A3288" t="s">
        <v>7</v>
      </c>
      <c r="B3288" s="1" t="s">
        <v>20</v>
      </c>
      <c r="C3288" t="str">
        <f t="shared" si="104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3"/>
        <v>-14</v>
      </c>
    </row>
    <row r="3289" spans="1:8" x14ac:dyDescent="0.2">
      <c r="A3289" t="s">
        <v>7</v>
      </c>
      <c r="B3289" t="s">
        <v>20</v>
      </c>
      <c r="C3289" t="str">
        <f t="shared" si="104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3"/>
        <v>-14</v>
      </c>
    </row>
    <row r="3290" spans="1:8" x14ac:dyDescent="0.2">
      <c r="A3290" t="s">
        <v>7</v>
      </c>
      <c r="B3290" s="1" t="s">
        <v>20</v>
      </c>
      <c r="C3290" t="str">
        <f t="shared" si="104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3"/>
        <v>-14</v>
      </c>
    </row>
    <row r="3291" spans="1:8" x14ac:dyDescent="0.2">
      <c r="A3291" t="s">
        <v>7</v>
      </c>
      <c r="B3291" t="s">
        <v>20</v>
      </c>
      <c r="C3291" t="str">
        <f t="shared" si="104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3"/>
        <v>-15</v>
      </c>
    </row>
    <row r="3292" spans="1:8" x14ac:dyDescent="0.2">
      <c r="A3292" t="s">
        <v>7</v>
      </c>
      <c r="B3292" s="1" t="s">
        <v>20</v>
      </c>
      <c r="C3292" t="str">
        <f t="shared" si="104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3"/>
        <v>-15</v>
      </c>
    </row>
    <row r="3293" spans="1:8" x14ac:dyDescent="0.2">
      <c r="A3293" t="s">
        <v>7</v>
      </c>
      <c r="B3293" t="s">
        <v>20</v>
      </c>
      <c r="C3293" t="str">
        <f t="shared" si="104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3"/>
        <v>-15</v>
      </c>
    </row>
    <row r="3294" spans="1:8" x14ac:dyDescent="0.2">
      <c r="A3294" t="s">
        <v>7</v>
      </c>
      <c r="B3294" s="1" t="s">
        <v>20</v>
      </c>
      <c r="C3294" t="str">
        <f t="shared" si="104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3"/>
        <v>-15</v>
      </c>
    </row>
    <row r="3295" spans="1:8" x14ac:dyDescent="0.2">
      <c r="A3295" t="s">
        <v>7</v>
      </c>
      <c r="B3295" t="s">
        <v>20</v>
      </c>
      <c r="C3295" t="str">
        <f t="shared" si="104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3"/>
        <v>-15</v>
      </c>
    </row>
    <row r="3296" spans="1:8" x14ac:dyDescent="0.2">
      <c r="A3296" t="s">
        <v>7</v>
      </c>
      <c r="B3296" s="1" t="s">
        <v>20</v>
      </c>
      <c r="C3296" t="str">
        <f t="shared" si="104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3"/>
        <v>-16</v>
      </c>
    </row>
    <row r="3297" spans="1:8" x14ac:dyDescent="0.2">
      <c r="A3297" t="s">
        <v>7</v>
      </c>
      <c r="B3297" t="s">
        <v>20</v>
      </c>
      <c r="C3297" t="str">
        <f t="shared" si="104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3"/>
        <v>-16</v>
      </c>
    </row>
    <row r="3298" spans="1:8" x14ac:dyDescent="0.2">
      <c r="A3298" t="s">
        <v>7</v>
      </c>
      <c r="B3298" s="1" t="s">
        <v>20</v>
      </c>
      <c r="C3298" t="str">
        <f t="shared" si="104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3"/>
        <v>-17</v>
      </c>
    </row>
    <row r="3299" spans="1:8" x14ac:dyDescent="0.2">
      <c r="A3299" t="s">
        <v>7</v>
      </c>
      <c r="B3299" t="s">
        <v>20</v>
      </c>
      <c r="C3299" t="str">
        <f t="shared" si="104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3"/>
        <v>-17</v>
      </c>
    </row>
    <row r="3300" spans="1:8" x14ac:dyDescent="0.2">
      <c r="A3300" t="s">
        <v>7</v>
      </c>
      <c r="B3300" s="1" t="s">
        <v>20</v>
      </c>
      <c r="C3300" t="str">
        <f t="shared" si="104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3"/>
        <v>-17</v>
      </c>
    </row>
    <row r="3301" spans="1:8" x14ac:dyDescent="0.2">
      <c r="A3301" t="s">
        <v>7</v>
      </c>
      <c r="B3301" t="s">
        <v>20</v>
      </c>
      <c r="C3301" t="str">
        <f t="shared" si="104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3"/>
        <v>-17</v>
      </c>
    </row>
    <row r="3302" spans="1:8" x14ac:dyDescent="0.2">
      <c r="A3302" t="s">
        <v>7</v>
      </c>
      <c r="B3302" s="1" t="s">
        <v>20</v>
      </c>
      <c r="C3302" t="str">
        <f t="shared" si="104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3"/>
        <v>-17</v>
      </c>
    </row>
    <row r="3303" spans="1:8" x14ac:dyDescent="0.2">
      <c r="A3303" t="s">
        <v>7</v>
      </c>
      <c r="B3303" t="s">
        <v>20</v>
      </c>
      <c r="C3303" t="str">
        <f t="shared" si="104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3"/>
        <v>-18</v>
      </c>
    </row>
    <row r="3304" spans="1:8" x14ac:dyDescent="0.2">
      <c r="A3304" t="s">
        <v>7</v>
      </c>
      <c r="B3304" s="1" t="s">
        <v>20</v>
      </c>
      <c r="C3304" t="str">
        <f t="shared" si="104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3"/>
        <v>-18</v>
      </c>
    </row>
    <row r="3305" spans="1:8" x14ac:dyDescent="0.2">
      <c r="A3305" t="s">
        <v>7</v>
      </c>
      <c r="B3305" t="s">
        <v>20</v>
      </c>
      <c r="C3305" t="str">
        <f t="shared" si="104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3"/>
        <v>-18</v>
      </c>
    </row>
    <row r="3306" spans="1:8" x14ac:dyDescent="0.2">
      <c r="A3306" t="s">
        <v>7</v>
      </c>
      <c r="B3306" s="1" t="s">
        <v>20</v>
      </c>
      <c r="C3306" t="str">
        <f t="shared" si="104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3"/>
        <v>-19</v>
      </c>
    </row>
    <row r="3307" spans="1:8" x14ac:dyDescent="0.2">
      <c r="A3307" t="s">
        <v>7</v>
      </c>
      <c r="B3307" t="s">
        <v>20</v>
      </c>
      <c r="C3307" t="str">
        <f t="shared" si="104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3"/>
        <v>-19</v>
      </c>
    </row>
    <row r="3308" spans="1:8" x14ac:dyDescent="0.2">
      <c r="A3308" t="s">
        <v>7</v>
      </c>
      <c r="B3308" s="1" t="s">
        <v>20</v>
      </c>
      <c r="C3308" t="str">
        <f t="shared" si="104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3"/>
        <v>-19</v>
      </c>
    </row>
    <row r="3309" spans="1:8" x14ac:dyDescent="0.2">
      <c r="A3309" t="s">
        <v>7</v>
      </c>
      <c r="B3309" t="s">
        <v>20</v>
      </c>
      <c r="C3309" t="str">
        <f t="shared" si="104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3"/>
        <v>-19</v>
      </c>
    </row>
    <row r="3310" spans="1:8" x14ac:dyDescent="0.2">
      <c r="A3310" t="s">
        <v>7</v>
      </c>
      <c r="B3310" s="1" t="s">
        <v>20</v>
      </c>
      <c r="C3310" t="str">
        <f t="shared" si="104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3"/>
        <v>-19</v>
      </c>
    </row>
    <row r="3311" spans="1:8" x14ac:dyDescent="0.2">
      <c r="A3311" t="s">
        <v>7</v>
      </c>
      <c r="B3311" t="s">
        <v>20</v>
      </c>
      <c r="C3311" t="str">
        <f t="shared" si="104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3"/>
        <v>-20</v>
      </c>
    </row>
    <row r="3312" spans="1:8" x14ac:dyDescent="0.2">
      <c r="A3312" t="s">
        <v>18</v>
      </c>
      <c r="B3312" s="1" t="s">
        <v>20</v>
      </c>
      <c r="C3312" t="str">
        <f t="shared" si="104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3"/>
        <v>-20</v>
      </c>
    </row>
    <row r="3313" spans="1:8" x14ac:dyDescent="0.2">
      <c r="A3313" t="s">
        <v>18</v>
      </c>
      <c r="B3313" t="s">
        <v>20</v>
      </c>
      <c r="C3313" t="str">
        <f t="shared" si="104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3"/>
        <v>-20</v>
      </c>
    </row>
    <row r="3314" spans="1:8" x14ac:dyDescent="0.2">
      <c r="A3314" t="s">
        <v>18</v>
      </c>
      <c r="B3314" s="1" t="s">
        <v>20</v>
      </c>
      <c r="C3314" t="str">
        <f t="shared" si="104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3"/>
        <v>-20</v>
      </c>
    </row>
    <row r="3315" spans="1:8" x14ac:dyDescent="0.2">
      <c r="A3315" t="s">
        <v>18</v>
      </c>
      <c r="B3315" t="s">
        <v>20</v>
      </c>
      <c r="C3315" t="str">
        <f t="shared" si="104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3"/>
        <v>-20</v>
      </c>
    </row>
    <row r="3316" spans="1:8" x14ac:dyDescent="0.2">
      <c r="A3316" t="s">
        <v>7</v>
      </c>
      <c r="B3316" s="1" t="s">
        <v>20</v>
      </c>
      <c r="C3316" t="str">
        <f t="shared" si="104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3"/>
        <v>-20</v>
      </c>
    </row>
    <row r="3317" spans="1:8" x14ac:dyDescent="0.2">
      <c r="A3317" t="s">
        <v>18</v>
      </c>
      <c r="B3317" t="s">
        <v>20</v>
      </c>
      <c r="C3317" t="str">
        <f t="shared" si="104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3"/>
        <v>-20</v>
      </c>
    </row>
    <row r="3318" spans="1:8" x14ac:dyDescent="0.2">
      <c r="A3318" t="s">
        <v>18</v>
      </c>
      <c r="B3318" s="1" t="s">
        <v>20</v>
      </c>
      <c r="C3318" t="str">
        <f t="shared" si="104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3"/>
        <v>-20</v>
      </c>
    </row>
    <row r="3319" spans="1:8" x14ac:dyDescent="0.2">
      <c r="A3319" t="s">
        <v>19</v>
      </c>
      <c r="B3319" t="s">
        <v>20</v>
      </c>
      <c r="C3319" t="str">
        <f t="shared" si="104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3"/>
        <v>-20</v>
      </c>
    </row>
    <row r="3320" spans="1:8" x14ac:dyDescent="0.2">
      <c r="A3320" t="s">
        <v>18</v>
      </c>
      <c r="B3320" s="1" t="s">
        <v>20</v>
      </c>
      <c r="C3320" t="str">
        <f t="shared" si="104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si="103"/>
        <v>-20</v>
      </c>
    </row>
    <row r="3321" spans="1:8" x14ac:dyDescent="0.2">
      <c r="A3321" t="s">
        <v>18</v>
      </c>
      <c r="B3321" t="s">
        <v>20</v>
      </c>
      <c r="C3321" t="str">
        <f t="shared" si="104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3"/>
        <v>-20</v>
      </c>
    </row>
    <row r="3322" spans="1:8" x14ac:dyDescent="0.2">
      <c r="A3322" t="s">
        <v>7</v>
      </c>
      <c r="B3322" s="1" t="s">
        <v>20</v>
      </c>
      <c r="C3322" t="str">
        <f t="shared" si="104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3"/>
        <v>-20</v>
      </c>
    </row>
    <row r="3323" spans="1:8" x14ac:dyDescent="0.2">
      <c r="A3323" t="s">
        <v>18</v>
      </c>
      <c r="B3323" t="s">
        <v>20</v>
      </c>
      <c r="C3323" t="str">
        <f t="shared" si="104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3"/>
        <v>-20</v>
      </c>
    </row>
    <row r="3324" spans="1:8" x14ac:dyDescent="0.2">
      <c r="A3324" t="s">
        <v>18</v>
      </c>
      <c r="B3324" s="1" t="s">
        <v>20</v>
      </c>
      <c r="C3324" t="str">
        <f t="shared" si="104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3"/>
        <v>-20</v>
      </c>
    </row>
    <row r="3325" spans="1:8" x14ac:dyDescent="0.2">
      <c r="A3325" t="s">
        <v>18</v>
      </c>
      <c r="B3325" t="s">
        <v>20</v>
      </c>
      <c r="C3325" t="str">
        <f t="shared" si="104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3"/>
        <v>-20</v>
      </c>
    </row>
    <row r="3326" spans="1:8" x14ac:dyDescent="0.2">
      <c r="A3326" t="s">
        <v>19</v>
      </c>
      <c r="B3326" s="1" t="s">
        <v>20</v>
      </c>
      <c r="C3326" t="str">
        <f t="shared" si="104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3"/>
        <v>-20</v>
      </c>
    </row>
    <row r="3327" spans="1:8" x14ac:dyDescent="0.2">
      <c r="A3327" t="s">
        <v>19</v>
      </c>
      <c r="B3327" t="s">
        <v>20</v>
      </c>
      <c r="C3327" t="str">
        <f t="shared" si="104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3"/>
        <v>-20</v>
      </c>
    </row>
    <row r="3328" spans="1:8" x14ac:dyDescent="0.2">
      <c r="A3328" t="s">
        <v>19</v>
      </c>
      <c r="B3328" s="1" t="s">
        <v>20</v>
      </c>
      <c r="C3328" t="str">
        <f t="shared" si="104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3"/>
        <v>-20</v>
      </c>
    </row>
    <row r="3329" spans="1:8" x14ac:dyDescent="0.2">
      <c r="A3329" t="s">
        <v>19</v>
      </c>
      <c r="B3329" t="s">
        <v>20</v>
      </c>
      <c r="C3329" t="str">
        <f t="shared" si="104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3"/>
        <v>-20</v>
      </c>
    </row>
    <row r="3330" spans="1:8" x14ac:dyDescent="0.2">
      <c r="A3330" t="s">
        <v>7</v>
      </c>
      <c r="B3330" s="1" t="s">
        <v>20</v>
      </c>
      <c r="C3330" t="str">
        <f t="shared" si="104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3"/>
        <v>-20</v>
      </c>
    </row>
    <row r="3331" spans="1:8" x14ac:dyDescent="0.2">
      <c r="A3331" t="s">
        <v>18</v>
      </c>
      <c r="B3331" t="s">
        <v>20</v>
      </c>
      <c r="C3331" t="str">
        <f t="shared" si="104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ref="H3331:H3394" si="105">F3331-G3331</f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06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5"/>
        <v>-20</v>
      </c>
    </row>
    <row r="3333" spans="1:8" x14ac:dyDescent="0.2">
      <c r="A3333" t="s">
        <v>18</v>
      </c>
      <c r="B3333" t="s">
        <v>20</v>
      </c>
      <c r="C3333" t="str">
        <f t="shared" si="106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5"/>
        <v>-20</v>
      </c>
    </row>
    <row r="3334" spans="1:8" x14ac:dyDescent="0.2">
      <c r="A3334" t="s">
        <v>7</v>
      </c>
      <c r="B3334" s="1" t="s">
        <v>20</v>
      </c>
      <c r="C3334" t="str">
        <f t="shared" si="106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5"/>
        <v>-20</v>
      </c>
    </row>
    <row r="3335" spans="1:8" x14ac:dyDescent="0.2">
      <c r="A3335" t="s">
        <v>19</v>
      </c>
      <c r="B3335" t="s">
        <v>20</v>
      </c>
      <c r="C3335" t="str">
        <f t="shared" si="106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5"/>
        <v>-20</v>
      </c>
    </row>
    <row r="3336" spans="1:8" x14ac:dyDescent="0.2">
      <c r="A3336" t="s">
        <v>19</v>
      </c>
      <c r="B3336" s="1" t="s">
        <v>20</v>
      </c>
      <c r="C3336" t="str">
        <f t="shared" si="106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5"/>
        <v>-20</v>
      </c>
    </row>
    <row r="3337" spans="1:8" x14ac:dyDescent="0.2">
      <c r="A3337" t="s">
        <v>18</v>
      </c>
      <c r="B3337" t="s">
        <v>20</v>
      </c>
      <c r="C3337" t="str">
        <f t="shared" si="106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5"/>
        <v>-20</v>
      </c>
    </row>
    <row r="3338" spans="1:8" x14ac:dyDescent="0.2">
      <c r="A3338" t="s">
        <v>18</v>
      </c>
      <c r="B3338" s="1" t="s">
        <v>20</v>
      </c>
      <c r="C3338" t="str">
        <f t="shared" si="106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5"/>
        <v>0</v>
      </c>
    </row>
    <row r="3339" spans="1:8" x14ac:dyDescent="0.2">
      <c r="A3339" t="s">
        <v>7</v>
      </c>
      <c r="B3339" t="s">
        <v>20</v>
      </c>
      <c r="C3339" t="str">
        <f t="shared" si="106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5"/>
        <v>-20</v>
      </c>
    </row>
    <row r="3340" spans="1:8" x14ac:dyDescent="0.2">
      <c r="A3340" t="s">
        <v>18</v>
      </c>
      <c r="B3340" s="1" t="s">
        <v>20</v>
      </c>
      <c r="C3340" t="str">
        <f t="shared" si="106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5"/>
        <v>-20</v>
      </c>
    </row>
    <row r="3341" spans="1:8" x14ac:dyDescent="0.2">
      <c r="A3341" t="s">
        <v>18</v>
      </c>
      <c r="B3341" t="s">
        <v>20</v>
      </c>
      <c r="C3341" t="str">
        <f t="shared" si="106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5"/>
        <v>-20</v>
      </c>
    </row>
    <row r="3342" spans="1:8" x14ac:dyDescent="0.2">
      <c r="A3342" t="s">
        <v>7</v>
      </c>
      <c r="B3342" s="1" t="s">
        <v>20</v>
      </c>
      <c r="C3342" t="str">
        <f t="shared" si="106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5"/>
        <v>-20</v>
      </c>
    </row>
    <row r="3343" spans="1:8" x14ac:dyDescent="0.2">
      <c r="A3343" t="s">
        <v>19</v>
      </c>
      <c r="B3343" t="s">
        <v>20</v>
      </c>
      <c r="C3343" t="str">
        <f t="shared" si="106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5"/>
        <v>-20</v>
      </c>
    </row>
    <row r="3344" spans="1:8" x14ac:dyDescent="0.2">
      <c r="A3344" t="s">
        <v>19</v>
      </c>
      <c r="B3344" s="1" t="s">
        <v>20</v>
      </c>
      <c r="C3344" t="str">
        <f t="shared" si="106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5"/>
        <v>-20</v>
      </c>
    </row>
    <row r="3345" spans="1:8" x14ac:dyDescent="0.2">
      <c r="A3345" t="s">
        <v>18</v>
      </c>
      <c r="B3345" t="s">
        <v>20</v>
      </c>
      <c r="C3345" t="str">
        <f t="shared" si="106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5"/>
        <v>-20</v>
      </c>
    </row>
    <row r="3346" spans="1:8" x14ac:dyDescent="0.2">
      <c r="A3346" t="s">
        <v>18</v>
      </c>
      <c r="B3346" s="1" t="s">
        <v>20</v>
      </c>
      <c r="C3346" t="str">
        <f t="shared" si="106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5"/>
        <v>-20</v>
      </c>
    </row>
    <row r="3347" spans="1:8" x14ac:dyDescent="0.2">
      <c r="A3347" t="s">
        <v>7</v>
      </c>
      <c r="B3347" s="1" t="s">
        <v>20</v>
      </c>
      <c r="C3347" t="str">
        <f t="shared" si="106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 t="shared" si="105"/>
        <v>9</v>
      </c>
    </row>
    <row r="3348" spans="1:8" x14ac:dyDescent="0.2">
      <c r="A3348" t="s">
        <v>7</v>
      </c>
      <c r="B3348" t="s">
        <v>20</v>
      </c>
      <c r="C3348" t="str">
        <f t="shared" si="106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si="105"/>
        <v>9</v>
      </c>
    </row>
    <row r="3349" spans="1:8" x14ac:dyDescent="0.2">
      <c r="A3349" t="s">
        <v>7</v>
      </c>
      <c r="B3349" s="1" t="s">
        <v>20</v>
      </c>
      <c r="C3349" t="str">
        <f t="shared" si="106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05"/>
        <v>8</v>
      </c>
    </row>
    <row r="3350" spans="1:8" x14ac:dyDescent="0.2">
      <c r="A3350" t="s">
        <v>7</v>
      </c>
      <c r="B3350" t="s">
        <v>20</v>
      </c>
      <c r="C3350" t="str">
        <f t="shared" si="106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05"/>
        <v>8</v>
      </c>
    </row>
    <row r="3351" spans="1:8" x14ac:dyDescent="0.2">
      <c r="A3351" t="s">
        <v>7</v>
      </c>
      <c r="B3351" s="1" t="s">
        <v>20</v>
      </c>
      <c r="C3351" t="str">
        <f t="shared" si="106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05"/>
        <v>8</v>
      </c>
    </row>
    <row r="3352" spans="1:8" x14ac:dyDescent="0.2">
      <c r="A3352" t="s">
        <v>7</v>
      </c>
      <c r="B3352" t="s">
        <v>20</v>
      </c>
      <c r="C3352" t="str">
        <f t="shared" si="106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05"/>
        <v>7</v>
      </c>
    </row>
    <row r="3353" spans="1:8" x14ac:dyDescent="0.2">
      <c r="A3353" t="s">
        <v>7</v>
      </c>
      <c r="B3353" s="1" t="s">
        <v>20</v>
      </c>
      <c r="C3353" t="str">
        <f t="shared" si="106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05"/>
        <v>7</v>
      </c>
    </row>
    <row r="3354" spans="1:8" x14ac:dyDescent="0.2">
      <c r="A3354" t="s">
        <v>7</v>
      </c>
      <c r="B3354" t="s">
        <v>20</v>
      </c>
      <c r="C3354" t="str">
        <f t="shared" si="106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05"/>
        <v>7</v>
      </c>
    </row>
    <row r="3355" spans="1:8" x14ac:dyDescent="0.2">
      <c r="A3355" t="s">
        <v>7</v>
      </c>
      <c r="B3355" s="1" t="s">
        <v>20</v>
      </c>
      <c r="C3355" t="str">
        <f t="shared" si="106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05"/>
        <v>7</v>
      </c>
    </row>
    <row r="3356" spans="1:8" x14ac:dyDescent="0.2">
      <c r="A3356" t="s">
        <v>7</v>
      </c>
      <c r="B3356" t="s">
        <v>20</v>
      </c>
      <c r="C3356" t="str">
        <f t="shared" si="106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05"/>
        <v>7</v>
      </c>
    </row>
    <row r="3357" spans="1:8" x14ac:dyDescent="0.2">
      <c r="A3357" t="s">
        <v>7</v>
      </c>
      <c r="B3357" s="1" t="s">
        <v>20</v>
      </c>
      <c r="C3357" t="str">
        <f t="shared" si="106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05"/>
        <v>7</v>
      </c>
    </row>
    <row r="3358" spans="1:8" x14ac:dyDescent="0.2">
      <c r="A3358" t="s">
        <v>7</v>
      </c>
      <c r="B3358" t="s">
        <v>20</v>
      </c>
      <c r="C3358" t="str">
        <f t="shared" si="106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05"/>
        <v>7</v>
      </c>
    </row>
    <row r="3359" spans="1:8" x14ac:dyDescent="0.2">
      <c r="A3359" t="s">
        <v>7</v>
      </c>
      <c r="B3359" s="1" t="s">
        <v>20</v>
      </c>
      <c r="C3359" t="str">
        <f t="shared" si="106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05"/>
        <v>6</v>
      </c>
    </row>
    <row r="3360" spans="1:8" x14ac:dyDescent="0.2">
      <c r="A3360" t="s">
        <v>7</v>
      </c>
      <c r="B3360" t="s">
        <v>20</v>
      </c>
      <c r="C3360" t="str">
        <f t="shared" si="106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05"/>
        <v>6</v>
      </c>
    </row>
    <row r="3361" spans="1:8" x14ac:dyDescent="0.2">
      <c r="A3361" t="s">
        <v>7</v>
      </c>
      <c r="B3361" s="1" t="s">
        <v>20</v>
      </c>
      <c r="C3361" t="str">
        <f t="shared" si="106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05"/>
        <v>6</v>
      </c>
    </row>
    <row r="3362" spans="1:8" x14ac:dyDescent="0.2">
      <c r="A3362" t="s">
        <v>7</v>
      </c>
      <c r="B3362" t="s">
        <v>20</v>
      </c>
      <c r="C3362" t="str">
        <f t="shared" si="106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05"/>
        <v>6</v>
      </c>
    </row>
    <row r="3363" spans="1:8" x14ac:dyDescent="0.2">
      <c r="A3363" t="s">
        <v>7</v>
      </c>
      <c r="B3363" s="1" t="s">
        <v>20</v>
      </c>
      <c r="C3363" t="str">
        <f t="shared" si="106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05"/>
        <v>6</v>
      </c>
    </row>
    <row r="3364" spans="1:8" x14ac:dyDescent="0.2">
      <c r="A3364" t="s">
        <v>7</v>
      </c>
      <c r="B3364" t="s">
        <v>20</v>
      </c>
      <c r="C3364" t="str">
        <f t="shared" si="106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05"/>
        <v>6</v>
      </c>
    </row>
    <row r="3365" spans="1:8" x14ac:dyDescent="0.2">
      <c r="A3365" t="s">
        <v>7</v>
      </c>
      <c r="B3365" s="1" t="s">
        <v>20</v>
      </c>
      <c r="C3365" t="str">
        <f t="shared" si="106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05"/>
        <v>6</v>
      </c>
    </row>
    <row r="3366" spans="1:8" x14ac:dyDescent="0.2">
      <c r="A3366" t="s">
        <v>7</v>
      </c>
      <c r="B3366" t="s">
        <v>20</v>
      </c>
      <c r="C3366" t="str">
        <f t="shared" si="106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05"/>
        <v>6</v>
      </c>
    </row>
    <row r="3367" spans="1:8" x14ac:dyDescent="0.2">
      <c r="A3367" t="s">
        <v>7</v>
      </c>
      <c r="B3367" s="1" t="s">
        <v>20</v>
      </c>
      <c r="C3367" t="str">
        <f t="shared" si="106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05"/>
        <v>6</v>
      </c>
    </row>
    <row r="3368" spans="1:8" x14ac:dyDescent="0.2">
      <c r="A3368" t="s">
        <v>7</v>
      </c>
      <c r="B3368" t="s">
        <v>20</v>
      </c>
      <c r="C3368" t="str">
        <f t="shared" si="106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05"/>
        <v>6</v>
      </c>
    </row>
    <row r="3369" spans="1:8" x14ac:dyDescent="0.2">
      <c r="A3369" t="s">
        <v>7</v>
      </c>
      <c r="B3369" s="1" t="s">
        <v>20</v>
      </c>
      <c r="C3369" t="str">
        <f t="shared" si="106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05"/>
        <v>5</v>
      </c>
    </row>
    <row r="3370" spans="1:8" x14ac:dyDescent="0.2">
      <c r="A3370" t="s">
        <v>7</v>
      </c>
      <c r="B3370" t="s">
        <v>20</v>
      </c>
      <c r="C3370" t="str">
        <f t="shared" si="106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05"/>
        <v>5</v>
      </c>
    </row>
    <row r="3371" spans="1:8" x14ac:dyDescent="0.2">
      <c r="A3371" t="s">
        <v>7</v>
      </c>
      <c r="B3371" s="1" t="s">
        <v>20</v>
      </c>
      <c r="C3371" t="str">
        <f t="shared" si="106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05"/>
        <v>5</v>
      </c>
    </row>
    <row r="3372" spans="1:8" x14ac:dyDescent="0.2">
      <c r="A3372" t="s">
        <v>7</v>
      </c>
      <c r="B3372" t="s">
        <v>20</v>
      </c>
      <c r="C3372" t="str">
        <f t="shared" si="106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05"/>
        <v>5</v>
      </c>
    </row>
    <row r="3373" spans="1:8" x14ac:dyDescent="0.2">
      <c r="A3373" t="s">
        <v>7</v>
      </c>
      <c r="B3373" s="1" t="s">
        <v>20</v>
      </c>
      <c r="C3373" t="str">
        <f t="shared" si="106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05"/>
        <v>5</v>
      </c>
    </row>
    <row r="3374" spans="1:8" x14ac:dyDescent="0.2">
      <c r="A3374" t="s">
        <v>7</v>
      </c>
      <c r="B3374" t="s">
        <v>20</v>
      </c>
      <c r="C3374" t="str">
        <f t="shared" si="106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05"/>
        <v>5</v>
      </c>
    </row>
    <row r="3375" spans="1:8" x14ac:dyDescent="0.2">
      <c r="A3375" t="s">
        <v>7</v>
      </c>
      <c r="B3375" s="1" t="s">
        <v>20</v>
      </c>
      <c r="C3375" t="str">
        <f t="shared" si="106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05"/>
        <v>5</v>
      </c>
    </row>
    <row r="3376" spans="1:8" x14ac:dyDescent="0.2">
      <c r="A3376" t="s">
        <v>7</v>
      </c>
      <c r="B3376" t="s">
        <v>20</v>
      </c>
      <c r="C3376" t="str">
        <f t="shared" si="106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05"/>
        <v>5</v>
      </c>
    </row>
    <row r="3377" spans="1:8" x14ac:dyDescent="0.2">
      <c r="A3377" t="s">
        <v>7</v>
      </c>
      <c r="B3377" s="1" t="s">
        <v>20</v>
      </c>
      <c r="C3377" t="str">
        <f t="shared" si="106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05"/>
        <v>5</v>
      </c>
    </row>
    <row r="3378" spans="1:8" x14ac:dyDescent="0.2">
      <c r="A3378" t="s">
        <v>7</v>
      </c>
      <c r="B3378" t="s">
        <v>20</v>
      </c>
      <c r="C3378" t="str">
        <f t="shared" si="106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05"/>
        <v>5</v>
      </c>
    </row>
    <row r="3379" spans="1:8" x14ac:dyDescent="0.2">
      <c r="A3379" t="s">
        <v>7</v>
      </c>
      <c r="B3379" s="1" t="s">
        <v>20</v>
      </c>
      <c r="C3379" t="str">
        <f t="shared" si="106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05"/>
        <v>5</v>
      </c>
    </row>
    <row r="3380" spans="1:8" x14ac:dyDescent="0.2">
      <c r="A3380" t="s">
        <v>7</v>
      </c>
      <c r="B3380" t="s">
        <v>20</v>
      </c>
      <c r="C3380" t="str">
        <f t="shared" si="106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05"/>
        <v>4</v>
      </c>
    </row>
    <row r="3381" spans="1:8" x14ac:dyDescent="0.2">
      <c r="A3381" t="s">
        <v>7</v>
      </c>
      <c r="B3381" s="1" t="s">
        <v>20</v>
      </c>
      <c r="C3381" t="str">
        <f t="shared" si="106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05"/>
        <v>4</v>
      </c>
    </row>
    <row r="3382" spans="1:8" x14ac:dyDescent="0.2">
      <c r="A3382" t="s">
        <v>7</v>
      </c>
      <c r="B3382" t="s">
        <v>20</v>
      </c>
      <c r="C3382" t="str">
        <f t="shared" si="106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05"/>
        <v>4</v>
      </c>
    </row>
    <row r="3383" spans="1:8" x14ac:dyDescent="0.2">
      <c r="A3383" t="s">
        <v>7</v>
      </c>
      <c r="B3383" s="1" t="s">
        <v>20</v>
      </c>
      <c r="C3383" t="str">
        <f t="shared" si="106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05"/>
        <v>4</v>
      </c>
    </row>
    <row r="3384" spans="1:8" x14ac:dyDescent="0.2">
      <c r="A3384" t="s">
        <v>7</v>
      </c>
      <c r="B3384" t="s">
        <v>20</v>
      </c>
      <c r="C3384" t="str">
        <f t="shared" si="106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05"/>
        <v>4</v>
      </c>
    </row>
    <row r="3385" spans="1:8" x14ac:dyDescent="0.2">
      <c r="A3385" t="s">
        <v>7</v>
      </c>
      <c r="B3385" s="1" t="s">
        <v>20</v>
      </c>
      <c r="C3385" t="str">
        <f t="shared" si="106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05"/>
        <v>4</v>
      </c>
    </row>
    <row r="3386" spans="1:8" x14ac:dyDescent="0.2">
      <c r="A3386" t="s">
        <v>7</v>
      </c>
      <c r="B3386" t="s">
        <v>20</v>
      </c>
      <c r="C3386" t="str">
        <f t="shared" si="106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05"/>
        <v>4</v>
      </c>
    </row>
    <row r="3387" spans="1:8" x14ac:dyDescent="0.2">
      <c r="A3387" t="s">
        <v>7</v>
      </c>
      <c r="B3387" s="1" t="s">
        <v>20</v>
      </c>
      <c r="C3387" t="str">
        <f t="shared" si="106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05"/>
        <v>4</v>
      </c>
    </row>
    <row r="3388" spans="1:8" x14ac:dyDescent="0.2">
      <c r="A3388" t="s">
        <v>7</v>
      </c>
      <c r="B3388" t="s">
        <v>20</v>
      </c>
      <c r="C3388" t="str">
        <f t="shared" si="106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05"/>
        <v>4</v>
      </c>
    </row>
    <row r="3389" spans="1:8" x14ac:dyDescent="0.2">
      <c r="A3389" t="s">
        <v>7</v>
      </c>
      <c r="B3389" s="1" t="s">
        <v>20</v>
      </c>
      <c r="C3389" t="str">
        <f t="shared" si="106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05"/>
        <v>4</v>
      </c>
    </row>
    <row r="3390" spans="1:8" x14ac:dyDescent="0.2">
      <c r="A3390" t="s">
        <v>7</v>
      </c>
      <c r="B3390" t="s">
        <v>20</v>
      </c>
      <c r="C3390" t="str">
        <f t="shared" si="106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05"/>
        <v>4</v>
      </c>
    </row>
    <row r="3391" spans="1:8" x14ac:dyDescent="0.2">
      <c r="A3391" t="s">
        <v>7</v>
      </c>
      <c r="B3391" s="1" t="s">
        <v>20</v>
      </c>
      <c r="C3391" t="str">
        <f t="shared" si="106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05"/>
        <v>4</v>
      </c>
    </row>
    <row r="3392" spans="1:8" x14ac:dyDescent="0.2">
      <c r="A3392" t="s">
        <v>7</v>
      </c>
      <c r="B3392" t="s">
        <v>20</v>
      </c>
      <c r="C3392" t="str">
        <f t="shared" si="106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05"/>
        <v>4</v>
      </c>
    </row>
    <row r="3393" spans="1:8" x14ac:dyDescent="0.2">
      <c r="A3393" t="s">
        <v>7</v>
      </c>
      <c r="B3393" s="1" t="s">
        <v>20</v>
      </c>
      <c r="C3393" t="str">
        <f t="shared" si="106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05"/>
        <v>4</v>
      </c>
    </row>
    <row r="3394" spans="1:8" x14ac:dyDescent="0.2">
      <c r="A3394" t="s">
        <v>7</v>
      </c>
      <c r="B3394" t="s">
        <v>20</v>
      </c>
      <c r="C3394" t="str">
        <f t="shared" si="106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05"/>
        <v>4</v>
      </c>
    </row>
    <row r="3395" spans="1:8" x14ac:dyDescent="0.2">
      <c r="A3395" t="s">
        <v>7</v>
      </c>
      <c r="B3395" s="1" t="s">
        <v>20</v>
      </c>
      <c r="C3395" t="str">
        <f t="shared" si="106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ref="H3395:H3458" si="107">F3395-G3395</f>
        <v>4</v>
      </c>
    </row>
    <row r="3396" spans="1:8" x14ac:dyDescent="0.2">
      <c r="A3396" t="s">
        <v>7</v>
      </c>
      <c r="B3396" t="s">
        <v>20</v>
      </c>
      <c r="C3396" t="str">
        <f t="shared" ref="C3396:C3459" si="108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07"/>
        <v>4</v>
      </c>
    </row>
    <row r="3397" spans="1:8" x14ac:dyDescent="0.2">
      <c r="A3397" t="s">
        <v>7</v>
      </c>
      <c r="B3397" s="1" t="s">
        <v>20</v>
      </c>
      <c r="C3397" t="str">
        <f t="shared" si="108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07"/>
        <v>3</v>
      </c>
    </row>
    <row r="3398" spans="1:8" x14ac:dyDescent="0.2">
      <c r="A3398" t="s">
        <v>7</v>
      </c>
      <c r="B3398" t="s">
        <v>20</v>
      </c>
      <c r="C3398" t="str">
        <f t="shared" si="108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07"/>
        <v>3</v>
      </c>
    </row>
    <row r="3399" spans="1:8" x14ac:dyDescent="0.2">
      <c r="A3399" t="s">
        <v>7</v>
      </c>
      <c r="B3399" s="1" t="s">
        <v>20</v>
      </c>
      <c r="C3399" t="str">
        <f t="shared" si="108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07"/>
        <v>3</v>
      </c>
    </row>
    <row r="3400" spans="1:8" x14ac:dyDescent="0.2">
      <c r="A3400" t="s">
        <v>7</v>
      </c>
      <c r="B3400" t="s">
        <v>20</v>
      </c>
      <c r="C3400" t="str">
        <f t="shared" si="108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07"/>
        <v>3</v>
      </c>
    </row>
    <row r="3401" spans="1:8" x14ac:dyDescent="0.2">
      <c r="A3401" t="s">
        <v>7</v>
      </c>
      <c r="B3401" s="1" t="s">
        <v>20</v>
      </c>
      <c r="C3401" t="str">
        <f t="shared" si="108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07"/>
        <v>3</v>
      </c>
    </row>
    <row r="3402" spans="1:8" x14ac:dyDescent="0.2">
      <c r="A3402" t="s">
        <v>7</v>
      </c>
      <c r="B3402" t="s">
        <v>20</v>
      </c>
      <c r="C3402" t="str">
        <f t="shared" si="108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07"/>
        <v>3</v>
      </c>
    </row>
    <row r="3403" spans="1:8" x14ac:dyDescent="0.2">
      <c r="A3403" t="s">
        <v>7</v>
      </c>
      <c r="B3403" s="1" t="s">
        <v>20</v>
      </c>
      <c r="C3403" t="str">
        <f t="shared" si="108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07"/>
        <v>3</v>
      </c>
    </row>
    <row r="3404" spans="1:8" x14ac:dyDescent="0.2">
      <c r="A3404" t="s">
        <v>7</v>
      </c>
      <c r="B3404" t="s">
        <v>20</v>
      </c>
      <c r="C3404" t="str">
        <f t="shared" si="108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07"/>
        <v>3</v>
      </c>
    </row>
    <row r="3405" spans="1:8" x14ac:dyDescent="0.2">
      <c r="A3405" t="s">
        <v>7</v>
      </c>
      <c r="B3405" s="1" t="s">
        <v>20</v>
      </c>
      <c r="C3405" t="str">
        <f t="shared" si="108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07"/>
        <v>3</v>
      </c>
    </row>
    <row r="3406" spans="1:8" x14ac:dyDescent="0.2">
      <c r="A3406" t="s">
        <v>7</v>
      </c>
      <c r="B3406" t="s">
        <v>20</v>
      </c>
      <c r="C3406" t="str">
        <f t="shared" si="108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07"/>
        <v>3</v>
      </c>
    </row>
    <row r="3407" spans="1:8" x14ac:dyDescent="0.2">
      <c r="A3407" t="s">
        <v>7</v>
      </c>
      <c r="B3407" s="1" t="s">
        <v>20</v>
      </c>
      <c r="C3407" t="str">
        <f t="shared" si="108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07"/>
        <v>3</v>
      </c>
    </row>
    <row r="3408" spans="1:8" x14ac:dyDescent="0.2">
      <c r="A3408" t="s">
        <v>7</v>
      </c>
      <c r="B3408" t="s">
        <v>20</v>
      </c>
      <c r="C3408" t="str">
        <f t="shared" si="108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07"/>
        <v>3</v>
      </c>
    </row>
    <row r="3409" spans="1:8" x14ac:dyDescent="0.2">
      <c r="A3409" t="s">
        <v>7</v>
      </c>
      <c r="B3409" s="1" t="s">
        <v>20</v>
      </c>
      <c r="C3409" t="str">
        <f t="shared" si="108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07"/>
        <v>3</v>
      </c>
    </row>
    <row r="3410" spans="1:8" x14ac:dyDescent="0.2">
      <c r="A3410" t="s">
        <v>7</v>
      </c>
      <c r="B3410" t="s">
        <v>20</v>
      </c>
      <c r="C3410" t="str">
        <f t="shared" si="108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07"/>
        <v>3</v>
      </c>
    </row>
    <row r="3411" spans="1:8" x14ac:dyDescent="0.2">
      <c r="A3411" t="s">
        <v>7</v>
      </c>
      <c r="B3411" s="1" t="s">
        <v>20</v>
      </c>
      <c r="C3411" t="str">
        <f t="shared" si="108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07"/>
        <v>2</v>
      </c>
    </row>
    <row r="3412" spans="1:8" x14ac:dyDescent="0.2">
      <c r="A3412" t="s">
        <v>7</v>
      </c>
      <c r="B3412" t="s">
        <v>20</v>
      </c>
      <c r="C3412" t="str">
        <f t="shared" si="108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si="107"/>
        <v>2</v>
      </c>
    </row>
    <row r="3413" spans="1:8" x14ac:dyDescent="0.2">
      <c r="A3413" t="s">
        <v>7</v>
      </c>
      <c r="B3413" s="1" t="s">
        <v>20</v>
      </c>
      <c r="C3413" t="str">
        <f t="shared" si="108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07"/>
        <v>2</v>
      </c>
    </row>
    <row r="3414" spans="1:8" x14ac:dyDescent="0.2">
      <c r="A3414" t="s">
        <v>7</v>
      </c>
      <c r="B3414" t="s">
        <v>20</v>
      </c>
      <c r="C3414" t="str">
        <f t="shared" si="108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07"/>
        <v>2</v>
      </c>
    </row>
    <row r="3415" spans="1:8" x14ac:dyDescent="0.2">
      <c r="A3415" t="s">
        <v>7</v>
      </c>
      <c r="B3415" s="1" t="s">
        <v>20</v>
      </c>
      <c r="C3415" t="str">
        <f t="shared" si="108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07"/>
        <v>2</v>
      </c>
    </row>
    <row r="3416" spans="1:8" x14ac:dyDescent="0.2">
      <c r="A3416" t="s">
        <v>7</v>
      </c>
      <c r="B3416" t="s">
        <v>20</v>
      </c>
      <c r="C3416" t="str">
        <f t="shared" si="108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07"/>
        <v>2</v>
      </c>
    </row>
    <row r="3417" spans="1:8" x14ac:dyDescent="0.2">
      <c r="A3417" t="s">
        <v>7</v>
      </c>
      <c r="B3417" s="1" t="s">
        <v>20</v>
      </c>
      <c r="C3417" t="str">
        <f t="shared" si="108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07"/>
        <v>2</v>
      </c>
    </row>
    <row r="3418" spans="1:8" x14ac:dyDescent="0.2">
      <c r="A3418" t="s">
        <v>7</v>
      </c>
      <c r="B3418" t="s">
        <v>20</v>
      </c>
      <c r="C3418" t="str">
        <f t="shared" si="108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07"/>
        <v>2</v>
      </c>
    </row>
    <row r="3419" spans="1:8" x14ac:dyDescent="0.2">
      <c r="A3419" t="s">
        <v>7</v>
      </c>
      <c r="B3419" s="1" t="s">
        <v>20</v>
      </c>
      <c r="C3419" t="str">
        <f t="shared" si="108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07"/>
        <v>2</v>
      </c>
    </row>
    <row r="3420" spans="1:8" x14ac:dyDescent="0.2">
      <c r="A3420" t="s">
        <v>7</v>
      </c>
      <c r="B3420" t="s">
        <v>20</v>
      </c>
      <c r="C3420" t="str">
        <f t="shared" si="108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07"/>
        <v>2</v>
      </c>
    </row>
    <row r="3421" spans="1:8" x14ac:dyDescent="0.2">
      <c r="A3421" t="s">
        <v>7</v>
      </c>
      <c r="B3421" s="1" t="s">
        <v>20</v>
      </c>
      <c r="C3421" t="str">
        <f t="shared" si="108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07"/>
        <v>2</v>
      </c>
    </row>
    <row r="3422" spans="1:8" x14ac:dyDescent="0.2">
      <c r="A3422" t="s">
        <v>7</v>
      </c>
      <c r="B3422" t="s">
        <v>20</v>
      </c>
      <c r="C3422" t="str">
        <f t="shared" si="108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07"/>
        <v>2</v>
      </c>
    </row>
    <row r="3423" spans="1:8" x14ac:dyDescent="0.2">
      <c r="A3423" t="s">
        <v>7</v>
      </c>
      <c r="B3423" s="1" t="s">
        <v>20</v>
      </c>
      <c r="C3423" t="str">
        <f t="shared" si="108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07"/>
        <v>2</v>
      </c>
    </row>
    <row r="3424" spans="1:8" x14ac:dyDescent="0.2">
      <c r="A3424" t="s">
        <v>7</v>
      </c>
      <c r="B3424" t="s">
        <v>20</v>
      </c>
      <c r="C3424" t="str">
        <f t="shared" si="108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07"/>
        <v>2</v>
      </c>
    </row>
    <row r="3425" spans="1:8" x14ac:dyDescent="0.2">
      <c r="A3425" t="s">
        <v>7</v>
      </c>
      <c r="B3425" s="1" t="s">
        <v>20</v>
      </c>
      <c r="C3425" t="str">
        <f t="shared" si="108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07"/>
        <v>2</v>
      </c>
    </row>
    <row r="3426" spans="1:8" x14ac:dyDescent="0.2">
      <c r="A3426" t="s">
        <v>7</v>
      </c>
      <c r="B3426" t="s">
        <v>20</v>
      </c>
      <c r="C3426" t="str">
        <f t="shared" si="108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07"/>
        <v>2</v>
      </c>
    </row>
    <row r="3427" spans="1:8" x14ac:dyDescent="0.2">
      <c r="A3427" t="s">
        <v>7</v>
      </c>
      <c r="B3427" s="1" t="s">
        <v>20</v>
      </c>
      <c r="C3427" t="str">
        <f t="shared" si="108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07"/>
        <v>2</v>
      </c>
    </row>
    <row r="3428" spans="1:8" x14ac:dyDescent="0.2">
      <c r="A3428" t="s">
        <v>7</v>
      </c>
      <c r="B3428" t="s">
        <v>20</v>
      </c>
      <c r="C3428" t="str">
        <f t="shared" si="108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07"/>
        <v>2</v>
      </c>
    </row>
    <row r="3429" spans="1:8" x14ac:dyDescent="0.2">
      <c r="A3429" t="s">
        <v>7</v>
      </c>
      <c r="B3429" s="1" t="s">
        <v>20</v>
      </c>
      <c r="C3429" t="str">
        <f t="shared" si="108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07"/>
        <v>2</v>
      </c>
    </row>
    <row r="3430" spans="1:8" x14ac:dyDescent="0.2">
      <c r="A3430" t="s">
        <v>7</v>
      </c>
      <c r="B3430" t="s">
        <v>20</v>
      </c>
      <c r="C3430" t="str">
        <f t="shared" si="108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07"/>
        <v>2</v>
      </c>
    </row>
    <row r="3431" spans="1:8" x14ac:dyDescent="0.2">
      <c r="A3431" t="s">
        <v>7</v>
      </c>
      <c r="B3431" s="1" t="s">
        <v>20</v>
      </c>
      <c r="C3431" t="str">
        <f t="shared" si="108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07"/>
        <v>2</v>
      </c>
    </row>
    <row r="3432" spans="1:8" x14ac:dyDescent="0.2">
      <c r="A3432" t="s">
        <v>7</v>
      </c>
      <c r="B3432" t="s">
        <v>20</v>
      </c>
      <c r="C3432" t="str">
        <f t="shared" si="108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07"/>
        <v>2</v>
      </c>
    </row>
    <row r="3433" spans="1:8" x14ac:dyDescent="0.2">
      <c r="A3433" t="s">
        <v>7</v>
      </c>
      <c r="B3433" s="1" t="s">
        <v>20</v>
      </c>
      <c r="C3433" t="str">
        <f t="shared" si="108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07"/>
        <v>2</v>
      </c>
    </row>
    <row r="3434" spans="1:8" x14ac:dyDescent="0.2">
      <c r="A3434" t="s">
        <v>7</v>
      </c>
      <c r="B3434" t="s">
        <v>20</v>
      </c>
      <c r="C3434" t="str">
        <f t="shared" si="108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07"/>
        <v>2</v>
      </c>
    </row>
    <row r="3435" spans="1:8" x14ac:dyDescent="0.2">
      <c r="A3435" t="s">
        <v>7</v>
      </c>
      <c r="B3435" s="1" t="s">
        <v>20</v>
      </c>
      <c r="C3435" t="str">
        <f t="shared" si="108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07"/>
        <v>1</v>
      </c>
    </row>
    <row r="3436" spans="1:8" x14ac:dyDescent="0.2">
      <c r="A3436" t="s">
        <v>7</v>
      </c>
      <c r="B3436" t="s">
        <v>20</v>
      </c>
      <c r="C3436" t="str">
        <f t="shared" si="108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07"/>
        <v>1</v>
      </c>
    </row>
    <row r="3437" spans="1:8" x14ac:dyDescent="0.2">
      <c r="A3437" t="s">
        <v>7</v>
      </c>
      <c r="B3437" s="1" t="s">
        <v>20</v>
      </c>
      <c r="C3437" t="str">
        <f t="shared" si="108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07"/>
        <v>1</v>
      </c>
    </row>
    <row r="3438" spans="1:8" x14ac:dyDescent="0.2">
      <c r="A3438" t="s">
        <v>7</v>
      </c>
      <c r="B3438" t="s">
        <v>20</v>
      </c>
      <c r="C3438" t="str">
        <f t="shared" si="108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07"/>
        <v>1</v>
      </c>
    </row>
    <row r="3439" spans="1:8" x14ac:dyDescent="0.2">
      <c r="A3439" t="s">
        <v>7</v>
      </c>
      <c r="B3439" s="1" t="s">
        <v>20</v>
      </c>
      <c r="C3439" t="str">
        <f t="shared" si="108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07"/>
        <v>1</v>
      </c>
    </row>
    <row r="3440" spans="1:8" x14ac:dyDescent="0.2">
      <c r="A3440" t="s">
        <v>7</v>
      </c>
      <c r="B3440" t="s">
        <v>20</v>
      </c>
      <c r="C3440" t="str">
        <f t="shared" si="108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07"/>
        <v>1</v>
      </c>
    </row>
    <row r="3441" spans="1:8" x14ac:dyDescent="0.2">
      <c r="A3441" t="s">
        <v>7</v>
      </c>
      <c r="B3441" s="1" t="s">
        <v>20</v>
      </c>
      <c r="C3441" t="str">
        <f t="shared" si="108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07"/>
        <v>1</v>
      </c>
    </row>
    <row r="3442" spans="1:8" x14ac:dyDescent="0.2">
      <c r="A3442" t="s">
        <v>7</v>
      </c>
      <c r="B3442" t="s">
        <v>20</v>
      </c>
      <c r="C3442" t="str">
        <f t="shared" si="108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07"/>
        <v>1</v>
      </c>
    </row>
    <row r="3443" spans="1:8" x14ac:dyDescent="0.2">
      <c r="A3443" t="s">
        <v>7</v>
      </c>
      <c r="B3443" s="1" t="s">
        <v>20</v>
      </c>
      <c r="C3443" t="str">
        <f t="shared" si="108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07"/>
        <v>1</v>
      </c>
    </row>
    <row r="3444" spans="1:8" x14ac:dyDescent="0.2">
      <c r="A3444" t="s">
        <v>7</v>
      </c>
      <c r="B3444" t="s">
        <v>20</v>
      </c>
      <c r="C3444" t="str">
        <f t="shared" si="108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07"/>
        <v>1</v>
      </c>
    </row>
    <row r="3445" spans="1:8" x14ac:dyDescent="0.2">
      <c r="A3445" t="s">
        <v>7</v>
      </c>
      <c r="B3445" s="1" t="s">
        <v>20</v>
      </c>
      <c r="C3445" t="str">
        <f t="shared" si="108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07"/>
        <v>1</v>
      </c>
    </row>
    <row r="3446" spans="1:8" x14ac:dyDescent="0.2">
      <c r="A3446" t="s">
        <v>7</v>
      </c>
      <c r="B3446" t="s">
        <v>20</v>
      </c>
      <c r="C3446" t="str">
        <f t="shared" si="108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07"/>
        <v>1</v>
      </c>
    </row>
    <row r="3447" spans="1:8" x14ac:dyDescent="0.2">
      <c r="A3447" t="s">
        <v>7</v>
      </c>
      <c r="B3447" s="1" t="s">
        <v>20</v>
      </c>
      <c r="C3447" t="str">
        <f t="shared" si="108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07"/>
        <v>1</v>
      </c>
    </row>
    <row r="3448" spans="1:8" x14ac:dyDescent="0.2">
      <c r="A3448" t="s">
        <v>7</v>
      </c>
      <c r="B3448" t="s">
        <v>20</v>
      </c>
      <c r="C3448" t="str">
        <f t="shared" si="108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07"/>
        <v>1</v>
      </c>
    </row>
    <row r="3449" spans="1:8" x14ac:dyDescent="0.2">
      <c r="A3449" t="s">
        <v>7</v>
      </c>
      <c r="B3449" s="1" t="s">
        <v>20</v>
      </c>
      <c r="C3449" t="str">
        <f t="shared" si="108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07"/>
        <v>1</v>
      </c>
    </row>
    <row r="3450" spans="1:8" x14ac:dyDescent="0.2">
      <c r="A3450" t="s">
        <v>7</v>
      </c>
      <c r="B3450" t="s">
        <v>20</v>
      </c>
      <c r="C3450" t="str">
        <f t="shared" si="108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07"/>
        <v>1</v>
      </c>
    </row>
    <row r="3451" spans="1:8" x14ac:dyDescent="0.2">
      <c r="A3451" t="s">
        <v>7</v>
      </c>
      <c r="B3451" s="1" t="s">
        <v>20</v>
      </c>
      <c r="C3451" t="str">
        <f t="shared" si="108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07"/>
        <v>1</v>
      </c>
    </row>
    <row r="3452" spans="1:8" x14ac:dyDescent="0.2">
      <c r="A3452" t="s">
        <v>7</v>
      </c>
      <c r="B3452" t="s">
        <v>20</v>
      </c>
      <c r="C3452" t="str">
        <f t="shared" si="108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07"/>
        <v>1</v>
      </c>
    </row>
    <row r="3453" spans="1:8" x14ac:dyDescent="0.2">
      <c r="A3453" t="s">
        <v>7</v>
      </c>
      <c r="B3453" s="1" t="s">
        <v>20</v>
      </c>
      <c r="C3453" t="str">
        <f t="shared" si="108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07"/>
        <v>1</v>
      </c>
    </row>
    <row r="3454" spans="1:8" x14ac:dyDescent="0.2">
      <c r="A3454" t="s">
        <v>7</v>
      </c>
      <c r="B3454" t="s">
        <v>20</v>
      </c>
      <c r="C3454" t="str">
        <f t="shared" si="108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07"/>
        <v>1</v>
      </c>
    </row>
    <row r="3455" spans="1:8" x14ac:dyDescent="0.2">
      <c r="A3455" t="s">
        <v>7</v>
      </c>
      <c r="B3455" s="1" t="s">
        <v>20</v>
      </c>
      <c r="C3455" t="str">
        <f t="shared" si="108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07"/>
        <v>1</v>
      </c>
    </row>
    <row r="3456" spans="1:8" x14ac:dyDescent="0.2">
      <c r="A3456" t="s">
        <v>7</v>
      </c>
      <c r="B3456" t="s">
        <v>20</v>
      </c>
      <c r="C3456" t="str">
        <f t="shared" si="108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07"/>
        <v>1</v>
      </c>
    </row>
    <row r="3457" spans="1:8" x14ac:dyDescent="0.2">
      <c r="A3457" t="s">
        <v>7</v>
      </c>
      <c r="B3457" s="1" t="s">
        <v>20</v>
      </c>
      <c r="C3457" t="str">
        <f t="shared" si="108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07"/>
        <v>1</v>
      </c>
    </row>
    <row r="3458" spans="1:8" x14ac:dyDescent="0.2">
      <c r="A3458" t="s">
        <v>7</v>
      </c>
      <c r="B3458" t="s">
        <v>20</v>
      </c>
      <c r="C3458" t="str">
        <f t="shared" si="108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07"/>
        <v>1</v>
      </c>
    </row>
    <row r="3459" spans="1:8" x14ac:dyDescent="0.2">
      <c r="A3459" t="s">
        <v>7</v>
      </c>
      <c r="B3459" s="1" t="s">
        <v>20</v>
      </c>
      <c r="C3459" t="str">
        <f t="shared" si="108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ref="H3459:H3522" si="109">F3459-G3459</f>
        <v>1</v>
      </c>
    </row>
    <row r="3460" spans="1:8" x14ac:dyDescent="0.2">
      <c r="A3460" t="s">
        <v>7</v>
      </c>
      <c r="B3460" t="s">
        <v>20</v>
      </c>
      <c r="C3460" t="str">
        <f t="shared" ref="C3460:C3523" si="110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09"/>
        <v>1</v>
      </c>
    </row>
    <row r="3461" spans="1:8" x14ac:dyDescent="0.2">
      <c r="A3461" t="s">
        <v>7</v>
      </c>
      <c r="B3461" s="1" t="s">
        <v>20</v>
      </c>
      <c r="C3461" t="str">
        <f t="shared" si="110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09"/>
        <v>1</v>
      </c>
    </row>
    <row r="3462" spans="1:8" x14ac:dyDescent="0.2">
      <c r="A3462" t="s">
        <v>7</v>
      </c>
      <c r="B3462" t="s">
        <v>20</v>
      </c>
      <c r="C3462" t="str">
        <f t="shared" si="110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09"/>
        <v>1</v>
      </c>
    </row>
    <row r="3463" spans="1:8" x14ac:dyDescent="0.2">
      <c r="A3463" t="s">
        <v>7</v>
      </c>
      <c r="B3463" s="1" t="s">
        <v>20</v>
      </c>
      <c r="C3463" t="str">
        <f t="shared" si="110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09"/>
        <v>1</v>
      </c>
    </row>
    <row r="3464" spans="1:8" x14ac:dyDescent="0.2">
      <c r="A3464" t="s">
        <v>7</v>
      </c>
      <c r="B3464" t="s">
        <v>20</v>
      </c>
      <c r="C3464" t="str">
        <f t="shared" si="110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09"/>
        <v>1</v>
      </c>
    </row>
    <row r="3465" spans="1:8" x14ac:dyDescent="0.2">
      <c r="A3465" t="s">
        <v>7</v>
      </c>
      <c r="B3465" s="1" t="s">
        <v>20</v>
      </c>
      <c r="C3465" t="str">
        <f t="shared" si="110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09"/>
        <v>1</v>
      </c>
    </row>
    <row r="3466" spans="1:8" x14ac:dyDescent="0.2">
      <c r="A3466" t="s">
        <v>7</v>
      </c>
      <c r="B3466" t="s">
        <v>20</v>
      </c>
      <c r="C3466" t="str">
        <f t="shared" si="110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09"/>
        <v>1</v>
      </c>
    </row>
    <row r="3467" spans="1:8" x14ac:dyDescent="0.2">
      <c r="A3467" t="s">
        <v>7</v>
      </c>
      <c r="B3467" s="1" t="s">
        <v>20</v>
      </c>
      <c r="C3467" t="str">
        <f t="shared" si="110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09"/>
        <v>1</v>
      </c>
    </row>
    <row r="3468" spans="1:8" x14ac:dyDescent="0.2">
      <c r="A3468" t="s">
        <v>7</v>
      </c>
      <c r="B3468" t="s">
        <v>20</v>
      </c>
      <c r="C3468" t="str">
        <f t="shared" si="110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09"/>
        <v>1</v>
      </c>
    </row>
    <row r="3469" spans="1:8" x14ac:dyDescent="0.2">
      <c r="A3469" t="s">
        <v>7</v>
      </c>
      <c r="B3469" s="1" t="s">
        <v>20</v>
      </c>
      <c r="C3469" t="str">
        <f t="shared" si="110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09"/>
        <v>1</v>
      </c>
    </row>
    <row r="3470" spans="1:8" x14ac:dyDescent="0.2">
      <c r="A3470" t="s">
        <v>7</v>
      </c>
      <c r="B3470" t="s">
        <v>20</v>
      </c>
      <c r="C3470" t="str">
        <f t="shared" si="110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09"/>
        <v>0</v>
      </c>
    </row>
    <row r="3471" spans="1:8" x14ac:dyDescent="0.2">
      <c r="A3471" t="s">
        <v>7</v>
      </c>
      <c r="B3471" s="1" t="s">
        <v>20</v>
      </c>
      <c r="C3471" t="str">
        <f t="shared" si="110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09"/>
        <v>0</v>
      </c>
    </row>
    <row r="3472" spans="1:8" x14ac:dyDescent="0.2">
      <c r="A3472" t="s">
        <v>7</v>
      </c>
      <c r="B3472" t="s">
        <v>20</v>
      </c>
      <c r="C3472" t="str">
        <f t="shared" si="110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09"/>
        <v>0</v>
      </c>
    </row>
    <row r="3473" spans="1:8" x14ac:dyDescent="0.2">
      <c r="A3473" t="s">
        <v>7</v>
      </c>
      <c r="B3473" s="1" t="s">
        <v>20</v>
      </c>
      <c r="C3473" t="str">
        <f t="shared" si="110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09"/>
        <v>0</v>
      </c>
    </row>
    <row r="3474" spans="1:8" x14ac:dyDescent="0.2">
      <c r="A3474" t="s">
        <v>7</v>
      </c>
      <c r="B3474" t="s">
        <v>20</v>
      </c>
      <c r="C3474" t="str">
        <f t="shared" si="110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09"/>
        <v>0</v>
      </c>
    </row>
    <row r="3475" spans="1:8" x14ac:dyDescent="0.2">
      <c r="A3475" t="s">
        <v>7</v>
      </c>
      <c r="B3475" s="1" t="s">
        <v>20</v>
      </c>
      <c r="C3475" t="str">
        <f t="shared" si="110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09"/>
        <v>0</v>
      </c>
    </row>
    <row r="3476" spans="1:8" x14ac:dyDescent="0.2">
      <c r="A3476" t="s">
        <v>7</v>
      </c>
      <c r="B3476" t="s">
        <v>20</v>
      </c>
      <c r="C3476" t="str">
        <f t="shared" si="110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si="109"/>
        <v>0</v>
      </c>
    </row>
    <row r="3477" spans="1:8" x14ac:dyDescent="0.2">
      <c r="A3477" t="s">
        <v>7</v>
      </c>
      <c r="B3477" s="1" t="s">
        <v>20</v>
      </c>
      <c r="C3477" t="str">
        <f t="shared" si="110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09"/>
        <v>0</v>
      </c>
    </row>
    <row r="3478" spans="1:8" x14ac:dyDescent="0.2">
      <c r="A3478" t="s">
        <v>7</v>
      </c>
      <c r="B3478" t="s">
        <v>20</v>
      </c>
      <c r="C3478" t="str">
        <f t="shared" si="110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09"/>
        <v>0</v>
      </c>
    </row>
    <row r="3479" spans="1:8" x14ac:dyDescent="0.2">
      <c r="A3479" t="s">
        <v>7</v>
      </c>
      <c r="B3479" s="1" t="s">
        <v>20</v>
      </c>
      <c r="C3479" t="str">
        <f t="shared" si="110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09"/>
        <v>0</v>
      </c>
    </row>
    <row r="3480" spans="1:8" x14ac:dyDescent="0.2">
      <c r="A3480" t="s">
        <v>7</v>
      </c>
      <c r="B3480" t="s">
        <v>20</v>
      </c>
      <c r="C3480" t="str">
        <f t="shared" si="110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09"/>
        <v>0</v>
      </c>
    </row>
    <row r="3481" spans="1:8" x14ac:dyDescent="0.2">
      <c r="A3481" t="s">
        <v>7</v>
      </c>
      <c r="B3481" s="1" t="s">
        <v>20</v>
      </c>
      <c r="C3481" t="str">
        <f t="shared" si="110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09"/>
        <v>0</v>
      </c>
    </row>
    <row r="3482" spans="1:8" x14ac:dyDescent="0.2">
      <c r="A3482" t="s">
        <v>7</v>
      </c>
      <c r="B3482" t="s">
        <v>20</v>
      </c>
      <c r="C3482" t="str">
        <f t="shared" si="110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09"/>
        <v>0</v>
      </c>
    </row>
    <row r="3483" spans="1:8" x14ac:dyDescent="0.2">
      <c r="A3483" t="s">
        <v>7</v>
      </c>
      <c r="B3483" s="1" t="s">
        <v>20</v>
      </c>
      <c r="C3483" t="str">
        <f t="shared" si="110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09"/>
        <v>0</v>
      </c>
    </row>
    <row r="3484" spans="1:8" x14ac:dyDescent="0.2">
      <c r="A3484" t="s">
        <v>7</v>
      </c>
      <c r="B3484" t="s">
        <v>20</v>
      </c>
      <c r="C3484" t="str">
        <f t="shared" si="110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09"/>
        <v>0</v>
      </c>
    </row>
    <row r="3485" spans="1:8" x14ac:dyDescent="0.2">
      <c r="A3485" t="s">
        <v>7</v>
      </c>
      <c r="B3485" s="1" t="s">
        <v>20</v>
      </c>
      <c r="C3485" t="str">
        <f t="shared" si="110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09"/>
        <v>0</v>
      </c>
    </row>
    <row r="3486" spans="1:8" x14ac:dyDescent="0.2">
      <c r="A3486" t="s">
        <v>7</v>
      </c>
      <c r="B3486" t="s">
        <v>20</v>
      </c>
      <c r="C3486" t="str">
        <f t="shared" si="110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09"/>
        <v>0</v>
      </c>
    </row>
    <row r="3487" spans="1:8" x14ac:dyDescent="0.2">
      <c r="A3487" t="s">
        <v>7</v>
      </c>
      <c r="B3487" s="1" t="s">
        <v>20</v>
      </c>
      <c r="C3487" t="str">
        <f t="shared" si="110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09"/>
        <v>0</v>
      </c>
    </row>
    <row r="3488" spans="1:8" x14ac:dyDescent="0.2">
      <c r="A3488" t="s">
        <v>7</v>
      </c>
      <c r="B3488" t="s">
        <v>20</v>
      </c>
      <c r="C3488" t="str">
        <f t="shared" si="110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09"/>
        <v>0</v>
      </c>
    </row>
    <row r="3489" spans="1:8" x14ac:dyDescent="0.2">
      <c r="A3489" t="s">
        <v>7</v>
      </c>
      <c r="B3489" s="1" t="s">
        <v>20</v>
      </c>
      <c r="C3489" t="str">
        <f t="shared" si="110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09"/>
        <v>0</v>
      </c>
    </row>
    <row r="3490" spans="1:8" x14ac:dyDescent="0.2">
      <c r="A3490" t="s">
        <v>7</v>
      </c>
      <c r="B3490" t="s">
        <v>20</v>
      </c>
      <c r="C3490" t="str">
        <f t="shared" si="110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09"/>
        <v>0</v>
      </c>
    </row>
    <row r="3491" spans="1:8" x14ac:dyDescent="0.2">
      <c r="A3491" t="s">
        <v>7</v>
      </c>
      <c r="B3491" s="1" t="s">
        <v>20</v>
      </c>
      <c r="C3491" t="str">
        <f t="shared" si="110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09"/>
        <v>0</v>
      </c>
    </row>
    <row r="3492" spans="1:8" x14ac:dyDescent="0.2">
      <c r="A3492" t="s">
        <v>7</v>
      </c>
      <c r="B3492" t="s">
        <v>20</v>
      </c>
      <c r="C3492" t="str">
        <f t="shared" si="110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09"/>
        <v>0</v>
      </c>
    </row>
    <row r="3493" spans="1:8" x14ac:dyDescent="0.2">
      <c r="A3493" t="s">
        <v>7</v>
      </c>
      <c r="B3493" s="1" t="s">
        <v>20</v>
      </c>
      <c r="C3493" t="str">
        <f t="shared" si="110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09"/>
        <v>0</v>
      </c>
    </row>
    <row r="3494" spans="1:8" x14ac:dyDescent="0.2">
      <c r="A3494" t="s">
        <v>7</v>
      </c>
      <c r="B3494" t="s">
        <v>20</v>
      </c>
      <c r="C3494" t="str">
        <f t="shared" si="110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09"/>
        <v>-1</v>
      </c>
    </row>
    <row r="3495" spans="1:8" x14ac:dyDescent="0.2">
      <c r="A3495" t="s">
        <v>7</v>
      </c>
      <c r="B3495" s="1" t="s">
        <v>20</v>
      </c>
      <c r="C3495" t="str">
        <f t="shared" si="110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09"/>
        <v>0</v>
      </c>
    </row>
    <row r="3496" spans="1:8" x14ac:dyDescent="0.2">
      <c r="A3496" t="s">
        <v>7</v>
      </c>
      <c r="B3496" t="s">
        <v>20</v>
      </c>
      <c r="C3496" t="str">
        <f t="shared" si="110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09"/>
        <v>-1</v>
      </c>
    </row>
    <row r="3497" spans="1:8" x14ac:dyDescent="0.2">
      <c r="A3497" t="s">
        <v>7</v>
      </c>
      <c r="B3497" s="1" t="s">
        <v>20</v>
      </c>
      <c r="C3497" t="str">
        <f t="shared" si="110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09"/>
        <v>0</v>
      </c>
    </row>
    <row r="3498" spans="1:8" x14ac:dyDescent="0.2">
      <c r="A3498" t="s">
        <v>7</v>
      </c>
      <c r="B3498" t="s">
        <v>20</v>
      </c>
      <c r="C3498" t="str">
        <f t="shared" si="110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09"/>
        <v>-1</v>
      </c>
    </row>
    <row r="3499" spans="1:8" x14ac:dyDescent="0.2">
      <c r="A3499" t="s">
        <v>7</v>
      </c>
      <c r="B3499" s="1" t="s">
        <v>20</v>
      </c>
      <c r="C3499" t="str">
        <f t="shared" si="110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09"/>
        <v>-1</v>
      </c>
    </row>
    <row r="3500" spans="1:8" x14ac:dyDescent="0.2">
      <c r="A3500" t="s">
        <v>7</v>
      </c>
      <c r="B3500" t="s">
        <v>20</v>
      </c>
      <c r="C3500" t="str">
        <f t="shared" si="110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09"/>
        <v>-1</v>
      </c>
    </row>
    <row r="3501" spans="1:8" x14ac:dyDescent="0.2">
      <c r="A3501" t="s">
        <v>7</v>
      </c>
      <c r="B3501" s="1" t="s">
        <v>20</v>
      </c>
      <c r="C3501" t="str">
        <f t="shared" si="110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09"/>
        <v>-1</v>
      </c>
    </row>
    <row r="3502" spans="1:8" x14ac:dyDescent="0.2">
      <c r="A3502" t="s">
        <v>7</v>
      </c>
      <c r="B3502" t="s">
        <v>20</v>
      </c>
      <c r="C3502" t="str">
        <f t="shared" si="110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09"/>
        <v>-1</v>
      </c>
    </row>
    <row r="3503" spans="1:8" x14ac:dyDescent="0.2">
      <c r="A3503" t="s">
        <v>7</v>
      </c>
      <c r="B3503" s="1" t="s">
        <v>20</v>
      </c>
      <c r="C3503" t="str">
        <f t="shared" si="110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09"/>
        <v>-1</v>
      </c>
    </row>
    <row r="3504" spans="1:8" x14ac:dyDescent="0.2">
      <c r="A3504" t="s">
        <v>7</v>
      </c>
      <c r="B3504" t="s">
        <v>20</v>
      </c>
      <c r="C3504" t="str">
        <f t="shared" si="110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09"/>
        <v>-1</v>
      </c>
    </row>
    <row r="3505" spans="1:8" x14ac:dyDescent="0.2">
      <c r="A3505" t="s">
        <v>7</v>
      </c>
      <c r="B3505" s="1" t="s">
        <v>20</v>
      </c>
      <c r="C3505" t="str">
        <f t="shared" si="110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09"/>
        <v>-1</v>
      </c>
    </row>
    <row r="3506" spans="1:8" x14ac:dyDescent="0.2">
      <c r="A3506" t="s">
        <v>7</v>
      </c>
      <c r="B3506" t="s">
        <v>20</v>
      </c>
      <c r="C3506" t="str">
        <f t="shared" si="110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09"/>
        <v>-1</v>
      </c>
    </row>
    <row r="3507" spans="1:8" x14ac:dyDescent="0.2">
      <c r="A3507" t="s">
        <v>7</v>
      </c>
      <c r="B3507" s="1" t="s">
        <v>20</v>
      </c>
      <c r="C3507" t="str">
        <f t="shared" si="110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09"/>
        <v>-1</v>
      </c>
    </row>
    <row r="3508" spans="1:8" x14ac:dyDescent="0.2">
      <c r="A3508" t="s">
        <v>7</v>
      </c>
      <c r="B3508" t="s">
        <v>20</v>
      </c>
      <c r="C3508" t="str">
        <f t="shared" si="110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09"/>
        <v>0</v>
      </c>
    </row>
    <row r="3509" spans="1:8" x14ac:dyDescent="0.2">
      <c r="A3509" t="s">
        <v>7</v>
      </c>
      <c r="B3509" s="1" t="s">
        <v>20</v>
      </c>
      <c r="C3509" t="str">
        <f t="shared" si="110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09"/>
        <v>-1</v>
      </c>
    </row>
    <row r="3510" spans="1:8" x14ac:dyDescent="0.2">
      <c r="A3510" t="s">
        <v>7</v>
      </c>
      <c r="B3510" t="s">
        <v>20</v>
      </c>
      <c r="C3510" t="str">
        <f t="shared" si="110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09"/>
        <v>0</v>
      </c>
    </row>
    <row r="3511" spans="1:8" x14ac:dyDescent="0.2">
      <c r="A3511" t="s">
        <v>7</v>
      </c>
      <c r="B3511" s="1" t="s">
        <v>20</v>
      </c>
      <c r="C3511" t="str">
        <f t="shared" si="110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09"/>
        <v>-1</v>
      </c>
    </row>
    <row r="3512" spans="1:8" x14ac:dyDescent="0.2">
      <c r="A3512" t="s">
        <v>7</v>
      </c>
      <c r="B3512" t="s">
        <v>20</v>
      </c>
      <c r="C3512" t="str">
        <f t="shared" si="110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09"/>
        <v>0</v>
      </c>
    </row>
    <row r="3513" spans="1:8" x14ac:dyDescent="0.2">
      <c r="A3513" t="s">
        <v>7</v>
      </c>
      <c r="B3513" s="1" t="s">
        <v>20</v>
      </c>
      <c r="C3513" t="str">
        <f t="shared" si="110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09"/>
        <v>-1</v>
      </c>
    </row>
    <row r="3514" spans="1:8" x14ac:dyDescent="0.2">
      <c r="A3514" t="s">
        <v>7</v>
      </c>
      <c r="B3514" t="s">
        <v>20</v>
      </c>
      <c r="C3514" t="str">
        <f t="shared" si="110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09"/>
        <v>-1</v>
      </c>
    </row>
    <row r="3515" spans="1:8" x14ac:dyDescent="0.2">
      <c r="A3515" t="s">
        <v>7</v>
      </c>
      <c r="B3515" s="1" t="s">
        <v>20</v>
      </c>
      <c r="C3515" t="str">
        <f t="shared" si="110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09"/>
        <v>-1</v>
      </c>
    </row>
    <row r="3516" spans="1:8" x14ac:dyDescent="0.2">
      <c r="A3516" t="s">
        <v>7</v>
      </c>
      <c r="B3516" t="s">
        <v>20</v>
      </c>
      <c r="C3516" t="str">
        <f t="shared" si="110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09"/>
        <v>0</v>
      </c>
    </row>
    <row r="3517" spans="1:8" x14ac:dyDescent="0.2">
      <c r="A3517" t="s">
        <v>7</v>
      </c>
      <c r="B3517" s="1" t="s">
        <v>20</v>
      </c>
      <c r="C3517" t="str">
        <f t="shared" si="110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09"/>
        <v>-1</v>
      </c>
    </row>
    <row r="3518" spans="1:8" x14ac:dyDescent="0.2">
      <c r="A3518" t="s">
        <v>7</v>
      </c>
      <c r="B3518" t="s">
        <v>20</v>
      </c>
      <c r="C3518" t="str">
        <f t="shared" si="110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09"/>
        <v>-2</v>
      </c>
    </row>
    <row r="3519" spans="1:8" x14ac:dyDescent="0.2">
      <c r="A3519" t="s">
        <v>7</v>
      </c>
      <c r="B3519" s="1" t="s">
        <v>20</v>
      </c>
      <c r="C3519" t="str">
        <f t="shared" si="110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09"/>
        <v>-2</v>
      </c>
    </row>
    <row r="3520" spans="1:8" x14ac:dyDescent="0.2">
      <c r="A3520" t="s">
        <v>7</v>
      </c>
      <c r="B3520" t="s">
        <v>20</v>
      </c>
      <c r="C3520" t="str">
        <f t="shared" si="110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09"/>
        <v>0</v>
      </c>
    </row>
    <row r="3521" spans="1:8" x14ac:dyDescent="0.2">
      <c r="A3521" t="s">
        <v>7</v>
      </c>
      <c r="B3521" s="1" t="s">
        <v>20</v>
      </c>
      <c r="C3521" t="str">
        <f t="shared" si="110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09"/>
        <v>-2</v>
      </c>
    </row>
    <row r="3522" spans="1:8" x14ac:dyDescent="0.2">
      <c r="A3522" t="s">
        <v>7</v>
      </c>
      <c r="B3522" t="s">
        <v>20</v>
      </c>
      <c r="C3522" t="str">
        <f t="shared" si="110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09"/>
        <v>-2</v>
      </c>
    </row>
    <row r="3523" spans="1:8" x14ac:dyDescent="0.2">
      <c r="A3523" t="s">
        <v>7</v>
      </c>
      <c r="B3523" s="1" t="s">
        <v>20</v>
      </c>
      <c r="C3523" t="str">
        <f t="shared" si="110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ref="H3523:H3586" si="111">F3523-G3523</f>
        <v>-2</v>
      </c>
    </row>
    <row r="3524" spans="1:8" x14ac:dyDescent="0.2">
      <c r="A3524" t="s">
        <v>7</v>
      </c>
      <c r="B3524" t="s">
        <v>20</v>
      </c>
      <c r="C3524" t="str">
        <f t="shared" ref="C3524:C3587" si="112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1"/>
        <v>-2</v>
      </c>
    </row>
    <row r="3525" spans="1:8" x14ac:dyDescent="0.2">
      <c r="A3525" t="s">
        <v>7</v>
      </c>
      <c r="B3525" s="1" t="s">
        <v>20</v>
      </c>
      <c r="C3525" t="str">
        <f t="shared" si="112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1"/>
        <v>-2</v>
      </c>
    </row>
    <row r="3526" spans="1:8" x14ac:dyDescent="0.2">
      <c r="A3526" t="s">
        <v>7</v>
      </c>
      <c r="B3526" t="s">
        <v>20</v>
      </c>
      <c r="C3526" t="str">
        <f t="shared" si="112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1"/>
        <v>-2</v>
      </c>
    </row>
    <row r="3527" spans="1:8" x14ac:dyDescent="0.2">
      <c r="A3527" t="s">
        <v>7</v>
      </c>
      <c r="B3527" s="1" t="s">
        <v>20</v>
      </c>
      <c r="C3527" t="str">
        <f t="shared" si="112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1"/>
        <v>-2</v>
      </c>
    </row>
    <row r="3528" spans="1:8" x14ac:dyDescent="0.2">
      <c r="A3528" t="s">
        <v>7</v>
      </c>
      <c r="B3528" t="s">
        <v>20</v>
      </c>
      <c r="C3528" t="str">
        <f t="shared" si="112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1"/>
        <v>0</v>
      </c>
    </row>
    <row r="3529" spans="1:8" x14ac:dyDescent="0.2">
      <c r="A3529" t="s">
        <v>7</v>
      </c>
      <c r="B3529" s="1" t="s">
        <v>20</v>
      </c>
      <c r="C3529" t="str">
        <f t="shared" si="112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1"/>
        <v>-2</v>
      </c>
    </row>
    <row r="3530" spans="1:8" x14ac:dyDescent="0.2">
      <c r="A3530" t="s">
        <v>7</v>
      </c>
      <c r="B3530" t="s">
        <v>20</v>
      </c>
      <c r="C3530" t="str">
        <f t="shared" si="112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1"/>
        <v>0</v>
      </c>
    </row>
    <row r="3531" spans="1:8" x14ac:dyDescent="0.2">
      <c r="A3531" t="s">
        <v>7</v>
      </c>
      <c r="B3531" s="1" t="s">
        <v>20</v>
      </c>
      <c r="C3531" t="str">
        <f t="shared" si="112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1"/>
        <v>-2</v>
      </c>
    </row>
    <row r="3532" spans="1:8" x14ac:dyDescent="0.2">
      <c r="A3532" t="s">
        <v>7</v>
      </c>
      <c r="B3532" t="s">
        <v>20</v>
      </c>
      <c r="C3532" t="str">
        <f t="shared" si="112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1"/>
        <v>-2</v>
      </c>
    </row>
    <row r="3533" spans="1:8" x14ac:dyDescent="0.2">
      <c r="A3533" t="s">
        <v>7</v>
      </c>
      <c r="B3533" s="1" t="s">
        <v>20</v>
      </c>
      <c r="C3533" t="str">
        <f t="shared" si="112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1"/>
        <v>-2</v>
      </c>
    </row>
    <row r="3534" spans="1:8" x14ac:dyDescent="0.2">
      <c r="A3534" t="s">
        <v>7</v>
      </c>
      <c r="B3534" t="s">
        <v>20</v>
      </c>
      <c r="C3534" t="str">
        <f t="shared" si="112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1"/>
        <v>0</v>
      </c>
    </row>
    <row r="3535" spans="1:8" x14ac:dyDescent="0.2">
      <c r="A3535" t="s">
        <v>7</v>
      </c>
      <c r="B3535" s="1" t="s">
        <v>20</v>
      </c>
      <c r="C3535" t="str">
        <f t="shared" si="112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1"/>
        <v>-2</v>
      </c>
    </row>
    <row r="3536" spans="1:8" x14ac:dyDescent="0.2">
      <c r="A3536" t="s">
        <v>7</v>
      </c>
      <c r="B3536" t="s">
        <v>20</v>
      </c>
      <c r="C3536" t="str">
        <f t="shared" si="112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1"/>
        <v>-2</v>
      </c>
    </row>
    <row r="3537" spans="1:8" x14ac:dyDescent="0.2">
      <c r="A3537" t="s">
        <v>7</v>
      </c>
      <c r="B3537" s="1" t="s">
        <v>20</v>
      </c>
      <c r="C3537" t="str">
        <f t="shared" si="112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1"/>
        <v>-2</v>
      </c>
    </row>
    <row r="3538" spans="1:8" x14ac:dyDescent="0.2">
      <c r="A3538" t="s">
        <v>7</v>
      </c>
      <c r="B3538" t="s">
        <v>20</v>
      </c>
      <c r="C3538" t="str">
        <f t="shared" si="112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1"/>
        <v>-2</v>
      </c>
    </row>
    <row r="3539" spans="1:8" x14ac:dyDescent="0.2">
      <c r="A3539" t="s">
        <v>7</v>
      </c>
      <c r="B3539" s="1" t="s">
        <v>20</v>
      </c>
      <c r="C3539" t="str">
        <f t="shared" si="112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1"/>
        <v>-2</v>
      </c>
    </row>
    <row r="3540" spans="1:8" x14ac:dyDescent="0.2">
      <c r="A3540" t="s">
        <v>7</v>
      </c>
      <c r="B3540" t="s">
        <v>20</v>
      </c>
      <c r="C3540" t="str">
        <f t="shared" si="112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si="111"/>
        <v>-2</v>
      </c>
    </row>
    <row r="3541" spans="1:8" x14ac:dyDescent="0.2">
      <c r="A3541" t="s">
        <v>7</v>
      </c>
      <c r="B3541" s="1" t="s">
        <v>20</v>
      </c>
      <c r="C3541" t="str">
        <f t="shared" si="112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1"/>
        <v>-2</v>
      </c>
    </row>
    <row r="3542" spans="1:8" x14ac:dyDescent="0.2">
      <c r="A3542" t="s">
        <v>7</v>
      </c>
      <c r="B3542" t="s">
        <v>20</v>
      </c>
      <c r="C3542" t="str">
        <f t="shared" si="112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1"/>
        <v>-2</v>
      </c>
    </row>
    <row r="3543" spans="1:8" x14ac:dyDescent="0.2">
      <c r="A3543" t="s">
        <v>7</v>
      </c>
      <c r="B3543" s="1" t="s">
        <v>20</v>
      </c>
      <c r="C3543" t="str">
        <f t="shared" si="112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1"/>
        <v>-2</v>
      </c>
    </row>
    <row r="3544" spans="1:8" x14ac:dyDescent="0.2">
      <c r="A3544" t="s">
        <v>7</v>
      </c>
      <c r="B3544" t="s">
        <v>20</v>
      </c>
      <c r="C3544" t="str">
        <f t="shared" si="112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1"/>
        <v>-2</v>
      </c>
    </row>
    <row r="3545" spans="1:8" x14ac:dyDescent="0.2">
      <c r="A3545" t="s">
        <v>7</v>
      </c>
      <c r="B3545" s="1" t="s">
        <v>20</v>
      </c>
      <c r="C3545" t="str">
        <f t="shared" si="112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1"/>
        <v>-2</v>
      </c>
    </row>
    <row r="3546" spans="1:8" x14ac:dyDescent="0.2">
      <c r="A3546" t="s">
        <v>7</v>
      </c>
      <c r="B3546" t="s">
        <v>20</v>
      </c>
      <c r="C3546" t="str">
        <f t="shared" si="112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1"/>
        <v>-2</v>
      </c>
    </row>
    <row r="3547" spans="1:8" x14ac:dyDescent="0.2">
      <c r="A3547" t="s">
        <v>7</v>
      </c>
      <c r="B3547" s="1" t="s">
        <v>20</v>
      </c>
      <c r="C3547" t="str">
        <f t="shared" si="112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1"/>
        <v>-2</v>
      </c>
    </row>
    <row r="3548" spans="1:8" x14ac:dyDescent="0.2">
      <c r="A3548" t="s">
        <v>7</v>
      </c>
      <c r="B3548" t="s">
        <v>20</v>
      </c>
      <c r="C3548" t="str">
        <f t="shared" si="112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1"/>
        <v>-2</v>
      </c>
    </row>
    <row r="3549" spans="1:8" x14ac:dyDescent="0.2">
      <c r="A3549" t="s">
        <v>7</v>
      </c>
      <c r="B3549" s="1" t="s">
        <v>20</v>
      </c>
      <c r="C3549" t="str">
        <f t="shared" si="112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1"/>
        <v>-3</v>
      </c>
    </row>
    <row r="3550" spans="1:8" x14ac:dyDescent="0.2">
      <c r="A3550" t="s">
        <v>7</v>
      </c>
      <c r="B3550" t="s">
        <v>20</v>
      </c>
      <c r="C3550" t="str">
        <f t="shared" si="112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1"/>
        <v>-3</v>
      </c>
    </row>
    <row r="3551" spans="1:8" x14ac:dyDescent="0.2">
      <c r="A3551" t="s">
        <v>7</v>
      </c>
      <c r="B3551" s="1" t="s">
        <v>20</v>
      </c>
      <c r="C3551" t="str">
        <f t="shared" si="112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1"/>
        <v>-3</v>
      </c>
    </row>
    <row r="3552" spans="1:8" x14ac:dyDescent="0.2">
      <c r="A3552" t="s">
        <v>7</v>
      </c>
      <c r="B3552" t="s">
        <v>20</v>
      </c>
      <c r="C3552" t="str">
        <f t="shared" si="112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1"/>
        <v>-3</v>
      </c>
    </row>
    <row r="3553" spans="1:8" x14ac:dyDescent="0.2">
      <c r="A3553" t="s">
        <v>7</v>
      </c>
      <c r="B3553" s="1" t="s">
        <v>20</v>
      </c>
      <c r="C3553" t="str">
        <f t="shared" si="112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1"/>
        <v>0</v>
      </c>
    </row>
    <row r="3554" spans="1:8" x14ac:dyDescent="0.2">
      <c r="A3554" t="s">
        <v>7</v>
      </c>
      <c r="B3554" t="s">
        <v>20</v>
      </c>
      <c r="C3554" t="str">
        <f t="shared" si="112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1"/>
        <v>-3</v>
      </c>
    </row>
    <row r="3555" spans="1:8" x14ac:dyDescent="0.2">
      <c r="A3555" t="s">
        <v>7</v>
      </c>
      <c r="B3555" s="1" t="s">
        <v>20</v>
      </c>
      <c r="C3555" t="str">
        <f t="shared" si="112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1"/>
        <v>-3</v>
      </c>
    </row>
    <row r="3556" spans="1:8" x14ac:dyDescent="0.2">
      <c r="A3556" t="s">
        <v>7</v>
      </c>
      <c r="B3556" t="s">
        <v>20</v>
      </c>
      <c r="C3556" t="str">
        <f t="shared" si="112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1"/>
        <v>-3</v>
      </c>
    </row>
    <row r="3557" spans="1:8" x14ac:dyDescent="0.2">
      <c r="A3557" t="s">
        <v>7</v>
      </c>
      <c r="B3557" s="1" t="s">
        <v>20</v>
      </c>
      <c r="C3557" t="str">
        <f t="shared" si="112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1"/>
        <v>-3</v>
      </c>
    </row>
    <row r="3558" spans="1:8" x14ac:dyDescent="0.2">
      <c r="A3558" t="s">
        <v>7</v>
      </c>
      <c r="B3558" t="s">
        <v>20</v>
      </c>
      <c r="C3558" t="str">
        <f t="shared" si="112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1"/>
        <v>-3</v>
      </c>
    </row>
    <row r="3559" spans="1:8" x14ac:dyDescent="0.2">
      <c r="A3559" t="s">
        <v>7</v>
      </c>
      <c r="B3559" s="1" t="s">
        <v>20</v>
      </c>
      <c r="C3559" t="str">
        <f t="shared" si="112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1"/>
        <v>-3</v>
      </c>
    </row>
    <row r="3560" spans="1:8" x14ac:dyDescent="0.2">
      <c r="A3560" t="s">
        <v>7</v>
      </c>
      <c r="B3560" t="s">
        <v>20</v>
      </c>
      <c r="C3560" t="str">
        <f t="shared" si="112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1"/>
        <v>-3</v>
      </c>
    </row>
    <row r="3561" spans="1:8" x14ac:dyDescent="0.2">
      <c r="A3561" t="s">
        <v>7</v>
      </c>
      <c r="B3561" s="1" t="s">
        <v>20</v>
      </c>
      <c r="C3561" t="str">
        <f t="shared" si="112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1"/>
        <v>-3</v>
      </c>
    </row>
    <row r="3562" spans="1:8" x14ac:dyDescent="0.2">
      <c r="A3562" t="s">
        <v>7</v>
      </c>
      <c r="B3562" t="s">
        <v>20</v>
      </c>
      <c r="C3562" t="str">
        <f t="shared" si="112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1"/>
        <v>-3</v>
      </c>
    </row>
    <row r="3563" spans="1:8" x14ac:dyDescent="0.2">
      <c r="A3563" t="s">
        <v>7</v>
      </c>
      <c r="B3563" s="1" t="s">
        <v>20</v>
      </c>
      <c r="C3563" t="str">
        <f t="shared" si="112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1"/>
        <v>-3</v>
      </c>
    </row>
    <row r="3564" spans="1:8" x14ac:dyDescent="0.2">
      <c r="A3564" t="s">
        <v>7</v>
      </c>
      <c r="B3564" t="s">
        <v>20</v>
      </c>
      <c r="C3564" t="str">
        <f t="shared" si="112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1"/>
        <v>-3</v>
      </c>
    </row>
    <row r="3565" spans="1:8" x14ac:dyDescent="0.2">
      <c r="A3565" t="s">
        <v>7</v>
      </c>
      <c r="B3565" s="1" t="s">
        <v>20</v>
      </c>
      <c r="C3565" t="str">
        <f t="shared" si="112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1"/>
        <v>-4</v>
      </c>
    </row>
    <row r="3566" spans="1:8" x14ac:dyDescent="0.2">
      <c r="A3566" t="s">
        <v>7</v>
      </c>
      <c r="B3566" t="s">
        <v>20</v>
      </c>
      <c r="C3566" t="str">
        <f t="shared" si="112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1"/>
        <v>-4</v>
      </c>
    </row>
    <row r="3567" spans="1:8" x14ac:dyDescent="0.2">
      <c r="A3567" t="s">
        <v>7</v>
      </c>
      <c r="B3567" s="1" t="s">
        <v>20</v>
      </c>
      <c r="C3567" t="str">
        <f t="shared" si="112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1"/>
        <v>-4</v>
      </c>
    </row>
    <row r="3568" spans="1:8" x14ac:dyDescent="0.2">
      <c r="A3568" t="s">
        <v>7</v>
      </c>
      <c r="B3568" t="s">
        <v>20</v>
      </c>
      <c r="C3568" t="str">
        <f t="shared" si="112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1"/>
        <v>-4</v>
      </c>
    </row>
    <row r="3569" spans="1:8" x14ac:dyDescent="0.2">
      <c r="A3569" t="s">
        <v>7</v>
      </c>
      <c r="B3569" s="1" t="s">
        <v>20</v>
      </c>
      <c r="C3569" t="str">
        <f t="shared" si="112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1"/>
        <v>-4</v>
      </c>
    </row>
    <row r="3570" spans="1:8" x14ac:dyDescent="0.2">
      <c r="A3570" t="s">
        <v>7</v>
      </c>
      <c r="B3570" t="s">
        <v>20</v>
      </c>
      <c r="C3570" t="str">
        <f t="shared" si="112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1"/>
        <v>-4</v>
      </c>
    </row>
    <row r="3571" spans="1:8" x14ac:dyDescent="0.2">
      <c r="A3571" t="s">
        <v>7</v>
      </c>
      <c r="B3571" s="1" t="s">
        <v>20</v>
      </c>
      <c r="C3571" t="str">
        <f t="shared" si="112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1"/>
        <v>-4</v>
      </c>
    </row>
    <row r="3572" spans="1:8" x14ac:dyDescent="0.2">
      <c r="A3572" t="s">
        <v>7</v>
      </c>
      <c r="B3572" t="s">
        <v>20</v>
      </c>
      <c r="C3572" t="str">
        <f t="shared" si="112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1"/>
        <v>-4</v>
      </c>
    </row>
    <row r="3573" spans="1:8" x14ac:dyDescent="0.2">
      <c r="A3573" t="s">
        <v>7</v>
      </c>
      <c r="B3573" s="1" t="s">
        <v>20</v>
      </c>
      <c r="C3573" t="str">
        <f t="shared" si="112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1"/>
        <v>-4</v>
      </c>
    </row>
    <row r="3574" spans="1:8" x14ac:dyDescent="0.2">
      <c r="A3574" t="s">
        <v>7</v>
      </c>
      <c r="B3574" t="s">
        <v>20</v>
      </c>
      <c r="C3574" t="str">
        <f t="shared" si="112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1"/>
        <v>-4</v>
      </c>
    </row>
    <row r="3575" spans="1:8" x14ac:dyDescent="0.2">
      <c r="A3575" t="s">
        <v>7</v>
      </c>
      <c r="B3575" s="1" t="s">
        <v>20</v>
      </c>
      <c r="C3575" t="str">
        <f t="shared" si="112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1"/>
        <v>-4</v>
      </c>
    </row>
    <row r="3576" spans="1:8" x14ac:dyDescent="0.2">
      <c r="A3576" t="s">
        <v>7</v>
      </c>
      <c r="B3576" t="s">
        <v>20</v>
      </c>
      <c r="C3576" t="str">
        <f t="shared" si="112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1"/>
        <v>0</v>
      </c>
    </row>
    <row r="3577" spans="1:8" x14ac:dyDescent="0.2">
      <c r="A3577" t="s">
        <v>7</v>
      </c>
      <c r="B3577" s="1" t="s">
        <v>20</v>
      </c>
      <c r="C3577" t="str">
        <f t="shared" si="112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1"/>
        <v>-4</v>
      </c>
    </row>
    <row r="3578" spans="1:8" x14ac:dyDescent="0.2">
      <c r="A3578" t="s">
        <v>7</v>
      </c>
      <c r="B3578" t="s">
        <v>20</v>
      </c>
      <c r="C3578" t="str">
        <f t="shared" si="112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1"/>
        <v>-4</v>
      </c>
    </row>
    <row r="3579" spans="1:8" x14ac:dyDescent="0.2">
      <c r="A3579" t="s">
        <v>7</v>
      </c>
      <c r="B3579" s="1" t="s">
        <v>20</v>
      </c>
      <c r="C3579" t="str">
        <f t="shared" si="112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1"/>
        <v>-4</v>
      </c>
    </row>
    <row r="3580" spans="1:8" x14ac:dyDescent="0.2">
      <c r="A3580" t="s">
        <v>7</v>
      </c>
      <c r="B3580" t="s">
        <v>20</v>
      </c>
      <c r="C3580" t="str">
        <f t="shared" si="112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1"/>
        <v>-4</v>
      </c>
    </row>
    <row r="3581" spans="1:8" x14ac:dyDescent="0.2">
      <c r="A3581" t="s">
        <v>7</v>
      </c>
      <c r="B3581" s="1" t="s">
        <v>20</v>
      </c>
      <c r="C3581" t="str">
        <f t="shared" si="112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1"/>
        <v>-4</v>
      </c>
    </row>
    <row r="3582" spans="1:8" x14ac:dyDescent="0.2">
      <c r="A3582" t="s">
        <v>7</v>
      </c>
      <c r="B3582" t="s">
        <v>20</v>
      </c>
      <c r="C3582" t="str">
        <f t="shared" si="112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1"/>
        <v>-4</v>
      </c>
    </row>
    <row r="3583" spans="1:8" x14ac:dyDescent="0.2">
      <c r="A3583" t="s">
        <v>7</v>
      </c>
      <c r="B3583" s="1" t="s">
        <v>20</v>
      </c>
      <c r="C3583" t="str">
        <f t="shared" si="112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1"/>
        <v>-4</v>
      </c>
    </row>
    <row r="3584" spans="1:8" x14ac:dyDescent="0.2">
      <c r="A3584" t="s">
        <v>7</v>
      </c>
      <c r="B3584" t="s">
        <v>20</v>
      </c>
      <c r="C3584" t="str">
        <f t="shared" si="112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1"/>
        <v>-4</v>
      </c>
    </row>
    <row r="3585" spans="1:8" x14ac:dyDescent="0.2">
      <c r="A3585" t="s">
        <v>7</v>
      </c>
      <c r="B3585" s="1" t="s">
        <v>20</v>
      </c>
      <c r="C3585" t="str">
        <f t="shared" si="112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1"/>
        <v>-4</v>
      </c>
    </row>
    <row r="3586" spans="1:8" x14ac:dyDescent="0.2">
      <c r="A3586" t="s">
        <v>7</v>
      </c>
      <c r="B3586" t="s">
        <v>20</v>
      </c>
      <c r="C3586" t="str">
        <f t="shared" si="112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1"/>
        <v>-4</v>
      </c>
    </row>
    <row r="3587" spans="1:8" x14ac:dyDescent="0.2">
      <c r="A3587" t="s">
        <v>7</v>
      </c>
      <c r="B3587" s="1" t="s">
        <v>20</v>
      </c>
      <c r="C3587" t="str">
        <f t="shared" si="112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ref="H3587:H3650" si="113">F3587-G3587</f>
        <v>-4</v>
      </c>
    </row>
    <row r="3588" spans="1:8" x14ac:dyDescent="0.2">
      <c r="A3588" t="s">
        <v>7</v>
      </c>
      <c r="B3588" t="s">
        <v>20</v>
      </c>
      <c r="C3588" t="str">
        <f t="shared" ref="C3588:C3651" si="114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3"/>
        <v>-4</v>
      </c>
    </row>
    <row r="3589" spans="1:8" x14ac:dyDescent="0.2">
      <c r="A3589" t="s">
        <v>7</v>
      </c>
      <c r="B3589" s="1" t="s">
        <v>20</v>
      </c>
      <c r="C3589" t="str">
        <f t="shared" si="114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3"/>
        <v>-4</v>
      </c>
    </row>
    <row r="3590" spans="1:8" x14ac:dyDescent="0.2">
      <c r="A3590" t="s">
        <v>7</v>
      </c>
      <c r="B3590" t="s">
        <v>20</v>
      </c>
      <c r="C3590" t="str">
        <f t="shared" si="114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3"/>
        <v>-4</v>
      </c>
    </row>
    <row r="3591" spans="1:8" x14ac:dyDescent="0.2">
      <c r="A3591" t="s">
        <v>7</v>
      </c>
      <c r="B3591" s="1" t="s">
        <v>20</v>
      </c>
      <c r="C3591" t="str">
        <f t="shared" si="114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3"/>
        <v>-4</v>
      </c>
    </row>
    <row r="3592" spans="1:8" x14ac:dyDescent="0.2">
      <c r="A3592" t="s">
        <v>7</v>
      </c>
      <c r="B3592" t="s">
        <v>20</v>
      </c>
      <c r="C3592" t="str">
        <f t="shared" si="114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3"/>
        <v>-5</v>
      </c>
    </row>
    <row r="3593" spans="1:8" x14ac:dyDescent="0.2">
      <c r="A3593" t="s">
        <v>7</v>
      </c>
      <c r="B3593" s="1" t="s">
        <v>20</v>
      </c>
      <c r="C3593" t="str">
        <f t="shared" si="114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3"/>
        <v>-5</v>
      </c>
    </row>
    <row r="3594" spans="1:8" x14ac:dyDescent="0.2">
      <c r="A3594" t="s">
        <v>7</v>
      </c>
      <c r="B3594" t="s">
        <v>20</v>
      </c>
      <c r="C3594" t="str">
        <f t="shared" si="114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3"/>
        <v>-5</v>
      </c>
    </row>
    <row r="3595" spans="1:8" x14ac:dyDescent="0.2">
      <c r="A3595" t="s">
        <v>7</v>
      </c>
      <c r="B3595" s="1" t="s">
        <v>20</v>
      </c>
      <c r="C3595" t="str">
        <f t="shared" si="114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3"/>
        <v>-5</v>
      </c>
    </row>
    <row r="3596" spans="1:8" x14ac:dyDescent="0.2">
      <c r="A3596" t="s">
        <v>7</v>
      </c>
      <c r="B3596" t="s">
        <v>20</v>
      </c>
      <c r="C3596" t="str">
        <f t="shared" si="114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3"/>
        <v>0</v>
      </c>
    </row>
    <row r="3597" spans="1:8" x14ac:dyDescent="0.2">
      <c r="A3597" t="s">
        <v>7</v>
      </c>
      <c r="B3597" s="1" t="s">
        <v>20</v>
      </c>
      <c r="C3597" t="str">
        <f t="shared" si="114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3"/>
        <v>-5</v>
      </c>
    </row>
    <row r="3598" spans="1:8" x14ac:dyDescent="0.2">
      <c r="A3598" t="s">
        <v>7</v>
      </c>
      <c r="B3598" t="s">
        <v>20</v>
      </c>
      <c r="C3598" t="str">
        <f t="shared" si="114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3"/>
        <v>-5</v>
      </c>
    </row>
    <row r="3599" spans="1:8" x14ac:dyDescent="0.2">
      <c r="A3599" t="s">
        <v>7</v>
      </c>
      <c r="B3599" s="1" t="s">
        <v>20</v>
      </c>
      <c r="C3599" t="str">
        <f t="shared" si="114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3"/>
        <v>-5</v>
      </c>
    </row>
    <row r="3600" spans="1:8" x14ac:dyDescent="0.2">
      <c r="A3600" t="s">
        <v>7</v>
      </c>
      <c r="B3600" t="s">
        <v>20</v>
      </c>
      <c r="C3600" t="str">
        <f t="shared" si="114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3"/>
        <v>-5</v>
      </c>
    </row>
    <row r="3601" spans="1:8" x14ac:dyDescent="0.2">
      <c r="A3601" t="s">
        <v>7</v>
      </c>
      <c r="B3601" s="1" t="s">
        <v>20</v>
      </c>
      <c r="C3601" t="str">
        <f t="shared" si="114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3"/>
        <v>-5</v>
      </c>
    </row>
    <row r="3602" spans="1:8" x14ac:dyDescent="0.2">
      <c r="A3602" t="s">
        <v>7</v>
      </c>
      <c r="B3602" t="s">
        <v>20</v>
      </c>
      <c r="C3602" t="str">
        <f t="shared" si="114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3"/>
        <v>-5</v>
      </c>
    </row>
    <row r="3603" spans="1:8" x14ac:dyDescent="0.2">
      <c r="A3603" t="s">
        <v>7</v>
      </c>
      <c r="B3603" s="1" t="s">
        <v>20</v>
      </c>
      <c r="C3603" t="str">
        <f t="shared" si="114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3"/>
        <v>-5</v>
      </c>
    </row>
    <row r="3604" spans="1:8" x14ac:dyDescent="0.2">
      <c r="A3604" t="s">
        <v>7</v>
      </c>
      <c r="B3604" t="s">
        <v>20</v>
      </c>
      <c r="C3604" t="str">
        <f t="shared" si="114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si="113"/>
        <v>-5</v>
      </c>
    </row>
    <row r="3605" spans="1:8" x14ac:dyDescent="0.2">
      <c r="A3605" t="s">
        <v>7</v>
      </c>
      <c r="B3605" s="1" t="s">
        <v>20</v>
      </c>
      <c r="C3605" t="str">
        <f t="shared" si="114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3"/>
        <v>-5</v>
      </c>
    </row>
    <row r="3606" spans="1:8" x14ac:dyDescent="0.2">
      <c r="A3606" t="s">
        <v>7</v>
      </c>
      <c r="B3606" t="s">
        <v>20</v>
      </c>
      <c r="C3606" t="str">
        <f t="shared" si="114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3"/>
        <v>-5</v>
      </c>
    </row>
    <row r="3607" spans="1:8" x14ac:dyDescent="0.2">
      <c r="A3607" t="s">
        <v>7</v>
      </c>
      <c r="B3607" s="1" t="s">
        <v>20</v>
      </c>
      <c r="C3607" t="str">
        <f t="shared" si="114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3"/>
        <v>-5</v>
      </c>
    </row>
    <row r="3608" spans="1:8" x14ac:dyDescent="0.2">
      <c r="A3608" t="s">
        <v>7</v>
      </c>
      <c r="B3608" t="s">
        <v>20</v>
      </c>
      <c r="C3608" t="str">
        <f t="shared" si="114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3"/>
        <v>-5</v>
      </c>
    </row>
    <row r="3609" spans="1:8" x14ac:dyDescent="0.2">
      <c r="A3609" t="s">
        <v>7</v>
      </c>
      <c r="B3609" s="1" t="s">
        <v>20</v>
      </c>
      <c r="C3609" t="str">
        <f t="shared" si="114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3"/>
        <v>-5</v>
      </c>
    </row>
    <row r="3610" spans="1:8" x14ac:dyDescent="0.2">
      <c r="A3610" t="s">
        <v>7</v>
      </c>
      <c r="B3610" t="s">
        <v>20</v>
      </c>
      <c r="C3610" t="str">
        <f t="shared" si="114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3"/>
        <v>0</v>
      </c>
    </row>
    <row r="3611" spans="1:8" x14ac:dyDescent="0.2">
      <c r="A3611" t="s">
        <v>7</v>
      </c>
      <c r="B3611" s="1" t="s">
        <v>20</v>
      </c>
      <c r="C3611" t="str">
        <f t="shared" si="114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3"/>
        <v>-5</v>
      </c>
    </row>
    <row r="3612" spans="1:8" x14ac:dyDescent="0.2">
      <c r="A3612" t="s">
        <v>7</v>
      </c>
      <c r="B3612" t="s">
        <v>20</v>
      </c>
      <c r="C3612" t="str">
        <f t="shared" si="114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3"/>
        <v>-5</v>
      </c>
    </row>
    <row r="3613" spans="1:8" x14ac:dyDescent="0.2">
      <c r="A3613" t="s">
        <v>7</v>
      </c>
      <c r="B3613" s="1" t="s">
        <v>20</v>
      </c>
      <c r="C3613" t="str">
        <f t="shared" si="114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3"/>
        <v>-5</v>
      </c>
    </row>
    <row r="3614" spans="1:8" x14ac:dyDescent="0.2">
      <c r="A3614" t="s">
        <v>7</v>
      </c>
      <c r="B3614" t="s">
        <v>20</v>
      </c>
      <c r="C3614" t="str">
        <f t="shared" si="114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3"/>
        <v>-5</v>
      </c>
    </row>
    <row r="3615" spans="1:8" x14ac:dyDescent="0.2">
      <c r="A3615" t="s">
        <v>7</v>
      </c>
      <c r="B3615" s="1" t="s">
        <v>20</v>
      </c>
      <c r="C3615" t="str">
        <f t="shared" si="114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3"/>
        <v>-5</v>
      </c>
    </row>
    <row r="3616" spans="1:8" x14ac:dyDescent="0.2">
      <c r="A3616" t="s">
        <v>7</v>
      </c>
      <c r="B3616" t="s">
        <v>20</v>
      </c>
      <c r="C3616" t="str">
        <f t="shared" si="114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3"/>
        <v>-5</v>
      </c>
    </row>
    <row r="3617" spans="1:8" x14ac:dyDescent="0.2">
      <c r="A3617" t="s">
        <v>7</v>
      </c>
      <c r="B3617" s="1" t="s">
        <v>20</v>
      </c>
      <c r="C3617" t="str">
        <f t="shared" si="114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3"/>
        <v>-5</v>
      </c>
    </row>
    <row r="3618" spans="1:8" x14ac:dyDescent="0.2">
      <c r="A3618" t="s">
        <v>7</v>
      </c>
      <c r="B3618" t="s">
        <v>20</v>
      </c>
      <c r="C3618" t="str">
        <f t="shared" si="114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3"/>
        <v>-6</v>
      </c>
    </row>
    <row r="3619" spans="1:8" x14ac:dyDescent="0.2">
      <c r="A3619" t="s">
        <v>19</v>
      </c>
      <c r="B3619" s="1" t="s">
        <v>20</v>
      </c>
      <c r="C3619" t="str">
        <f t="shared" si="114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3"/>
        <v>-6</v>
      </c>
    </row>
    <row r="3620" spans="1:8" x14ac:dyDescent="0.2">
      <c r="A3620" t="s">
        <v>7</v>
      </c>
      <c r="B3620" t="s">
        <v>20</v>
      </c>
      <c r="C3620" t="str">
        <f t="shared" si="114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3"/>
        <v>-6</v>
      </c>
    </row>
    <row r="3621" spans="1:8" x14ac:dyDescent="0.2">
      <c r="A3621" t="s">
        <v>19</v>
      </c>
      <c r="B3621" s="1" t="s">
        <v>20</v>
      </c>
      <c r="C3621" t="str">
        <f t="shared" si="114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3"/>
        <v>-6</v>
      </c>
    </row>
    <row r="3622" spans="1:8" x14ac:dyDescent="0.2">
      <c r="A3622" t="s">
        <v>18</v>
      </c>
      <c r="B3622" t="s">
        <v>20</v>
      </c>
      <c r="C3622" t="str">
        <f t="shared" si="114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3"/>
        <v>0</v>
      </c>
    </row>
    <row r="3623" spans="1:8" x14ac:dyDescent="0.2">
      <c r="A3623" t="s">
        <v>19</v>
      </c>
      <c r="B3623" s="1" t="s">
        <v>20</v>
      </c>
      <c r="C3623" t="str">
        <f t="shared" si="114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3"/>
        <v>-6</v>
      </c>
    </row>
    <row r="3624" spans="1:8" x14ac:dyDescent="0.2">
      <c r="A3624" t="s">
        <v>7</v>
      </c>
      <c r="B3624" t="s">
        <v>20</v>
      </c>
      <c r="C3624" t="str">
        <f t="shared" si="114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3"/>
        <v>-6</v>
      </c>
    </row>
    <row r="3625" spans="1:8" x14ac:dyDescent="0.2">
      <c r="A3625" t="s">
        <v>7</v>
      </c>
      <c r="B3625" s="1" t="s">
        <v>20</v>
      </c>
      <c r="C3625" t="str">
        <f t="shared" si="114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3"/>
        <v>-6</v>
      </c>
    </row>
    <row r="3626" spans="1:8" x14ac:dyDescent="0.2">
      <c r="A3626" t="s">
        <v>7</v>
      </c>
      <c r="B3626" t="s">
        <v>20</v>
      </c>
      <c r="C3626" t="str">
        <f t="shared" si="114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3"/>
        <v>-6</v>
      </c>
    </row>
    <row r="3627" spans="1:8" x14ac:dyDescent="0.2">
      <c r="A3627" t="s">
        <v>7</v>
      </c>
      <c r="B3627" s="1" t="s">
        <v>20</v>
      </c>
      <c r="C3627" t="str">
        <f t="shared" si="114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3"/>
        <v>-6</v>
      </c>
    </row>
    <row r="3628" spans="1:8" x14ac:dyDescent="0.2">
      <c r="A3628" t="s">
        <v>7</v>
      </c>
      <c r="B3628" t="s">
        <v>20</v>
      </c>
      <c r="C3628" t="str">
        <f t="shared" si="114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3"/>
        <v>-6</v>
      </c>
    </row>
    <row r="3629" spans="1:8" x14ac:dyDescent="0.2">
      <c r="A3629" t="s">
        <v>7</v>
      </c>
      <c r="B3629" s="1" t="s">
        <v>20</v>
      </c>
      <c r="C3629" t="str">
        <f t="shared" si="114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3"/>
        <v>-6</v>
      </c>
    </row>
    <row r="3630" spans="1:8" x14ac:dyDescent="0.2">
      <c r="A3630" t="s">
        <v>18</v>
      </c>
      <c r="B3630" t="s">
        <v>20</v>
      </c>
      <c r="C3630" t="str">
        <f t="shared" si="114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3"/>
        <v>-6</v>
      </c>
    </row>
    <row r="3631" spans="1:8" x14ac:dyDescent="0.2">
      <c r="A3631" t="s">
        <v>7</v>
      </c>
      <c r="B3631" s="1" t="s">
        <v>20</v>
      </c>
      <c r="C3631" t="str">
        <f t="shared" si="114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3"/>
        <v>-6</v>
      </c>
    </row>
    <row r="3632" spans="1:8" x14ac:dyDescent="0.2">
      <c r="A3632" t="s">
        <v>18</v>
      </c>
      <c r="B3632" t="s">
        <v>20</v>
      </c>
      <c r="C3632" t="str">
        <f t="shared" si="114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3"/>
        <v>-6</v>
      </c>
    </row>
    <row r="3633" spans="1:8" x14ac:dyDescent="0.2">
      <c r="A3633" t="s">
        <v>7</v>
      </c>
      <c r="B3633" s="1" t="s">
        <v>20</v>
      </c>
      <c r="C3633" t="str">
        <f t="shared" si="114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3"/>
        <v>-6</v>
      </c>
    </row>
    <row r="3634" spans="1:8" x14ac:dyDescent="0.2">
      <c r="A3634" t="s">
        <v>7</v>
      </c>
      <c r="B3634" t="s">
        <v>20</v>
      </c>
      <c r="C3634" t="str">
        <f t="shared" si="114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3"/>
        <v>-6</v>
      </c>
    </row>
    <row r="3635" spans="1:8" x14ac:dyDescent="0.2">
      <c r="A3635" t="s">
        <v>7</v>
      </c>
      <c r="B3635" s="1" t="s">
        <v>20</v>
      </c>
      <c r="C3635" t="str">
        <f t="shared" si="114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3"/>
        <v>-6</v>
      </c>
    </row>
    <row r="3636" spans="1:8" x14ac:dyDescent="0.2">
      <c r="A3636" t="s">
        <v>7</v>
      </c>
      <c r="B3636" t="s">
        <v>20</v>
      </c>
      <c r="C3636" t="str">
        <f t="shared" si="114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3"/>
        <v>-6</v>
      </c>
    </row>
    <row r="3637" spans="1:8" x14ac:dyDescent="0.2">
      <c r="A3637" t="s">
        <v>7</v>
      </c>
      <c r="B3637" s="1" t="s">
        <v>20</v>
      </c>
      <c r="C3637" t="str">
        <f t="shared" si="114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3"/>
        <v>-6</v>
      </c>
    </row>
    <row r="3638" spans="1:8" x14ac:dyDescent="0.2">
      <c r="A3638" t="s">
        <v>7</v>
      </c>
      <c r="B3638" t="s">
        <v>20</v>
      </c>
      <c r="C3638" t="str">
        <f t="shared" si="114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3"/>
        <v>-6</v>
      </c>
    </row>
    <row r="3639" spans="1:8" x14ac:dyDescent="0.2">
      <c r="A3639" t="s">
        <v>7</v>
      </c>
      <c r="B3639" s="1" t="s">
        <v>20</v>
      </c>
      <c r="C3639" t="str">
        <f t="shared" si="114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3"/>
        <v>-6</v>
      </c>
    </row>
    <row r="3640" spans="1:8" x14ac:dyDescent="0.2">
      <c r="A3640" t="s">
        <v>7</v>
      </c>
      <c r="B3640" t="s">
        <v>20</v>
      </c>
      <c r="C3640" t="str">
        <f t="shared" si="114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3"/>
        <v>-6</v>
      </c>
    </row>
    <row r="3641" spans="1:8" x14ac:dyDescent="0.2">
      <c r="A3641" t="s">
        <v>7</v>
      </c>
      <c r="B3641" s="1" t="s">
        <v>20</v>
      </c>
      <c r="C3641" t="str">
        <f t="shared" si="114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3"/>
        <v>-6</v>
      </c>
    </row>
    <row r="3642" spans="1:8" x14ac:dyDescent="0.2">
      <c r="A3642" t="s">
        <v>7</v>
      </c>
      <c r="B3642" t="s">
        <v>20</v>
      </c>
      <c r="C3642" t="str">
        <f t="shared" si="114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3"/>
        <v>-6</v>
      </c>
    </row>
    <row r="3643" spans="1:8" x14ac:dyDescent="0.2">
      <c r="A3643" t="s">
        <v>7</v>
      </c>
      <c r="B3643" s="1" t="s">
        <v>20</v>
      </c>
      <c r="C3643" t="str">
        <f t="shared" si="114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3"/>
        <v>-6</v>
      </c>
    </row>
    <row r="3644" spans="1:8" x14ac:dyDescent="0.2">
      <c r="A3644" t="s">
        <v>7</v>
      </c>
      <c r="B3644" t="s">
        <v>20</v>
      </c>
      <c r="C3644" t="str">
        <f t="shared" si="114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3"/>
        <v>0</v>
      </c>
    </row>
    <row r="3645" spans="1:8" x14ac:dyDescent="0.2">
      <c r="A3645" t="s">
        <v>7</v>
      </c>
      <c r="B3645" s="1" t="s">
        <v>20</v>
      </c>
      <c r="C3645" t="str">
        <f t="shared" si="114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3"/>
        <v>-6</v>
      </c>
    </row>
    <row r="3646" spans="1:8" x14ac:dyDescent="0.2">
      <c r="A3646" t="s">
        <v>18</v>
      </c>
      <c r="B3646" t="s">
        <v>20</v>
      </c>
      <c r="C3646" t="str">
        <f t="shared" si="114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3"/>
        <v>-6</v>
      </c>
    </row>
    <row r="3647" spans="1:8" x14ac:dyDescent="0.2">
      <c r="A3647" t="s">
        <v>18</v>
      </c>
      <c r="B3647" s="1" t="s">
        <v>20</v>
      </c>
      <c r="C3647" t="str">
        <f t="shared" si="114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3"/>
        <v>-6</v>
      </c>
    </row>
    <row r="3648" spans="1:8" x14ac:dyDescent="0.2">
      <c r="A3648" t="s">
        <v>18</v>
      </c>
      <c r="B3648" t="s">
        <v>20</v>
      </c>
      <c r="C3648" t="str">
        <f t="shared" si="114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3"/>
        <v>-6</v>
      </c>
    </row>
    <row r="3649" spans="1:8" x14ac:dyDescent="0.2">
      <c r="A3649" t="s">
        <v>21</v>
      </c>
      <c r="B3649" s="1" t="s">
        <v>20</v>
      </c>
      <c r="C3649" t="str">
        <f t="shared" si="114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3"/>
        <v>-6</v>
      </c>
    </row>
    <row r="3650" spans="1:8" x14ac:dyDescent="0.2">
      <c r="A3650" t="s">
        <v>21</v>
      </c>
      <c r="B3650" t="s">
        <v>20</v>
      </c>
      <c r="C3650" t="str">
        <f t="shared" si="114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3"/>
        <v>-6</v>
      </c>
    </row>
    <row r="3651" spans="1:8" x14ac:dyDescent="0.2">
      <c r="A3651" t="s">
        <v>21</v>
      </c>
      <c r="B3651" s="1" t="s">
        <v>20</v>
      </c>
      <c r="C3651" t="str">
        <f t="shared" si="114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ref="H3651:H3714" si="115">F3651-G3651</f>
        <v>-6</v>
      </c>
    </row>
    <row r="3652" spans="1:8" x14ac:dyDescent="0.2">
      <c r="A3652" t="s">
        <v>21</v>
      </c>
      <c r="B3652" t="s">
        <v>20</v>
      </c>
      <c r="C3652" t="str">
        <f t="shared" ref="C3652:C3715" si="116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5"/>
        <v>-6</v>
      </c>
    </row>
    <row r="3653" spans="1:8" x14ac:dyDescent="0.2">
      <c r="A3653" t="s">
        <v>21</v>
      </c>
      <c r="B3653" s="1" t="s">
        <v>20</v>
      </c>
      <c r="C3653" t="str">
        <f t="shared" si="116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5"/>
        <v>-6</v>
      </c>
    </row>
    <row r="3654" spans="1:8" x14ac:dyDescent="0.2">
      <c r="A3654" t="s">
        <v>21</v>
      </c>
      <c r="B3654" t="s">
        <v>20</v>
      </c>
      <c r="C3654" t="str">
        <f t="shared" si="116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5"/>
        <v>-6</v>
      </c>
    </row>
    <row r="3655" spans="1:8" x14ac:dyDescent="0.2">
      <c r="A3655" t="s">
        <v>21</v>
      </c>
      <c r="B3655" s="1" t="s">
        <v>20</v>
      </c>
      <c r="C3655" t="str">
        <f t="shared" si="116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5"/>
        <v>-6</v>
      </c>
    </row>
    <row r="3656" spans="1:8" x14ac:dyDescent="0.2">
      <c r="A3656" t="s">
        <v>21</v>
      </c>
      <c r="B3656" t="s">
        <v>20</v>
      </c>
      <c r="C3656" t="str">
        <f t="shared" si="116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5"/>
        <v>-6</v>
      </c>
    </row>
    <row r="3657" spans="1:8" x14ac:dyDescent="0.2">
      <c r="A3657" t="s">
        <v>21</v>
      </c>
      <c r="B3657" s="1" t="s">
        <v>20</v>
      </c>
      <c r="C3657" t="str">
        <f t="shared" si="116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5"/>
        <v>-6</v>
      </c>
    </row>
    <row r="3658" spans="1:8" x14ac:dyDescent="0.2">
      <c r="A3658" t="s">
        <v>21</v>
      </c>
      <c r="B3658" t="s">
        <v>20</v>
      </c>
      <c r="C3658" t="str">
        <f t="shared" si="116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5"/>
        <v>-6</v>
      </c>
    </row>
    <row r="3659" spans="1:8" x14ac:dyDescent="0.2">
      <c r="A3659" t="s">
        <v>21</v>
      </c>
      <c r="B3659" s="1" t="s">
        <v>20</v>
      </c>
      <c r="C3659" t="str">
        <f t="shared" si="116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5"/>
        <v>-6</v>
      </c>
    </row>
    <row r="3660" spans="1:8" x14ac:dyDescent="0.2">
      <c r="A3660" t="s">
        <v>21</v>
      </c>
      <c r="B3660" t="s">
        <v>20</v>
      </c>
      <c r="C3660" t="str">
        <f t="shared" si="116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5"/>
        <v>-6</v>
      </c>
    </row>
    <row r="3661" spans="1:8" x14ac:dyDescent="0.2">
      <c r="A3661" t="s">
        <v>21</v>
      </c>
      <c r="B3661" s="1" t="s">
        <v>20</v>
      </c>
      <c r="C3661" t="str">
        <f t="shared" si="116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5"/>
        <v>-6</v>
      </c>
    </row>
    <row r="3662" spans="1:8" x14ac:dyDescent="0.2">
      <c r="A3662" t="s">
        <v>21</v>
      </c>
      <c r="B3662" t="s">
        <v>20</v>
      </c>
      <c r="C3662" t="str">
        <f t="shared" si="116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5"/>
        <v>-6</v>
      </c>
    </row>
    <row r="3663" spans="1:8" x14ac:dyDescent="0.2">
      <c r="A3663" t="s">
        <v>21</v>
      </c>
      <c r="B3663" s="1" t="s">
        <v>20</v>
      </c>
      <c r="C3663" t="str">
        <f t="shared" si="116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5"/>
        <v>-6</v>
      </c>
    </row>
    <row r="3664" spans="1:8" x14ac:dyDescent="0.2">
      <c r="A3664" t="s">
        <v>21</v>
      </c>
      <c r="B3664" t="s">
        <v>20</v>
      </c>
      <c r="C3664" t="str">
        <f t="shared" si="116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5"/>
        <v>-6</v>
      </c>
    </row>
    <row r="3665" spans="1:8" x14ac:dyDescent="0.2">
      <c r="A3665" t="s">
        <v>21</v>
      </c>
      <c r="B3665" s="1" t="s">
        <v>20</v>
      </c>
      <c r="C3665" t="str">
        <f t="shared" si="116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5"/>
        <v>-6</v>
      </c>
    </row>
    <row r="3666" spans="1:8" x14ac:dyDescent="0.2">
      <c r="A3666" t="s">
        <v>21</v>
      </c>
      <c r="B3666" t="s">
        <v>20</v>
      </c>
      <c r="C3666" t="str">
        <f t="shared" si="116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5"/>
        <v>-6</v>
      </c>
    </row>
    <row r="3667" spans="1:8" x14ac:dyDescent="0.2">
      <c r="A3667" t="s">
        <v>21</v>
      </c>
      <c r="B3667" s="1" t="s">
        <v>20</v>
      </c>
      <c r="C3667" t="str">
        <f t="shared" si="116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5"/>
        <v>-6</v>
      </c>
    </row>
    <row r="3668" spans="1:8" x14ac:dyDescent="0.2">
      <c r="A3668" t="s">
        <v>21</v>
      </c>
      <c r="B3668" t="s">
        <v>20</v>
      </c>
      <c r="C3668" t="str">
        <f t="shared" si="116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si="115"/>
        <v>-6</v>
      </c>
    </row>
    <row r="3669" spans="1:8" x14ac:dyDescent="0.2">
      <c r="A3669" t="s">
        <v>21</v>
      </c>
      <c r="B3669" s="1" t="s">
        <v>20</v>
      </c>
      <c r="C3669" t="str">
        <f t="shared" si="116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15"/>
        <v>-6</v>
      </c>
    </row>
    <row r="3670" spans="1:8" x14ac:dyDescent="0.2">
      <c r="A3670" t="s">
        <v>18</v>
      </c>
      <c r="B3670" t="s">
        <v>20</v>
      </c>
      <c r="C3670" t="str">
        <f t="shared" si="116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15"/>
        <v>-6</v>
      </c>
    </row>
    <row r="3671" spans="1:8" x14ac:dyDescent="0.2">
      <c r="A3671" t="s">
        <v>7</v>
      </c>
      <c r="B3671" s="1" t="s">
        <v>20</v>
      </c>
      <c r="C3671" t="str">
        <f t="shared" si="116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15"/>
        <v>-6</v>
      </c>
    </row>
    <row r="3672" spans="1:8" x14ac:dyDescent="0.2">
      <c r="A3672" t="s">
        <v>7</v>
      </c>
      <c r="B3672" t="s">
        <v>20</v>
      </c>
      <c r="C3672" t="str">
        <f t="shared" si="116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15"/>
        <v>-6</v>
      </c>
    </row>
    <row r="3673" spans="1:8" x14ac:dyDescent="0.2">
      <c r="A3673" t="s">
        <v>7</v>
      </c>
      <c r="B3673" s="1" t="s">
        <v>20</v>
      </c>
      <c r="C3673" t="str">
        <f t="shared" si="116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15"/>
        <v>-6</v>
      </c>
    </row>
    <row r="3674" spans="1:8" x14ac:dyDescent="0.2">
      <c r="A3674" t="s">
        <v>7</v>
      </c>
      <c r="B3674" t="s">
        <v>20</v>
      </c>
      <c r="C3674" t="str">
        <f t="shared" si="116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15"/>
        <v>-6</v>
      </c>
    </row>
    <row r="3675" spans="1:8" x14ac:dyDescent="0.2">
      <c r="A3675" t="s">
        <v>7</v>
      </c>
      <c r="B3675" s="1" t="s">
        <v>20</v>
      </c>
      <c r="C3675" t="str">
        <f t="shared" si="116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15"/>
        <v>-6</v>
      </c>
    </row>
    <row r="3676" spans="1:8" x14ac:dyDescent="0.2">
      <c r="A3676" t="s">
        <v>18</v>
      </c>
      <c r="B3676" t="s">
        <v>20</v>
      </c>
      <c r="C3676" t="str">
        <f t="shared" si="116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15"/>
        <v>-6</v>
      </c>
    </row>
    <row r="3677" spans="1:8" x14ac:dyDescent="0.2">
      <c r="A3677" t="s">
        <v>18</v>
      </c>
      <c r="B3677" s="1" t="s">
        <v>20</v>
      </c>
      <c r="C3677" t="str">
        <f t="shared" si="116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15"/>
        <v>-6</v>
      </c>
    </row>
    <row r="3678" spans="1:8" x14ac:dyDescent="0.2">
      <c r="A3678" t="s">
        <v>18</v>
      </c>
      <c r="B3678" t="s">
        <v>20</v>
      </c>
      <c r="C3678" t="str">
        <f t="shared" si="116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15"/>
        <v>-6</v>
      </c>
    </row>
    <row r="3679" spans="1:8" x14ac:dyDescent="0.2">
      <c r="A3679" t="s">
        <v>7</v>
      </c>
      <c r="B3679" s="1" t="s">
        <v>20</v>
      </c>
      <c r="C3679" t="str">
        <f t="shared" si="116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15"/>
        <v>-6</v>
      </c>
    </row>
    <row r="3680" spans="1:8" x14ac:dyDescent="0.2">
      <c r="A3680" t="s">
        <v>19</v>
      </c>
      <c r="B3680" t="s">
        <v>20</v>
      </c>
      <c r="C3680" t="str">
        <f t="shared" si="116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15"/>
        <v>-6</v>
      </c>
    </row>
    <row r="3681" spans="1:8" x14ac:dyDescent="0.2">
      <c r="A3681" t="s">
        <v>19</v>
      </c>
      <c r="B3681" s="1" t="s">
        <v>20</v>
      </c>
      <c r="C3681" t="str">
        <f t="shared" si="116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15"/>
        <v>-6</v>
      </c>
    </row>
    <row r="3682" spans="1:8" x14ac:dyDescent="0.2">
      <c r="A3682" t="s">
        <v>7</v>
      </c>
      <c r="B3682" t="s">
        <v>20</v>
      </c>
      <c r="C3682" t="str">
        <f t="shared" si="116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15"/>
        <v>-6</v>
      </c>
    </row>
    <row r="3683" spans="1:8" x14ac:dyDescent="0.2">
      <c r="A3683" t="s">
        <v>18</v>
      </c>
      <c r="B3683" s="1" t="s">
        <v>20</v>
      </c>
      <c r="C3683" t="str">
        <f t="shared" si="116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15"/>
        <v>-6</v>
      </c>
    </row>
    <row r="3684" spans="1:8" x14ac:dyDescent="0.2">
      <c r="A3684" t="s">
        <v>7</v>
      </c>
      <c r="B3684" t="s">
        <v>20</v>
      </c>
      <c r="C3684" t="str">
        <f t="shared" si="116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15"/>
        <v>-6</v>
      </c>
    </row>
    <row r="3685" spans="1:8" x14ac:dyDescent="0.2">
      <c r="A3685" t="s">
        <v>19</v>
      </c>
      <c r="B3685" s="1" t="s">
        <v>20</v>
      </c>
      <c r="C3685" t="str">
        <f t="shared" si="116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15"/>
        <v>-6</v>
      </c>
    </row>
    <row r="3686" spans="1:8" x14ac:dyDescent="0.2">
      <c r="A3686" t="s">
        <v>7</v>
      </c>
      <c r="B3686" t="s">
        <v>20</v>
      </c>
      <c r="C3686" t="str">
        <f t="shared" si="116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15"/>
        <v>-6</v>
      </c>
    </row>
    <row r="3687" spans="1:8" x14ac:dyDescent="0.2">
      <c r="A3687" t="s">
        <v>19</v>
      </c>
      <c r="B3687" s="1" t="s">
        <v>20</v>
      </c>
      <c r="C3687" t="str">
        <f t="shared" si="116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15"/>
        <v>-6</v>
      </c>
    </row>
    <row r="3688" spans="1:8" x14ac:dyDescent="0.2">
      <c r="A3688" t="s">
        <v>19</v>
      </c>
      <c r="B3688" t="s">
        <v>20</v>
      </c>
      <c r="C3688" t="str">
        <f t="shared" si="116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15"/>
        <v>-6</v>
      </c>
    </row>
    <row r="3689" spans="1:8" x14ac:dyDescent="0.2">
      <c r="A3689" t="s">
        <v>7</v>
      </c>
      <c r="B3689" s="1" t="s">
        <v>20</v>
      </c>
      <c r="C3689" t="str">
        <f t="shared" si="116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15"/>
        <v>-6</v>
      </c>
    </row>
    <row r="3690" spans="1:8" x14ac:dyDescent="0.2">
      <c r="A3690" t="s">
        <v>18</v>
      </c>
      <c r="B3690" t="s">
        <v>20</v>
      </c>
      <c r="C3690" t="str">
        <f t="shared" si="116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15"/>
        <v>-6</v>
      </c>
    </row>
    <row r="3691" spans="1:8" x14ac:dyDescent="0.2">
      <c r="A3691" t="s">
        <v>19</v>
      </c>
      <c r="B3691" s="1" t="s">
        <v>20</v>
      </c>
      <c r="C3691" t="str">
        <f t="shared" si="116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15"/>
        <v>-6</v>
      </c>
    </row>
    <row r="3692" spans="1:8" x14ac:dyDescent="0.2">
      <c r="A3692" t="s">
        <v>19</v>
      </c>
      <c r="B3692" t="s">
        <v>20</v>
      </c>
      <c r="C3692" t="str">
        <f t="shared" si="116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15"/>
        <v>-6</v>
      </c>
    </row>
    <row r="3693" spans="1:8" x14ac:dyDescent="0.2">
      <c r="A3693" t="s">
        <v>19</v>
      </c>
      <c r="B3693" s="1" t="s">
        <v>20</v>
      </c>
      <c r="C3693" t="str">
        <f t="shared" si="116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15"/>
        <v>-6</v>
      </c>
    </row>
    <row r="3694" spans="1:8" x14ac:dyDescent="0.2">
      <c r="A3694" t="s">
        <v>7</v>
      </c>
      <c r="B3694" t="s">
        <v>20</v>
      </c>
      <c r="C3694" t="str">
        <f t="shared" si="116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15"/>
        <v>-6</v>
      </c>
    </row>
    <row r="3695" spans="1:8" x14ac:dyDescent="0.2">
      <c r="A3695" t="s">
        <v>19</v>
      </c>
      <c r="B3695" s="1" t="s">
        <v>20</v>
      </c>
      <c r="C3695" t="str">
        <f t="shared" si="116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15"/>
        <v>-6</v>
      </c>
    </row>
    <row r="3696" spans="1:8" x14ac:dyDescent="0.2">
      <c r="A3696" t="s">
        <v>7</v>
      </c>
      <c r="B3696" t="s">
        <v>20</v>
      </c>
      <c r="C3696" t="str">
        <f t="shared" si="116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15"/>
        <v>-6</v>
      </c>
    </row>
    <row r="3697" spans="1:8" x14ac:dyDescent="0.2">
      <c r="A3697" t="s">
        <v>18</v>
      </c>
      <c r="B3697" s="1" t="s">
        <v>20</v>
      </c>
      <c r="C3697" t="str">
        <f t="shared" si="116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15"/>
        <v>0</v>
      </c>
    </row>
    <row r="3698" spans="1:8" x14ac:dyDescent="0.2">
      <c r="A3698" t="s">
        <v>7</v>
      </c>
      <c r="B3698" t="s">
        <v>20</v>
      </c>
      <c r="C3698" t="str">
        <f t="shared" si="116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15"/>
        <v>-6</v>
      </c>
    </row>
    <row r="3699" spans="1:8" x14ac:dyDescent="0.2">
      <c r="A3699" t="s">
        <v>18</v>
      </c>
      <c r="B3699" s="1" t="s">
        <v>20</v>
      </c>
      <c r="C3699" t="str">
        <f t="shared" si="116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15"/>
        <v>-6</v>
      </c>
    </row>
    <row r="3700" spans="1:8" x14ac:dyDescent="0.2">
      <c r="A3700" t="s">
        <v>18</v>
      </c>
      <c r="B3700" t="s">
        <v>20</v>
      </c>
      <c r="C3700" t="str">
        <f t="shared" si="116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15"/>
        <v>-6</v>
      </c>
    </row>
    <row r="3701" spans="1:8" x14ac:dyDescent="0.2">
      <c r="A3701" t="s">
        <v>18</v>
      </c>
      <c r="B3701" s="1" t="s">
        <v>20</v>
      </c>
      <c r="C3701" t="str">
        <f t="shared" si="116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15"/>
        <v>-6</v>
      </c>
    </row>
    <row r="3702" spans="1:8" x14ac:dyDescent="0.2">
      <c r="A3702" t="s">
        <v>19</v>
      </c>
      <c r="B3702" t="s">
        <v>20</v>
      </c>
      <c r="C3702" t="str">
        <f t="shared" si="116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15"/>
        <v>-6</v>
      </c>
    </row>
    <row r="3703" spans="1:8" x14ac:dyDescent="0.2">
      <c r="A3703" t="s">
        <v>7</v>
      </c>
      <c r="B3703" s="1" t="s">
        <v>20</v>
      </c>
      <c r="C3703" t="str">
        <f t="shared" si="116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 t="shared" si="115"/>
        <v>33</v>
      </c>
    </row>
    <row r="3704" spans="1:8" x14ac:dyDescent="0.2">
      <c r="A3704" t="s">
        <v>7</v>
      </c>
      <c r="B3704" t="s">
        <v>20</v>
      </c>
      <c r="C3704" t="str">
        <f t="shared" si="116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si="115"/>
        <v>21</v>
      </c>
    </row>
    <row r="3705" spans="1:8" x14ac:dyDescent="0.2">
      <c r="A3705" t="s">
        <v>7</v>
      </c>
      <c r="B3705" s="1" t="s">
        <v>20</v>
      </c>
      <c r="C3705" t="str">
        <f t="shared" si="116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15"/>
        <v>16</v>
      </c>
    </row>
    <row r="3706" spans="1:8" x14ac:dyDescent="0.2">
      <c r="A3706" t="s">
        <v>7</v>
      </c>
      <c r="B3706" t="s">
        <v>20</v>
      </c>
      <c r="C3706" t="str">
        <f t="shared" si="116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15"/>
        <v>14</v>
      </c>
    </row>
    <row r="3707" spans="1:8" x14ac:dyDescent="0.2">
      <c r="A3707" t="s">
        <v>7</v>
      </c>
      <c r="B3707" s="1" t="s">
        <v>20</v>
      </c>
      <c r="C3707" t="str">
        <f t="shared" si="116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15"/>
        <v>11</v>
      </c>
    </row>
    <row r="3708" spans="1:8" x14ac:dyDescent="0.2">
      <c r="A3708" t="s">
        <v>7</v>
      </c>
      <c r="B3708" t="s">
        <v>20</v>
      </c>
      <c r="C3708" t="str">
        <f t="shared" si="116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15"/>
        <v>11</v>
      </c>
    </row>
    <row r="3709" spans="1:8" x14ac:dyDescent="0.2">
      <c r="A3709" t="s">
        <v>7</v>
      </c>
      <c r="B3709" s="1" t="s">
        <v>20</v>
      </c>
      <c r="C3709" t="str">
        <f t="shared" si="116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15"/>
        <v>8</v>
      </c>
    </row>
    <row r="3710" spans="1:8" x14ac:dyDescent="0.2">
      <c r="A3710" t="s">
        <v>7</v>
      </c>
      <c r="B3710" t="s">
        <v>20</v>
      </c>
      <c r="C3710" t="str">
        <f t="shared" si="116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15"/>
        <v>8</v>
      </c>
    </row>
    <row r="3711" spans="1:8" x14ac:dyDescent="0.2">
      <c r="A3711" t="s">
        <v>7</v>
      </c>
      <c r="B3711" s="1" t="s">
        <v>20</v>
      </c>
      <c r="C3711" t="str">
        <f t="shared" si="116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15"/>
        <v>7</v>
      </c>
    </row>
    <row r="3712" spans="1:8" x14ac:dyDescent="0.2">
      <c r="A3712" t="s">
        <v>7</v>
      </c>
      <c r="B3712" t="s">
        <v>20</v>
      </c>
      <c r="C3712" t="str">
        <f t="shared" si="116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15"/>
        <v>7</v>
      </c>
    </row>
    <row r="3713" spans="1:8" x14ac:dyDescent="0.2">
      <c r="A3713" t="s">
        <v>7</v>
      </c>
      <c r="B3713" s="1" t="s">
        <v>20</v>
      </c>
      <c r="C3713" t="str">
        <f t="shared" si="116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15"/>
        <v>6</v>
      </c>
    </row>
    <row r="3714" spans="1:8" x14ac:dyDescent="0.2">
      <c r="A3714" t="s">
        <v>7</v>
      </c>
      <c r="B3714" t="s">
        <v>20</v>
      </c>
      <c r="C3714" t="str">
        <f t="shared" si="116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15"/>
        <v>5</v>
      </c>
    </row>
    <row r="3715" spans="1:8" x14ac:dyDescent="0.2">
      <c r="A3715" t="s">
        <v>7</v>
      </c>
      <c r="B3715" s="1" t="s">
        <v>20</v>
      </c>
      <c r="C3715" t="str">
        <f t="shared" si="116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ref="H3715:H3778" si="117">F3715-G3715</f>
        <v>5</v>
      </c>
    </row>
    <row r="3716" spans="1:8" x14ac:dyDescent="0.2">
      <c r="A3716" t="s">
        <v>7</v>
      </c>
      <c r="B3716" t="s">
        <v>20</v>
      </c>
      <c r="C3716" t="str">
        <f t="shared" ref="C3716:C3779" si="118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17"/>
        <v>4</v>
      </c>
    </row>
    <row r="3717" spans="1:8" x14ac:dyDescent="0.2">
      <c r="A3717" t="s">
        <v>7</v>
      </c>
      <c r="B3717" s="1" t="s">
        <v>20</v>
      </c>
      <c r="C3717" t="str">
        <f t="shared" si="118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17"/>
        <v>4</v>
      </c>
    </row>
    <row r="3718" spans="1:8" x14ac:dyDescent="0.2">
      <c r="A3718" t="s">
        <v>7</v>
      </c>
      <c r="B3718" t="s">
        <v>20</v>
      </c>
      <c r="C3718" t="str">
        <f t="shared" si="118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17"/>
        <v>3</v>
      </c>
    </row>
    <row r="3719" spans="1:8" x14ac:dyDescent="0.2">
      <c r="A3719" t="s">
        <v>7</v>
      </c>
      <c r="B3719" s="1" t="s">
        <v>20</v>
      </c>
      <c r="C3719" t="str">
        <f t="shared" si="118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17"/>
        <v>3</v>
      </c>
    </row>
    <row r="3720" spans="1:8" x14ac:dyDescent="0.2">
      <c r="A3720" t="s">
        <v>7</v>
      </c>
      <c r="B3720" t="s">
        <v>20</v>
      </c>
      <c r="C3720" t="str">
        <f t="shared" si="118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17"/>
        <v>2</v>
      </c>
    </row>
    <row r="3721" spans="1:8" x14ac:dyDescent="0.2">
      <c r="A3721" t="s">
        <v>7</v>
      </c>
      <c r="B3721" s="1" t="s">
        <v>20</v>
      </c>
      <c r="C3721" t="str">
        <f t="shared" si="118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17"/>
        <v>2</v>
      </c>
    </row>
    <row r="3722" spans="1:8" x14ac:dyDescent="0.2">
      <c r="A3722" t="s">
        <v>7</v>
      </c>
      <c r="B3722" t="s">
        <v>20</v>
      </c>
      <c r="C3722" t="str">
        <f t="shared" si="118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17"/>
        <v>2</v>
      </c>
    </row>
    <row r="3723" spans="1:8" x14ac:dyDescent="0.2">
      <c r="A3723" t="s">
        <v>7</v>
      </c>
      <c r="B3723" s="1" t="s">
        <v>20</v>
      </c>
      <c r="C3723" t="str">
        <f t="shared" si="118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17"/>
        <v>1</v>
      </c>
    </row>
    <row r="3724" spans="1:8" x14ac:dyDescent="0.2">
      <c r="A3724" t="s">
        <v>7</v>
      </c>
      <c r="B3724" t="s">
        <v>20</v>
      </c>
      <c r="C3724" t="str">
        <f t="shared" si="118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17"/>
        <v>1</v>
      </c>
    </row>
    <row r="3725" spans="1:8" x14ac:dyDescent="0.2">
      <c r="A3725" t="s">
        <v>7</v>
      </c>
      <c r="B3725" s="1" t="s">
        <v>20</v>
      </c>
      <c r="C3725" t="str">
        <f t="shared" si="118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17"/>
        <v>1</v>
      </c>
    </row>
    <row r="3726" spans="1:8" x14ac:dyDescent="0.2">
      <c r="A3726" t="s">
        <v>7</v>
      </c>
      <c r="B3726" t="s">
        <v>20</v>
      </c>
      <c r="C3726" t="str">
        <f t="shared" si="118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17"/>
        <v>1</v>
      </c>
    </row>
    <row r="3727" spans="1:8" x14ac:dyDescent="0.2">
      <c r="A3727" t="s">
        <v>7</v>
      </c>
      <c r="B3727" s="1" t="s">
        <v>20</v>
      </c>
      <c r="C3727" t="str">
        <f t="shared" si="118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17"/>
        <v>1</v>
      </c>
    </row>
    <row r="3728" spans="1:8" x14ac:dyDescent="0.2">
      <c r="A3728" t="s">
        <v>7</v>
      </c>
      <c r="B3728" t="s">
        <v>20</v>
      </c>
      <c r="C3728" t="str">
        <f t="shared" si="118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17"/>
        <v>1</v>
      </c>
    </row>
    <row r="3729" spans="1:8" x14ac:dyDescent="0.2">
      <c r="A3729" t="s">
        <v>7</v>
      </c>
      <c r="B3729" s="1" t="s">
        <v>20</v>
      </c>
      <c r="C3729" t="str">
        <f t="shared" si="118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17"/>
        <v>0</v>
      </c>
    </row>
    <row r="3730" spans="1:8" x14ac:dyDescent="0.2">
      <c r="A3730" t="s">
        <v>7</v>
      </c>
      <c r="B3730" t="s">
        <v>20</v>
      </c>
      <c r="C3730" t="str">
        <f t="shared" si="118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17"/>
        <v>0</v>
      </c>
    </row>
    <row r="3731" spans="1:8" x14ac:dyDescent="0.2">
      <c r="A3731" t="s">
        <v>7</v>
      </c>
      <c r="B3731" s="1" t="s">
        <v>20</v>
      </c>
      <c r="C3731" t="str">
        <f t="shared" si="118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17"/>
        <v>0</v>
      </c>
    </row>
    <row r="3732" spans="1:8" x14ac:dyDescent="0.2">
      <c r="A3732" t="s">
        <v>7</v>
      </c>
      <c r="B3732" t="s">
        <v>20</v>
      </c>
      <c r="C3732" t="str">
        <f t="shared" si="118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17"/>
        <v>-1</v>
      </c>
    </row>
    <row r="3733" spans="1:8" x14ac:dyDescent="0.2">
      <c r="A3733" t="s">
        <v>7</v>
      </c>
      <c r="B3733" s="1" t="s">
        <v>20</v>
      </c>
      <c r="C3733" t="str">
        <f t="shared" si="118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17"/>
        <v>-1</v>
      </c>
    </row>
    <row r="3734" spans="1:8" x14ac:dyDescent="0.2">
      <c r="A3734" t="s">
        <v>7</v>
      </c>
      <c r="B3734" t="s">
        <v>20</v>
      </c>
      <c r="C3734" t="str">
        <f t="shared" si="118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17"/>
        <v>-1</v>
      </c>
    </row>
    <row r="3735" spans="1:8" x14ac:dyDescent="0.2">
      <c r="A3735" t="s">
        <v>7</v>
      </c>
      <c r="B3735" s="1" t="s">
        <v>20</v>
      </c>
      <c r="C3735" t="str">
        <f t="shared" si="118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17"/>
        <v>-1</v>
      </c>
    </row>
    <row r="3736" spans="1:8" x14ac:dyDescent="0.2">
      <c r="A3736" t="s">
        <v>7</v>
      </c>
      <c r="B3736" t="s">
        <v>20</v>
      </c>
      <c r="C3736" t="str">
        <f t="shared" si="118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17"/>
        <v>-1</v>
      </c>
    </row>
    <row r="3737" spans="1:8" x14ac:dyDescent="0.2">
      <c r="A3737" t="s">
        <v>7</v>
      </c>
      <c r="B3737" s="1" t="s">
        <v>20</v>
      </c>
      <c r="C3737" t="str">
        <f t="shared" si="118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17"/>
        <v>-1</v>
      </c>
    </row>
    <row r="3738" spans="1:8" x14ac:dyDescent="0.2">
      <c r="A3738" t="s">
        <v>7</v>
      </c>
      <c r="B3738" t="s">
        <v>20</v>
      </c>
      <c r="C3738" t="str">
        <f t="shared" si="118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17"/>
        <v>-1</v>
      </c>
    </row>
    <row r="3739" spans="1:8" x14ac:dyDescent="0.2">
      <c r="A3739" t="s">
        <v>7</v>
      </c>
      <c r="B3739" s="1" t="s">
        <v>20</v>
      </c>
      <c r="C3739" t="str">
        <f t="shared" si="118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17"/>
        <v>-2</v>
      </c>
    </row>
    <row r="3740" spans="1:8" x14ac:dyDescent="0.2">
      <c r="A3740" t="s">
        <v>7</v>
      </c>
      <c r="B3740" t="s">
        <v>20</v>
      </c>
      <c r="C3740" t="str">
        <f t="shared" si="118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17"/>
        <v>-2</v>
      </c>
    </row>
    <row r="3741" spans="1:8" x14ac:dyDescent="0.2">
      <c r="A3741" t="s">
        <v>7</v>
      </c>
      <c r="B3741" s="1" t="s">
        <v>20</v>
      </c>
      <c r="C3741" t="str">
        <f t="shared" si="118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17"/>
        <v>-3</v>
      </c>
    </row>
    <row r="3742" spans="1:8" x14ac:dyDescent="0.2">
      <c r="A3742" t="s">
        <v>7</v>
      </c>
      <c r="B3742" t="s">
        <v>20</v>
      </c>
      <c r="C3742" t="str">
        <f t="shared" si="118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17"/>
        <v>-3</v>
      </c>
    </row>
    <row r="3743" spans="1:8" x14ac:dyDescent="0.2">
      <c r="A3743" t="s">
        <v>7</v>
      </c>
      <c r="B3743" s="1" t="s">
        <v>20</v>
      </c>
      <c r="C3743" t="str">
        <f t="shared" si="118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17"/>
        <v>-3</v>
      </c>
    </row>
    <row r="3744" spans="1:8" x14ac:dyDescent="0.2">
      <c r="A3744" t="s">
        <v>7</v>
      </c>
      <c r="B3744" t="s">
        <v>20</v>
      </c>
      <c r="C3744" t="str">
        <f t="shared" si="118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17"/>
        <v>-3</v>
      </c>
    </row>
    <row r="3745" spans="1:8" x14ac:dyDescent="0.2">
      <c r="A3745" t="s">
        <v>7</v>
      </c>
      <c r="B3745" s="1" t="s">
        <v>20</v>
      </c>
      <c r="C3745" t="str">
        <f t="shared" si="118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17"/>
        <v>-3</v>
      </c>
    </row>
    <row r="3746" spans="1:8" x14ac:dyDescent="0.2">
      <c r="A3746" t="s">
        <v>7</v>
      </c>
      <c r="B3746" t="s">
        <v>20</v>
      </c>
      <c r="C3746" t="str">
        <f t="shared" si="118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17"/>
        <v>-4</v>
      </c>
    </row>
    <row r="3747" spans="1:8" x14ac:dyDescent="0.2">
      <c r="A3747" t="s">
        <v>7</v>
      </c>
      <c r="B3747" s="1" t="s">
        <v>20</v>
      </c>
      <c r="C3747" t="str">
        <f t="shared" si="118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17"/>
        <v>-4</v>
      </c>
    </row>
    <row r="3748" spans="1:8" x14ac:dyDescent="0.2">
      <c r="A3748" t="s">
        <v>7</v>
      </c>
      <c r="B3748" t="s">
        <v>20</v>
      </c>
      <c r="C3748" t="str">
        <f t="shared" si="118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17"/>
        <v>-4</v>
      </c>
    </row>
    <row r="3749" spans="1:8" x14ac:dyDescent="0.2">
      <c r="A3749" t="s">
        <v>7</v>
      </c>
      <c r="B3749" s="1" t="s">
        <v>20</v>
      </c>
      <c r="C3749" t="str">
        <f t="shared" si="118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17"/>
        <v>-4</v>
      </c>
    </row>
    <row r="3750" spans="1:8" x14ac:dyDescent="0.2">
      <c r="A3750" t="s">
        <v>7</v>
      </c>
      <c r="B3750" t="s">
        <v>20</v>
      </c>
      <c r="C3750" t="str">
        <f t="shared" si="118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17"/>
        <v>-4</v>
      </c>
    </row>
    <row r="3751" spans="1:8" x14ac:dyDescent="0.2">
      <c r="A3751" t="s">
        <v>7</v>
      </c>
      <c r="B3751" s="1" t="s">
        <v>20</v>
      </c>
      <c r="C3751" t="str">
        <f t="shared" si="118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17"/>
        <v>-4</v>
      </c>
    </row>
    <row r="3752" spans="1:8" x14ac:dyDescent="0.2">
      <c r="A3752" t="s">
        <v>7</v>
      </c>
      <c r="B3752" t="s">
        <v>20</v>
      </c>
      <c r="C3752" t="str">
        <f t="shared" si="118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17"/>
        <v>-5</v>
      </c>
    </row>
    <row r="3753" spans="1:8" x14ac:dyDescent="0.2">
      <c r="A3753" t="s">
        <v>7</v>
      </c>
      <c r="B3753" s="1" t="s">
        <v>20</v>
      </c>
      <c r="C3753" t="str">
        <f t="shared" si="118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17"/>
        <v>-5</v>
      </c>
    </row>
    <row r="3754" spans="1:8" x14ac:dyDescent="0.2">
      <c r="A3754" t="s">
        <v>7</v>
      </c>
      <c r="B3754" t="s">
        <v>20</v>
      </c>
      <c r="C3754" t="str">
        <f t="shared" si="118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17"/>
        <v>-5</v>
      </c>
    </row>
    <row r="3755" spans="1:8" x14ac:dyDescent="0.2">
      <c r="A3755" t="s">
        <v>7</v>
      </c>
      <c r="B3755" s="1" t="s">
        <v>20</v>
      </c>
      <c r="C3755" t="str">
        <f t="shared" si="118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17"/>
        <v>-5</v>
      </c>
    </row>
    <row r="3756" spans="1:8" x14ac:dyDescent="0.2">
      <c r="A3756" t="s">
        <v>7</v>
      </c>
      <c r="B3756" t="s">
        <v>20</v>
      </c>
      <c r="C3756" t="str">
        <f t="shared" si="118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17"/>
        <v>-5</v>
      </c>
    </row>
    <row r="3757" spans="1:8" x14ac:dyDescent="0.2">
      <c r="A3757" t="s">
        <v>7</v>
      </c>
      <c r="B3757" s="1" t="s">
        <v>20</v>
      </c>
      <c r="C3757" t="str">
        <f t="shared" si="118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17"/>
        <v>-5</v>
      </c>
    </row>
    <row r="3758" spans="1:8" x14ac:dyDescent="0.2">
      <c r="A3758" t="s">
        <v>7</v>
      </c>
      <c r="B3758" t="s">
        <v>20</v>
      </c>
      <c r="C3758" t="str">
        <f t="shared" si="118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17"/>
        <v>-5</v>
      </c>
    </row>
    <row r="3759" spans="1:8" x14ac:dyDescent="0.2">
      <c r="A3759" t="s">
        <v>7</v>
      </c>
      <c r="B3759" s="1" t="s">
        <v>20</v>
      </c>
      <c r="C3759" t="str">
        <f t="shared" si="118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17"/>
        <v>-6</v>
      </c>
    </row>
    <row r="3760" spans="1:8" x14ac:dyDescent="0.2">
      <c r="A3760" t="s">
        <v>7</v>
      </c>
      <c r="B3760" t="s">
        <v>20</v>
      </c>
      <c r="C3760" t="str">
        <f t="shared" si="118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17"/>
        <v>-6</v>
      </c>
    </row>
    <row r="3761" spans="1:8" x14ac:dyDescent="0.2">
      <c r="A3761" t="s">
        <v>7</v>
      </c>
      <c r="B3761" s="1" t="s">
        <v>20</v>
      </c>
      <c r="C3761" t="str">
        <f t="shared" si="118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17"/>
        <v>-6</v>
      </c>
    </row>
    <row r="3762" spans="1:8" x14ac:dyDescent="0.2">
      <c r="A3762" t="s">
        <v>7</v>
      </c>
      <c r="B3762" t="s">
        <v>20</v>
      </c>
      <c r="C3762" t="str">
        <f t="shared" si="118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17"/>
        <v>-6</v>
      </c>
    </row>
    <row r="3763" spans="1:8" x14ac:dyDescent="0.2">
      <c r="A3763" t="s">
        <v>7</v>
      </c>
      <c r="B3763" s="1" t="s">
        <v>20</v>
      </c>
      <c r="C3763" t="str">
        <f t="shared" si="118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17"/>
        <v>-6</v>
      </c>
    </row>
    <row r="3764" spans="1:8" x14ac:dyDescent="0.2">
      <c r="A3764" t="s">
        <v>7</v>
      </c>
      <c r="B3764" t="s">
        <v>20</v>
      </c>
      <c r="C3764" t="str">
        <f t="shared" si="118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17"/>
        <v>-6</v>
      </c>
    </row>
    <row r="3765" spans="1:8" x14ac:dyDescent="0.2">
      <c r="A3765" t="s">
        <v>7</v>
      </c>
      <c r="B3765" s="1" t="s">
        <v>20</v>
      </c>
      <c r="C3765" t="str">
        <f t="shared" si="118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17"/>
        <v>-6</v>
      </c>
    </row>
    <row r="3766" spans="1:8" x14ac:dyDescent="0.2">
      <c r="A3766" t="s">
        <v>7</v>
      </c>
      <c r="B3766" t="s">
        <v>20</v>
      </c>
      <c r="C3766" t="str">
        <f t="shared" si="118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17"/>
        <v>-6</v>
      </c>
    </row>
    <row r="3767" spans="1:8" x14ac:dyDescent="0.2">
      <c r="A3767" t="s">
        <v>7</v>
      </c>
      <c r="B3767" s="1" t="s">
        <v>20</v>
      </c>
      <c r="C3767" t="str">
        <f t="shared" si="118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17"/>
        <v>-6</v>
      </c>
    </row>
    <row r="3768" spans="1:8" x14ac:dyDescent="0.2">
      <c r="A3768" t="s">
        <v>7</v>
      </c>
      <c r="B3768" t="s">
        <v>20</v>
      </c>
      <c r="C3768" t="str">
        <f t="shared" si="118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si="117"/>
        <v>-6</v>
      </c>
    </row>
    <row r="3769" spans="1:8" x14ac:dyDescent="0.2">
      <c r="A3769" t="s">
        <v>7</v>
      </c>
      <c r="B3769" s="1" t="s">
        <v>20</v>
      </c>
      <c r="C3769" t="str">
        <f t="shared" si="118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17"/>
        <v>-6</v>
      </c>
    </row>
    <row r="3770" spans="1:8" x14ac:dyDescent="0.2">
      <c r="A3770" t="s">
        <v>7</v>
      </c>
      <c r="B3770" t="s">
        <v>20</v>
      </c>
      <c r="C3770" t="str">
        <f t="shared" si="118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17"/>
        <v>-6</v>
      </c>
    </row>
    <row r="3771" spans="1:8" x14ac:dyDescent="0.2">
      <c r="A3771" t="s">
        <v>7</v>
      </c>
      <c r="B3771" s="1" t="s">
        <v>20</v>
      </c>
      <c r="C3771" t="str">
        <f t="shared" si="118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17"/>
        <v>-6</v>
      </c>
    </row>
    <row r="3772" spans="1:8" x14ac:dyDescent="0.2">
      <c r="A3772" t="s">
        <v>7</v>
      </c>
      <c r="B3772" t="s">
        <v>20</v>
      </c>
      <c r="C3772" t="str">
        <f t="shared" si="118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17"/>
        <v>-6</v>
      </c>
    </row>
    <row r="3773" spans="1:8" x14ac:dyDescent="0.2">
      <c r="A3773" t="s">
        <v>7</v>
      </c>
      <c r="B3773" s="1" t="s">
        <v>20</v>
      </c>
      <c r="C3773" t="str">
        <f t="shared" si="118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17"/>
        <v>-6</v>
      </c>
    </row>
    <row r="3774" spans="1:8" x14ac:dyDescent="0.2">
      <c r="A3774" t="s">
        <v>7</v>
      </c>
      <c r="B3774" t="s">
        <v>20</v>
      </c>
      <c r="C3774" t="str">
        <f t="shared" si="118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17"/>
        <v>-6</v>
      </c>
    </row>
    <row r="3775" spans="1:8" x14ac:dyDescent="0.2">
      <c r="A3775" t="s">
        <v>7</v>
      </c>
      <c r="B3775" s="1" t="s">
        <v>20</v>
      </c>
      <c r="C3775" t="str">
        <f t="shared" si="118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17"/>
        <v>-6</v>
      </c>
    </row>
    <row r="3776" spans="1:8" x14ac:dyDescent="0.2">
      <c r="A3776" t="s">
        <v>7</v>
      </c>
      <c r="B3776" t="s">
        <v>20</v>
      </c>
      <c r="C3776" t="str">
        <f t="shared" si="118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17"/>
        <v>-6</v>
      </c>
    </row>
    <row r="3777" spans="1:8" x14ac:dyDescent="0.2">
      <c r="A3777" t="s">
        <v>7</v>
      </c>
      <c r="B3777" s="1" t="s">
        <v>20</v>
      </c>
      <c r="C3777" t="str">
        <f t="shared" si="118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17"/>
        <v>-6</v>
      </c>
    </row>
    <row r="3778" spans="1:8" x14ac:dyDescent="0.2">
      <c r="A3778" t="s">
        <v>7</v>
      </c>
      <c r="B3778" t="s">
        <v>20</v>
      </c>
      <c r="C3778" t="str">
        <f t="shared" si="118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17"/>
        <v>-6</v>
      </c>
    </row>
    <row r="3779" spans="1:8" x14ac:dyDescent="0.2">
      <c r="A3779" t="s">
        <v>7</v>
      </c>
      <c r="B3779" s="1" t="s">
        <v>20</v>
      </c>
      <c r="C3779" t="str">
        <f t="shared" si="118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ref="H3779:H3842" si="119">F3779-G3779</f>
        <v>-6</v>
      </c>
    </row>
    <row r="3780" spans="1:8" x14ac:dyDescent="0.2">
      <c r="A3780" t="s">
        <v>7</v>
      </c>
      <c r="B3780" t="s">
        <v>20</v>
      </c>
      <c r="C3780" t="str">
        <f t="shared" ref="C3780:C3843" si="120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19"/>
        <v>-6</v>
      </c>
    </row>
    <row r="3781" spans="1:8" x14ac:dyDescent="0.2">
      <c r="A3781" t="s">
        <v>7</v>
      </c>
      <c r="B3781" s="1" t="s">
        <v>20</v>
      </c>
      <c r="C3781" t="str">
        <f t="shared" si="120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19"/>
        <v>-6</v>
      </c>
    </row>
    <row r="3782" spans="1:8" x14ac:dyDescent="0.2">
      <c r="A3782" t="s">
        <v>7</v>
      </c>
      <c r="B3782" t="s">
        <v>20</v>
      </c>
      <c r="C3782" t="str">
        <f t="shared" si="120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19"/>
        <v>-6</v>
      </c>
    </row>
    <row r="3783" spans="1:8" x14ac:dyDescent="0.2">
      <c r="A3783" t="s">
        <v>7</v>
      </c>
      <c r="B3783" s="1" t="s">
        <v>20</v>
      </c>
      <c r="C3783" t="str">
        <f t="shared" si="120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19"/>
        <v>-6</v>
      </c>
    </row>
    <row r="3784" spans="1:8" x14ac:dyDescent="0.2">
      <c r="A3784" t="s">
        <v>7</v>
      </c>
      <c r="B3784" t="s">
        <v>20</v>
      </c>
      <c r="C3784" t="str">
        <f t="shared" si="120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19"/>
        <v>-6</v>
      </c>
    </row>
    <row r="3785" spans="1:8" x14ac:dyDescent="0.2">
      <c r="A3785" t="s">
        <v>7</v>
      </c>
      <c r="B3785" s="1" t="s">
        <v>20</v>
      </c>
      <c r="C3785" t="str">
        <f t="shared" si="120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19"/>
        <v>-6</v>
      </c>
    </row>
    <row r="3786" spans="1:8" x14ac:dyDescent="0.2">
      <c r="A3786" t="s">
        <v>7</v>
      </c>
      <c r="B3786" t="s">
        <v>20</v>
      </c>
      <c r="C3786" t="str">
        <f t="shared" si="120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19"/>
        <v>-6</v>
      </c>
    </row>
    <row r="3787" spans="1:8" x14ac:dyDescent="0.2">
      <c r="A3787" t="s">
        <v>19</v>
      </c>
      <c r="B3787" s="1" t="s">
        <v>20</v>
      </c>
      <c r="C3787" t="str">
        <f t="shared" si="120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19"/>
        <v>-6</v>
      </c>
    </row>
    <row r="3788" spans="1:8" x14ac:dyDescent="0.2">
      <c r="A3788" t="s">
        <v>7</v>
      </c>
      <c r="B3788" t="s">
        <v>20</v>
      </c>
      <c r="C3788" t="str">
        <f t="shared" si="120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19"/>
        <v>-6</v>
      </c>
    </row>
    <row r="3789" spans="1:8" x14ac:dyDescent="0.2">
      <c r="A3789" t="s">
        <v>7</v>
      </c>
      <c r="B3789" s="1" t="s">
        <v>20</v>
      </c>
      <c r="C3789" t="str">
        <f t="shared" si="120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19"/>
        <v>-6</v>
      </c>
    </row>
    <row r="3790" spans="1:8" x14ac:dyDescent="0.2">
      <c r="A3790" t="s">
        <v>7</v>
      </c>
      <c r="B3790" t="s">
        <v>20</v>
      </c>
      <c r="C3790" t="str">
        <f t="shared" si="120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19"/>
        <v>-6</v>
      </c>
    </row>
    <row r="3791" spans="1:8" x14ac:dyDescent="0.2">
      <c r="A3791" t="s">
        <v>7</v>
      </c>
      <c r="B3791" s="1" t="s">
        <v>20</v>
      </c>
      <c r="C3791" t="str">
        <f t="shared" si="120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19"/>
        <v>-6</v>
      </c>
    </row>
    <row r="3792" spans="1:8" x14ac:dyDescent="0.2">
      <c r="A3792" t="s">
        <v>7</v>
      </c>
      <c r="B3792" t="s">
        <v>20</v>
      </c>
      <c r="C3792" t="str">
        <f t="shared" si="120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19"/>
        <v>-6</v>
      </c>
    </row>
    <row r="3793" spans="1:8" x14ac:dyDescent="0.2">
      <c r="A3793" t="s">
        <v>7</v>
      </c>
      <c r="B3793" s="1" t="s">
        <v>20</v>
      </c>
      <c r="C3793" t="str">
        <f t="shared" si="120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19"/>
        <v>-6</v>
      </c>
    </row>
    <row r="3794" spans="1:8" x14ac:dyDescent="0.2">
      <c r="A3794" t="s">
        <v>7</v>
      </c>
      <c r="B3794" t="s">
        <v>20</v>
      </c>
      <c r="C3794" t="str">
        <f t="shared" si="120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19"/>
        <v>-6</v>
      </c>
    </row>
    <row r="3795" spans="1:8" x14ac:dyDescent="0.2">
      <c r="A3795" t="s">
        <v>7</v>
      </c>
      <c r="B3795" s="1" t="s">
        <v>20</v>
      </c>
      <c r="C3795" t="str">
        <f t="shared" si="120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19"/>
        <v>-6</v>
      </c>
    </row>
    <row r="3796" spans="1:8" x14ac:dyDescent="0.2">
      <c r="A3796" t="s">
        <v>7</v>
      </c>
      <c r="B3796" t="s">
        <v>20</v>
      </c>
      <c r="C3796" t="str">
        <f t="shared" si="120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19"/>
        <v>-6</v>
      </c>
    </row>
    <row r="3797" spans="1:8" x14ac:dyDescent="0.2">
      <c r="A3797" t="s">
        <v>7</v>
      </c>
      <c r="B3797" s="1" t="s">
        <v>20</v>
      </c>
      <c r="C3797" t="str">
        <f t="shared" si="120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19"/>
        <v>-6</v>
      </c>
    </row>
    <row r="3798" spans="1:8" x14ac:dyDescent="0.2">
      <c r="A3798" t="s">
        <v>7</v>
      </c>
      <c r="B3798" t="s">
        <v>20</v>
      </c>
      <c r="C3798" t="str">
        <f t="shared" si="120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19"/>
        <v>-6</v>
      </c>
    </row>
    <row r="3799" spans="1:8" x14ac:dyDescent="0.2">
      <c r="A3799" t="s">
        <v>7</v>
      </c>
      <c r="B3799" s="1" t="s">
        <v>20</v>
      </c>
      <c r="C3799" t="str">
        <f t="shared" si="120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19"/>
        <v>-6</v>
      </c>
    </row>
    <row r="3800" spans="1:8" x14ac:dyDescent="0.2">
      <c r="A3800" t="s">
        <v>7</v>
      </c>
      <c r="B3800" t="s">
        <v>20</v>
      </c>
      <c r="C3800" t="str">
        <f t="shared" si="120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19"/>
        <v>-6</v>
      </c>
    </row>
    <row r="3801" spans="1:8" x14ac:dyDescent="0.2">
      <c r="A3801" t="s">
        <v>7</v>
      </c>
      <c r="B3801" s="1" t="s">
        <v>20</v>
      </c>
      <c r="C3801" t="str">
        <f t="shared" si="120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19"/>
        <v>-6</v>
      </c>
    </row>
    <row r="3802" spans="1:8" x14ac:dyDescent="0.2">
      <c r="A3802" t="s">
        <v>7</v>
      </c>
      <c r="B3802" t="s">
        <v>20</v>
      </c>
      <c r="C3802" t="str">
        <f t="shared" si="120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19"/>
        <v>-6</v>
      </c>
    </row>
    <row r="3803" spans="1:8" x14ac:dyDescent="0.2">
      <c r="A3803" t="s">
        <v>7</v>
      </c>
      <c r="B3803" s="1" t="s">
        <v>20</v>
      </c>
      <c r="C3803" t="str">
        <f t="shared" si="120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19"/>
        <v>-6</v>
      </c>
    </row>
    <row r="3804" spans="1:8" x14ac:dyDescent="0.2">
      <c r="A3804" t="s">
        <v>7</v>
      </c>
      <c r="B3804" t="s">
        <v>20</v>
      </c>
      <c r="C3804" t="str">
        <f t="shared" si="120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19"/>
        <v>-6</v>
      </c>
    </row>
    <row r="3805" spans="1:8" x14ac:dyDescent="0.2">
      <c r="A3805" t="s">
        <v>7</v>
      </c>
      <c r="B3805" s="1" t="s">
        <v>20</v>
      </c>
      <c r="C3805" t="str">
        <f t="shared" si="120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19"/>
        <v>-6</v>
      </c>
    </row>
    <row r="3806" spans="1:8" x14ac:dyDescent="0.2">
      <c r="A3806" t="s">
        <v>7</v>
      </c>
      <c r="B3806" t="s">
        <v>20</v>
      </c>
      <c r="C3806" t="str">
        <f t="shared" si="120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19"/>
        <v>-6</v>
      </c>
    </row>
    <row r="3807" spans="1:8" x14ac:dyDescent="0.2">
      <c r="A3807" t="s">
        <v>7</v>
      </c>
      <c r="B3807" s="1" t="s">
        <v>20</v>
      </c>
      <c r="C3807" t="str">
        <f t="shared" si="120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19"/>
        <v>-6</v>
      </c>
    </row>
    <row r="3808" spans="1:8" x14ac:dyDescent="0.2">
      <c r="A3808" t="s">
        <v>7</v>
      </c>
      <c r="B3808" t="s">
        <v>20</v>
      </c>
      <c r="C3808" t="str">
        <f t="shared" si="120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19"/>
        <v>-6</v>
      </c>
    </row>
    <row r="3809" spans="1:8" x14ac:dyDescent="0.2">
      <c r="A3809" t="s">
        <v>7</v>
      </c>
      <c r="B3809" s="1" t="s">
        <v>20</v>
      </c>
      <c r="C3809" t="str">
        <f t="shared" si="120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19"/>
        <v>-6</v>
      </c>
    </row>
    <row r="3810" spans="1:8" x14ac:dyDescent="0.2">
      <c r="A3810" t="s">
        <v>7</v>
      </c>
      <c r="B3810" t="s">
        <v>20</v>
      </c>
      <c r="C3810" t="str">
        <f t="shared" si="120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19"/>
        <v>-6</v>
      </c>
    </row>
    <row r="3811" spans="1:8" x14ac:dyDescent="0.2">
      <c r="A3811" t="s">
        <v>7</v>
      </c>
      <c r="B3811" s="1" t="s">
        <v>20</v>
      </c>
      <c r="C3811" t="str">
        <f t="shared" si="120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19"/>
        <v>-6</v>
      </c>
    </row>
    <row r="3812" spans="1:8" x14ac:dyDescent="0.2">
      <c r="A3812" t="s">
        <v>7</v>
      </c>
      <c r="B3812" t="s">
        <v>20</v>
      </c>
      <c r="C3812" t="str">
        <f t="shared" si="120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19"/>
        <v>-6</v>
      </c>
    </row>
    <row r="3813" spans="1:8" x14ac:dyDescent="0.2">
      <c r="A3813" t="s">
        <v>7</v>
      </c>
      <c r="B3813" s="1" t="s">
        <v>20</v>
      </c>
      <c r="C3813" t="str">
        <f t="shared" si="120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19"/>
        <v>-6</v>
      </c>
    </row>
    <row r="3814" spans="1:8" x14ac:dyDescent="0.2">
      <c r="A3814" t="s">
        <v>7</v>
      </c>
      <c r="B3814" t="s">
        <v>20</v>
      </c>
      <c r="C3814" t="str">
        <f t="shared" si="120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19"/>
        <v>-6</v>
      </c>
    </row>
    <row r="3815" spans="1:8" x14ac:dyDescent="0.2">
      <c r="A3815" t="s">
        <v>7</v>
      </c>
      <c r="B3815" s="1" t="s">
        <v>20</v>
      </c>
      <c r="C3815" t="str">
        <f t="shared" si="120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19"/>
        <v>-6</v>
      </c>
    </row>
    <row r="3816" spans="1:8" x14ac:dyDescent="0.2">
      <c r="A3816" t="s">
        <v>7</v>
      </c>
      <c r="B3816" t="s">
        <v>20</v>
      </c>
      <c r="C3816" t="str">
        <f t="shared" si="120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19"/>
        <v>-6</v>
      </c>
    </row>
    <row r="3817" spans="1:8" x14ac:dyDescent="0.2">
      <c r="A3817" t="s">
        <v>7</v>
      </c>
      <c r="B3817" s="1" t="s">
        <v>20</v>
      </c>
      <c r="C3817" t="str">
        <f t="shared" si="120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19"/>
        <v>-6</v>
      </c>
    </row>
    <row r="3818" spans="1:8" x14ac:dyDescent="0.2">
      <c r="A3818" t="s">
        <v>7</v>
      </c>
      <c r="B3818" t="s">
        <v>22</v>
      </c>
      <c r="C3818" t="str">
        <f t="shared" si="120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 t="shared" si="119"/>
        <v>13</v>
      </c>
    </row>
    <row r="3819" spans="1:8" x14ac:dyDescent="0.2">
      <c r="A3819" t="s">
        <v>7</v>
      </c>
      <c r="B3819" t="s">
        <v>22</v>
      </c>
      <c r="C3819" t="str">
        <f t="shared" si="120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si="119"/>
        <v>12</v>
      </c>
    </row>
    <row r="3820" spans="1:8" x14ac:dyDescent="0.2">
      <c r="A3820" t="s">
        <v>7</v>
      </c>
      <c r="B3820" t="s">
        <v>22</v>
      </c>
      <c r="C3820" t="str">
        <f t="shared" si="120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19"/>
        <v>11</v>
      </c>
    </row>
    <row r="3821" spans="1:8" x14ac:dyDescent="0.2">
      <c r="A3821" t="s">
        <v>7</v>
      </c>
      <c r="B3821" t="s">
        <v>22</v>
      </c>
      <c r="C3821" t="str">
        <f t="shared" si="120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19"/>
        <v>10</v>
      </c>
    </row>
    <row r="3822" spans="1:8" x14ac:dyDescent="0.2">
      <c r="A3822" t="s">
        <v>7</v>
      </c>
      <c r="B3822" t="s">
        <v>22</v>
      </c>
      <c r="C3822" t="str">
        <f t="shared" si="120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19"/>
        <v>10</v>
      </c>
    </row>
    <row r="3823" spans="1:8" x14ac:dyDescent="0.2">
      <c r="A3823" t="s">
        <v>7</v>
      </c>
      <c r="B3823" t="s">
        <v>22</v>
      </c>
      <c r="C3823" t="str">
        <f t="shared" si="120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19"/>
        <v>9</v>
      </c>
    </row>
    <row r="3824" spans="1:8" x14ac:dyDescent="0.2">
      <c r="A3824" t="s">
        <v>7</v>
      </c>
      <c r="B3824" t="s">
        <v>22</v>
      </c>
      <c r="C3824" t="str">
        <f t="shared" si="120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19"/>
        <v>9</v>
      </c>
    </row>
    <row r="3825" spans="1:8" x14ac:dyDescent="0.2">
      <c r="A3825" t="s">
        <v>7</v>
      </c>
      <c r="B3825" t="s">
        <v>22</v>
      </c>
      <c r="C3825" t="str">
        <f t="shared" si="120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19"/>
        <v>9</v>
      </c>
    </row>
    <row r="3826" spans="1:8" x14ac:dyDescent="0.2">
      <c r="A3826" t="s">
        <v>7</v>
      </c>
      <c r="B3826" t="s">
        <v>22</v>
      </c>
      <c r="C3826" t="str">
        <f t="shared" si="120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19"/>
        <v>8</v>
      </c>
    </row>
    <row r="3827" spans="1:8" x14ac:dyDescent="0.2">
      <c r="A3827" t="s">
        <v>7</v>
      </c>
      <c r="B3827" t="s">
        <v>22</v>
      </c>
      <c r="C3827" t="str">
        <f t="shared" si="120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19"/>
        <v>8</v>
      </c>
    </row>
    <row r="3828" spans="1:8" x14ac:dyDescent="0.2">
      <c r="A3828" t="s">
        <v>7</v>
      </c>
      <c r="B3828" t="s">
        <v>22</v>
      </c>
      <c r="C3828" t="str">
        <f t="shared" si="120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19"/>
        <v>8</v>
      </c>
    </row>
    <row r="3829" spans="1:8" x14ac:dyDescent="0.2">
      <c r="A3829" t="s">
        <v>7</v>
      </c>
      <c r="B3829" t="s">
        <v>22</v>
      </c>
      <c r="C3829" t="str">
        <f t="shared" si="120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19"/>
        <v>7</v>
      </c>
    </row>
    <row r="3830" spans="1:8" x14ac:dyDescent="0.2">
      <c r="A3830" t="s">
        <v>7</v>
      </c>
      <c r="B3830" t="s">
        <v>22</v>
      </c>
      <c r="C3830" t="str">
        <f t="shared" si="120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19"/>
        <v>6</v>
      </c>
    </row>
    <row r="3831" spans="1:8" x14ac:dyDescent="0.2">
      <c r="A3831" t="s">
        <v>7</v>
      </c>
      <c r="B3831" t="s">
        <v>22</v>
      </c>
      <c r="C3831" t="str">
        <f t="shared" si="120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19"/>
        <v>6</v>
      </c>
    </row>
    <row r="3832" spans="1:8" x14ac:dyDescent="0.2">
      <c r="A3832" t="s">
        <v>7</v>
      </c>
      <c r="B3832" t="s">
        <v>22</v>
      </c>
      <c r="C3832" t="str">
        <f t="shared" si="120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19"/>
        <v>6</v>
      </c>
    </row>
    <row r="3833" spans="1:8" x14ac:dyDescent="0.2">
      <c r="A3833" t="s">
        <v>7</v>
      </c>
      <c r="B3833" t="s">
        <v>22</v>
      </c>
      <c r="C3833" t="str">
        <f t="shared" si="120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19"/>
        <v>6</v>
      </c>
    </row>
    <row r="3834" spans="1:8" x14ac:dyDescent="0.2">
      <c r="A3834" t="s">
        <v>7</v>
      </c>
      <c r="B3834" t="s">
        <v>22</v>
      </c>
      <c r="C3834" t="str">
        <f t="shared" si="120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19"/>
        <v>6</v>
      </c>
    </row>
    <row r="3835" spans="1:8" x14ac:dyDescent="0.2">
      <c r="A3835" t="s">
        <v>7</v>
      </c>
      <c r="B3835" t="s">
        <v>22</v>
      </c>
      <c r="C3835" t="str">
        <f t="shared" si="120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19"/>
        <v>5</v>
      </c>
    </row>
    <row r="3836" spans="1:8" x14ac:dyDescent="0.2">
      <c r="A3836" t="s">
        <v>7</v>
      </c>
      <c r="B3836" t="s">
        <v>22</v>
      </c>
      <c r="C3836" t="str">
        <f t="shared" si="120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19"/>
        <v>5</v>
      </c>
    </row>
    <row r="3837" spans="1:8" x14ac:dyDescent="0.2">
      <c r="A3837" t="s">
        <v>7</v>
      </c>
      <c r="B3837" t="s">
        <v>22</v>
      </c>
      <c r="C3837" t="str">
        <f t="shared" si="120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19"/>
        <v>5</v>
      </c>
    </row>
    <row r="3838" spans="1:8" x14ac:dyDescent="0.2">
      <c r="A3838" t="s">
        <v>7</v>
      </c>
      <c r="B3838" t="s">
        <v>22</v>
      </c>
      <c r="C3838" t="str">
        <f t="shared" si="120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19"/>
        <v>5</v>
      </c>
    </row>
    <row r="3839" spans="1:8" x14ac:dyDescent="0.2">
      <c r="A3839" t="s">
        <v>7</v>
      </c>
      <c r="B3839" t="s">
        <v>22</v>
      </c>
      <c r="C3839" t="str">
        <f t="shared" si="120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19"/>
        <v>5</v>
      </c>
    </row>
    <row r="3840" spans="1:8" x14ac:dyDescent="0.2">
      <c r="A3840" t="s">
        <v>7</v>
      </c>
      <c r="B3840" t="s">
        <v>22</v>
      </c>
      <c r="C3840" t="str">
        <f t="shared" si="120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19"/>
        <v>5</v>
      </c>
    </row>
    <row r="3841" spans="1:8" x14ac:dyDescent="0.2">
      <c r="A3841" t="s">
        <v>7</v>
      </c>
      <c r="B3841" t="s">
        <v>22</v>
      </c>
      <c r="C3841" t="str">
        <f t="shared" si="120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19"/>
        <v>5</v>
      </c>
    </row>
    <row r="3842" spans="1:8" x14ac:dyDescent="0.2">
      <c r="A3842" t="s">
        <v>7</v>
      </c>
      <c r="B3842" t="s">
        <v>22</v>
      </c>
      <c r="C3842" t="str">
        <f t="shared" si="120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19"/>
        <v>4</v>
      </c>
    </row>
    <row r="3843" spans="1:8" x14ac:dyDescent="0.2">
      <c r="A3843" t="s">
        <v>7</v>
      </c>
      <c r="B3843" t="s">
        <v>22</v>
      </c>
      <c r="C3843" t="str">
        <f t="shared" si="120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ref="H3843:H3906" si="121">F3843-G3843</f>
        <v>4</v>
      </c>
    </row>
    <row r="3844" spans="1:8" x14ac:dyDescent="0.2">
      <c r="A3844" t="s">
        <v>7</v>
      </c>
      <c r="B3844" t="s">
        <v>22</v>
      </c>
      <c r="C3844" t="str">
        <f t="shared" ref="C3844:C3907" si="122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1"/>
        <v>4</v>
      </c>
    </row>
    <row r="3845" spans="1:8" x14ac:dyDescent="0.2">
      <c r="A3845" t="s">
        <v>7</v>
      </c>
      <c r="B3845" t="s">
        <v>22</v>
      </c>
      <c r="C3845" t="str">
        <f t="shared" si="122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1"/>
        <v>4</v>
      </c>
    </row>
    <row r="3846" spans="1:8" x14ac:dyDescent="0.2">
      <c r="A3846" t="s">
        <v>7</v>
      </c>
      <c r="B3846" t="s">
        <v>22</v>
      </c>
      <c r="C3846" t="str">
        <f t="shared" si="122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1"/>
        <v>4</v>
      </c>
    </row>
    <row r="3847" spans="1:8" x14ac:dyDescent="0.2">
      <c r="A3847" t="s">
        <v>7</v>
      </c>
      <c r="B3847" t="s">
        <v>22</v>
      </c>
      <c r="C3847" t="str">
        <f t="shared" si="122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1"/>
        <v>4</v>
      </c>
    </row>
    <row r="3848" spans="1:8" x14ac:dyDescent="0.2">
      <c r="A3848" t="s">
        <v>7</v>
      </c>
      <c r="B3848" t="s">
        <v>22</v>
      </c>
      <c r="C3848" t="str">
        <f t="shared" si="122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1"/>
        <v>4</v>
      </c>
    </row>
    <row r="3849" spans="1:8" x14ac:dyDescent="0.2">
      <c r="A3849" t="s">
        <v>7</v>
      </c>
      <c r="B3849" t="s">
        <v>22</v>
      </c>
      <c r="C3849" t="str">
        <f t="shared" si="122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1"/>
        <v>4</v>
      </c>
    </row>
    <row r="3850" spans="1:8" x14ac:dyDescent="0.2">
      <c r="A3850" t="s">
        <v>7</v>
      </c>
      <c r="B3850" t="s">
        <v>22</v>
      </c>
      <c r="C3850" t="str">
        <f t="shared" si="122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1"/>
        <v>3</v>
      </c>
    </row>
    <row r="3851" spans="1:8" x14ac:dyDescent="0.2">
      <c r="A3851" t="s">
        <v>7</v>
      </c>
      <c r="B3851" t="s">
        <v>22</v>
      </c>
      <c r="C3851" t="str">
        <f t="shared" si="122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1"/>
        <v>3</v>
      </c>
    </row>
    <row r="3852" spans="1:8" x14ac:dyDescent="0.2">
      <c r="A3852" t="s">
        <v>7</v>
      </c>
      <c r="B3852" t="s">
        <v>22</v>
      </c>
      <c r="C3852" t="str">
        <f t="shared" si="122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1"/>
        <v>3</v>
      </c>
    </row>
    <row r="3853" spans="1:8" x14ac:dyDescent="0.2">
      <c r="A3853" t="s">
        <v>7</v>
      </c>
      <c r="B3853" t="s">
        <v>22</v>
      </c>
      <c r="C3853" t="str">
        <f t="shared" si="122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1"/>
        <v>3</v>
      </c>
    </row>
    <row r="3854" spans="1:8" x14ac:dyDescent="0.2">
      <c r="A3854" t="s">
        <v>7</v>
      </c>
      <c r="B3854" t="s">
        <v>22</v>
      </c>
      <c r="C3854" t="str">
        <f t="shared" si="122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1"/>
        <v>3</v>
      </c>
    </row>
    <row r="3855" spans="1:8" x14ac:dyDescent="0.2">
      <c r="A3855" t="s">
        <v>7</v>
      </c>
      <c r="B3855" t="s">
        <v>22</v>
      </c>
      <c r="C3855" t="str">
        <f t="shared" si="122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1"/>
        <v>3</v>
      </c>
    </row>
    <row r="3856" spans="1:8" x14ac:dyDescent="0.2">
      <c r="A3856" t="s">
        <v>7</v>
      </c>
      <c r="B3856" t="s">
        <v>22</v>
      </c>
      <c r="C3856" t="str">
        <f t="shared" si="122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1"/>
        <v>3</v>
      </c>
    </row>
    <row r="3857" spans="1:8" x14ac:dyDescent="0.2">
      <c r="A3857" t="s">
        <v>7</v>
      </c>
      <c r="B3857" t="s">
        <v>22</v>
      </c>
      <c r="C3857" t="str">
        <f t="shared" si="122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1"/>
        <v>2</v>
      </c>
    </row>
    <row r="3858" spans="1:8" x14ac:dyDescent="0.2">
      <c r="A3858" t="s">
        <v>7</v>
      </c>
      <c r="B3858" t="s">
        <v>22</v>
      </c>
      <c r="C3858" t="str">
        <f t="shared" si="122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1"/>
        <v>2</v>
      </c>
    </row>
    <row r="3859" spans="1:8" x14ac:dyDescent="0.2">
      <c r="A3859" t="s">
        <v>7</v>
      </c>
      <c r="B3859" t="s">
        <v>22</v>
      </c>
      <c r="C3859" t="str">
        <f t="shared" si="122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1"/>
        <v>2</v>
      </c>
    </row>
    <row r="3860" spans="1:8" x14ac:dyDescent="0.2">
      <c r="A3860" t="s">
        <v>7</v>
      </c>
      <c r="B3860" t="s">
        <v>22</v>
      </c>
      <c r="C3860" t="str">
        <f t="shared" si="122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1"/>
        <v>2</v>
      </c>
    </row>
    <row r="3861" spans="1:8" x14ac:dyDescent="0.2">
      <c r="A3861" t="s">
        <v>7</v>
      </c>
      <c r="B3861" t="s">
        <v>22</v>
      </c>
      <c r="C3861" t="str">
        <f t="shared" si="122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1"/>
        <v>2</v>
      </c>
    </row>
    <row r="3862" spans="1:8" x14ac:dyDescent="0.2">
      <c r="A3862" t="s">
        <v>7</v>
      </c>
      <c r="B3862" t="s">
        <v>22</v>
      </c>
      <c r="C3862" t="str">
        <f t="shared" si="122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1"/>
        <v>2</v>
      </c>
    </row>
    <row r="3863" spans="1:8" x14ac:dyDescent="0.2">
      <c r="A3863" t="s">
        <v>7</v>
      </c>
      <c r="B3863" t="s">
        <v>22</v>
      </c>
      <c r="C3863" t="str">
        <f t="shared" si="122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1"/>
        <v>2</v>
      </c>
    </row>
    <row r="3864" spans="1:8" x14ac:dyDescent="0.2">
      <c r="A3864" t="s">
        <v>7</v>
      </c>
      <c r="B3864" t="s">
        <v>22</v>
      </c>
      <c r="C3864" t="str">
        <f t="shared" si="122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1"/>
        <v>2</v>
      </c>
    </row>
    <row r="3865" spans="1:8" x14ac:dyDescent="0.2">
      <c r="A3865" t="s">
        <v>7</v>
      </c>
      <c r="B3865" t="s">
        <v>22</v>
      </c>
      <c r="C3865" t="str">
        <f t="shared" si="122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1"/>
        <v>2</v>
      </c>
    </row>
    <row r="3866" spans="1:8" x14ac:dyDescent="0.2">
      <c r="A3866" t="s">
        <v>7</v>
      </c>
      <c r="B3866" t="s">
        <v>22</v>
      </c>
      <c r="C3866" t="str">
        <f t="shared" si="122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1"/>
        <v>2</v>
      </c>
    </row>
    <row r="3867" spans="1:8" x14ac:dyDescent="0.2">
      <c r="A3867" t="s">
        <v>7</v>
      </c>
      <c r="B3867" t="s">
        <v>22</v>
      </c>
      <c r="C3867" t="str">
        <f t="shared" si="122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1"/>
        <v>2</v>
      </c>
    </row>
    <row r="3868" spans="1:8" x14ac:dyDescent="0.2">
      <c r="A3868" t="s">
        <v>7</v>
      </c>
      <c r="B3868" t="s">
        <v>22</v>
      </c>
      <c r="C3868" t="str">
        <f t="shared" si="122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1"/>
        <v>2</v>
      </c>
    </row>
    <row r="3869" spans="1:8" x14ac:dyDescent="0.2">
      <c r="A3869" t="s">
        <v>7</v>
      </c>
      <c r="B3869" t="s">
        <v>22</v>
      </c>
      <c r="C3869" t="str">
        <f t="shared" si="122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1"/>
        <v>1</v>
      </c>
    </row>
    <row r="3870" spans="1:8" x14ac:dyDescent="0.2">
      <c r="A3870" t="s">
        <v>7</v>
      </c>
      <c r="B3870" t="s">
        <v>22</v>
      </c>
      <c r="C3870" t="str">
        <f t="shared" si="122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1"/>
        <v>1</v>
      </c>
    </row>
    <row r="3871" spans="1:8" x14ac:dyDescent="0.2">
      <c r="A3871" t="s">
        <v>7</v>
      </c>
      <c r="B3871" t="s">
        <v>22</v>
      </c>
      <c r="C3871" t="str">
        <f t="shared" si="122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1"/>
        <v>1</v>
      </c>
    </row>
    <row r="3872" spans="1:8" x14ac:dyDescent="0.2">
      <c r="A3872" t="s">
        <v>7</v>
      </c>
      <c r="B3872" t="s">
        <v>22</v>
      </c>
      <c r="C3872" t="str">
        <f t="shared" si="122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1"/>
        <v>1</v>
      </c>
    </row>
    <row r="3873" spans="1:8" x14ac:dyDescent="0.2">
      <c r="A3873" t="s">
        <v>7</v>
      </c>
      <c r="B3873" t="s">
        <v>22</v>
      </c>
      <c r="C3873" t="str">
        <f t="shared" si="122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1"/>
        <v>1</v>
      </c>
    </row>
    <row r="3874" spans="1:8" x14ac:dyDescent="0.2">
      <c r="A3874" t="s">
        <v>7</v>
      </c>
      <c r="B3874" t="s">
        <v>22</v>
      </c>
      <c r="C3874" t="str">
        <f t="shared" si="122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1"/>
        <v>1</v>
      </c>
    </row>
    <row r="3875" spans="1:8" x14ac:dyDescent="0.2">
      <c r="A3875" t="s">
        <v>7</v>
      </c>
      <c r="B3875" t="s">
        <v>22</v>
      </c>
      <c r="C3875" t="str">
        <f t="shared" si="122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1"/>
        <v>1</v>
      </c>
    </row>
    <row r="3876" spans="1:8" x14ac:dyDescent="0.2">
      <c r="A3876" t="s">
        <v>7</v>
      </c>
      <c r="B3876" t="s">
        <v>22</v>
      </c>
      <c r="C3876" t="str">
        <f t="shared" si="122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1"/>
        <v>1</v>
      </c>
    </row>
    <row r="3877" spans="1:8" x14ac:dyDescent="0.2">
      <c r="A3877" t="s">
        <v>7</v>
      </c>
      <c r="B3877" t="s">
        <v>22</v>
      </c>
      <c r="C3877" t="str">
        <f t="shared" si="122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1"/>
        <v>1</v>
      </c>
    </row>
    <row r="3878" spans="1:8" x14ac:dyDescent="0.2">
      <c r="A3878" t="s">
        <v>7</v>
      </c>
      <c r="B3878" t="s">
        <v>22</v>
      </c>
      <c r="C3878" t="str">
        <f t="shared" si="122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1"/>
        <v>0</v>
      </c>
    </row>
    <row r="3879" spans="1:8" x14ac:dyDescent="0.2">
      <c r="A3879" t="s">
        <v>7</v>
      </c>
      <c r="B3879" t="s">
        <v>22</v>
      </c>
      <c r="C3879" t="str">
        <f t="shared" si="122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1"/>
        <v>0</v>
      </c>
    </row>
    <row r="3880" spans="1:8" x14ac:dyDescent="0.2">
      <c r="A3880" t="s">
        <v>7</v>
      </c>
      <c r="B3880" t="s">
        <v>22</v>
      </c>
      <c r="C3880" t="str">
        <f t="shared" si="122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1"/>
        <v>0</v>
      </c>
    </row>
    <row r="3881" spans="1:8" x14ac:dyDescent="0.2">
      <c r="A3881" t="s">
        <v>7</v>
      </c>
      <c r="B3881" t="s">
        <v>22</v>
      </c>
      <c r="C3881" t="str">
        <f t="shared" si="122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1"/>
        <v>0</v>
      </c>
    </row>
    <row r="3882" spans="1:8" x14ac:dyDescent="0.2">
      <c r="A3882" t="s">
        <v>7</v>
      </c>
      <c r="B3882" t="s">
        <v>22</v>
      </c>
      <c r="C3882" t="str">
        <f t="shared" si="122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1"/>
        <v>0</v>
      </c>
    </row>
    <row r="3883" spans="1:8" x14ac:dyDescent="0.2">
      <c r="A3883" t="s">
        <v>7</v>
      </c>
      <c r="B3883" t="s">
        <v>22</v>
      </c>
      <c r="C3883" t="str">
        <f t="shared" si="122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si="121"/>
        <v>0</v>
      </c>
    </row>
    <row r="3884" spans="1:8" x14ac:dyDescent="0.2">
      <c r="A3884" t="s">
        <v>7</v>
      </c>
      <c r="B3884" t="s">
        <v>22</v>
      </c>
      <c r="C3884" t="str">
        <f t="shared" si="122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1"/>
        <v>0</v>
      </c>
    </row>
    <row r="3885" spans="1:8" x14ac:dyDescent="0.2">
      <c r="A3885" t="s">
        <v>7</v>
      </c>
      <c r="B3885" t="s">
        <v>22</v>
      </c>
      <c r="C3885" t="str">
        <f t="shared" si="122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1"/>
        <v>0</v>
      </c>
    </row>
    <row r="3886" spans="1:8" x14ac:dyDescent="0.2">
      <c r="A3886" t="s">
        <v>7</v>
      </c>
      <c r="B3886" t="s">
        <v>22</v>
      </c>
      <c r="C3886" t="str">
        <f t="shared" si="122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1"/>
        <v>0</v>
      </c>
    </row>
    <row r="3887" spans="1:8" x14ac:dyDescent="0.2">
      <c r="A3887" t="s">
        <v>7</v>
      </c>
      <c r="B3887" t="s">
        <v>22</v>
      </c>
      <c r="C3887" t="str">
        <f t="shared" si="122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1"/>
        <v>0</v>
      </c>
    </row>
    <row r="3888" spans="1:8" x14ac:dyDescent="0.2">
      <c r="A3888" t="s">
        <v>7</v>
      </c>
      <c r="B3888" t="s">
        <v>22</v>
      </c>
      <c r="C3888" t="str">
        <f t="shared" si="122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1"/>
        <v>0</v>
      </c>
    </row>
    <row r="3889" spans="1:8" x14ac:dyDescent="0.2">
      <c r="A3889" t="s">
        <v>7</v>
      </c>
      <c r="B3889" t="s">
        <v>22</v>
      </c>
      <c r="C3889" t="str">
        <f t="shared" si="122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1"/>
        <v>0</v>
      </c>
    </row>
    <row r="3890" spans="1:8" x14ac:dyDescent="0.2">
      <c r="A3890" t="s">
        <v>7</v>
      </c>
      <c r="B3890" t="s">
        <v>22</v>
      </c>
      <c r="C3890" t="str">
        <f t="shared" si="122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1"/>
        <v>0</v>
      </c>
    </row>
    <row r="3891" spans="1:8" x14ac:dyDescent="0.2">
      <c r="A3891" t="s">
        <v>7</v>
      </c>
      <c r="B3891" t="s">
        <v>22</v>
      </c>
      <c r="C3891" t="str">
        <f t="shared" si="122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1"/>
        <v>0</v>
      </c>
    </row>
    <row r="3892" spans="1:8" x14ac:dyDescent="0.2">
      <c r="A3892" t="s">
        <v>7</v>
      </c>
      <c r="B3892" t="s">
        <v>22</v>
      </c>
      <c r="C3892" t="str">
        <f t="shared" si="122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1"/>
        <v>0</v>
      </c>
    </row>
    <row r="3893" spans="1:8" x14ac:dyDescent="0.2">
      <c r="A3893" t="s">
        <v>7</v>
      </c>
      <c r="B3893" t="s">
        <v>22</v>
      </c>
      <c r="C3893" t="str">
        <f t="shared" si="122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1"/>
        <v>-1</v>
      </c>
    </row>
    <row r="3894" spans="1:8" x14ac:dyDescent="0.2">
      <c r="A3894" t="s">
        <v>7</v>
      </c>
      <c r="B3894" t="s">
        <v>22</v>
      </c>
      <c r="C3894" t="str">
        <f t="shared" si="122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1"/>
        <v>-1</v>
      </c>
    </row>
    <row r="3895" spans="1:8" x14ac:dyDescent="0.2">
      <c r="A3895" t="s">
        <v>7</v>
      </c>
      <c r="B3895" t="s">
        <v>22</v>
      </c>
      <c r="C3895" t="str">
        <f t="shared" si="122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1"/>
        <v>-1</v>
      </c>
    </row>
    <row r="3896" spans="1:8" x14ac:dyDescent="0.2">
      <c r="A3896" t="s">
        <v>7</v>
      </c>
      <c r="B3896" t="s">
        <v>22</v>
      </c>
      <c r="C3896" t="str">
        <f t="shared" si="122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1"/>
        <v>-1</v>
      </c>
    </row>
    <row r="3897" spans="1:8" x14ac:dyDescent="0.2">
      <c r="A3897" t="s">
        <v>7</v>
      </c>
      <c r="B3897" t="s">
        <v>22</v>
      </c>
      <c r="C3897" t="str">
        <f t="shared" si="122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1"/>
        <v>-1</v>
      </c>
    </row>
    <row r="3898" spans="1:8" x14ac:dyDescent="0.2">
      <c r="A3898" t="s">
        <v>7</v>
      </c>
      <c r="B3898" t="s">
        <v>22</v>
      </c>
      <c r="C3898" t="str">
        <f t="shared" si="122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1"/>
        <v>-1</v>
      </c>
    </row>
    <row r="3899" spans="1:8" x14ac:dyDescent="0.2">
      <c r="A3899" t="s">
        <v>7</v>
      </c>
      <c r="B3899" t="s">
        <v>22</v>
      </c>
      <c r="C3899" t="str">
        <f t="shared" si="122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1"/>
        <v>-1</v>
      </c>
    </row>
    <row r="3900" spans="1:8" x14ac:dyDescent="0.2">
      <c r="A3900" t="s">
        <v>7</v>
      </c>
      <c r="B3900" t="s">
        <v>22</v>
      </c>
      <c r="C3900" t="str">
        <f t="shared" si="122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1"/>
        <v>-1</v>
      </c>
    </row>
    <row r="3901" spans="1:8" x14ac:dyDescent="0.2">
      <c r="A3901" t="s">
        <v>7</v>
      </c>
      <c r="B3901" t="s">
        <v>22</v>
      </c>
      <c r="C3901" t="str">
        <f t="shared" si="122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1"/>
        <v>-1</v>
      </c>
    </row>
    <row r="3902" spans="1:8" x14ac:dyDescent="0.2">
      <c r="A3902" t="s">
        <v>7</v>
      </c>
      <c r="B3902" t="s">
        <v>22</v>
      </c>
      <c r="C3902" t="str">
        <f t="shared" si="122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1"/>
        <v>-1</v>
      </c>
    </row>
    <row r="3903" spans="1:8" x14ac:dyDescent="0.2">
      <c r="A3903" t="s">
        <v>7</v>
      </c>
      <c r="B3903" t="s">
        <v>22</v>
      </c>
      <c r="C3903" t="str">
        <f t="shared" si="122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1"/>
        <v>-1</v>
      </c>
    </row>
    <row r="3904" spans="1:8" x14ac:dyDescent="0.2">
      <c r="A3904" t="s">
        <v>7</v>
      </c>
      <c r="B3904" t="s">
        <v>22</v>
      </c>
      <c r="C3904" t="str">
        <f t="shared" si="122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1"/>
        <v>-1</v>
      </c>
    </row>
    <row r="3905" spans="1:8" x14ac:dyDescent="0.2">
      <c r="A3905" t="s">
        <v>7</v>
      </c>
      <c r="B3905" t="s">
        <v>22</v>
      </c>
      <c r="C3905" t="str">
        <f t="shared" si="122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1"/>
        <v>-1</v>
      </c>
    </row>
    <row r="3906" spans="1:8" x14ac:dyDescent="0.2">
      <c r="A3906" t="s">
        <v>7</v>
      </c>
      <c r="B3906" t="s">
        <v>22</v>
      </c>
      <c r="C3906" t="str">
        <f t="shared" si="122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1"/>
        <v>-1</v>
      </c>
    </row>
    <row r="3907" spans="1:8" x14ac:dyDescent="0.2">
      <c r="A3907" t="s">
        <v>7</v>
      </c>
      <c r="B3907" t="s">
        <v>22</v>
      </c>
      <c r="C3907" t="str">
        <f t="shared" si="122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ref="H3907:H3970" si="123">F3907-G3907</f>
        <v>-2</v>
      </c>
    </row>
    <row r="3908" spans="1:8" x14ac:dyDescent="0.2">
      <c r="A3908" t="s">
        <v>7</v>
      </c>
      <c r="B3908" t="s">
        <v>22</v>
      </c>
      <c r="C3908" t="str">
        <f t="shared" ref="C3908:C3971" si="124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3"/>
        <v>-2</v>
      </c>
    </row>
    <row r="3909" spans="1:8" x14ac:dyDescent="0.2">
      <c r="A3909" t="s">
        <v>7</v>
      </c>
      <c r="B3909" t="s">
        <v>22</v>
      </c>
      <c r="C3909" t="str">
        <f t="shared" si="124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3"/>
        <v>-2</v>
      </c>
    </row>
    <row r="3910" spans="1:8" x14ac:dyDescent="0.2">
      <c r="A3910" t="s">
        <v>7</v>
      </c>
      <c r="B3910" t="s">
        <v>22</v>
      </c>
      <c r="C3910" t="str">
        <f t="shared" si="124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3"/>
        <v>-2</v>
      </c>
    </row>
    <row r="3911" spans="1:8" x14ac:dyDescent="0.2">
      <c r="A3911" t="s">
        <v>7</v>
      </c>
      <c r="B3911" t="s">
        <v>22</v>
      </c>
      <c r="C3911" t="str">
        <f t="shared" si="124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3"/>
        <v>-2</v>
      </c>
    </row>
    <row r="3912" spans="1:8" x14ac:dyDescent="0.2">
      <c r="A3912" t="s">
        <v>7</v>
      </c>
      <c r="B3912" t="s">
        <v>22</v>
      </c>
      <c r="C3912" t="str">
        <f t="shared" si="124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3"/>
        <v>-2</v>
      </c>
    </row>
    <row r="3913" spans="1:8" x14ac:dyDescent="0.2">
      <c r="A3913" t="s">
        <v>7</v>
      </c>
      <c r="B3913" t="s">
        <v>22</v>
      </c>
      <c r="C3913" t="str">
        <f t="shared" si="124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3"/>
        <v>-2</v>
      </c>
    </row>
    <row r="3914" spans="1:8" x14ac:dyDescent="0.2">
      <c r="A3914" t="s">
        <v>7</v>
      </c>
      <c r="B3914" t="s">
        <v>22</v>
      </c>
      <c r="C3914" t="str">
        <f t="shared" si="124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3"/>
        <v>-2</v>
      </c>
    </row>
    <row r="3915" spans="1:8" x14ac:dyDescent="0.2">
      <c r="A3915" t="s">
        <v>7</v>
      </c>
      <c r="B3915" t="s">
        <v>22</v>
      </c>
      <c r="C3915" t="str">
        <f t="shared" si="124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3"/>
        <v>-2</v>
      </c>
    </row>
    <row r="3916" spans="1:8" x14ac:dyDescent="0.2">
      <c r="A3916" t="s">
        <v>7</v>
      </c>
      <c r="B3916" t="s">
        <v>22</v>
      </c>
      <c r="C3916" t="str">
        <f t="shared" si="124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3"/>
        <v>-2</v>
      </c>
    </row>
    <row r="3917" spans="1:8" x14ac:dyDescent="0.2">
      <c r="A3917" t="s">
        <v>7</v>
      </c>
      <c r="B3917" t="s">
        <v>22</v>
      </c>
      <c r="C3917" t="str">
        <f t="shared" si="124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3"/>
        <v>-2</v>
      </c>
    </row>
    <row r="3918" spans="1:8" x14ac:dyDescent="0.2">
      <c r="A3918" t="s">
        <v>7</v>
      </c>
      <c r="B3918" t="s">
        <v>22</v>
      </c>
      <c r="C3918" t="str">
        <f t="shared" si="124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3"/>
        <v>-2</v>
      </c>
    </row>
    <row r="3919" spans="1:8" x14ac:dyDescent="0.2">
      <c r="A3919" t="s">
        <v>7</v>
      </c>
      <c r="B3919" t="s">
        <v>22</v>
      </c>
      <c r="C3919" t="str">
        <f t="shared" si="124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3"/>
        <v>-2</v>
      </c>
    </row>
    <row r="3920" spans="1:8" x14ac:dyDescent="0.2">
      <c r="A3920" t="s">
        <v>7</v>
      </c>
      <c r="B3920" t="s">
        <v>22</v>
      </c>
      <c r="C3920" t="str">
        <f t="shared" si="124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3"/>
        <v>0</v>
      </c>
    </row>
    <row r="3921" spans="1:8" x14ac:dyDescent="0.2">
      <c r="A3921" t="s">
        <v>7</v>
      </c>
      <c r="B3921" t="s">
        <v>22</v>
      </c>
      <c r="C3921" t="str">
        <f t="shared" si="124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3"/>
        <v>-2</v>
      </c>
    </row>
    <row r="3922" spans="1:8" x14ac:dyDescent="0.2">
      <c r="A3922" t="s">
        <v>7</v>
      </c>
      <c r="B3922" t="s">
        <v>22</v>
      </c>
      <c r="C3922" t="str">
        <f t="shared" si="124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3"/>
        <v>-2</v>
      </c>
    </row>
    <row r="3923" spans="1:8" x14ac:dyDescent="0.2">
      <c r="A3923" t="s">
        <v>7</v>
      </c>
      <c r="B3923" t="s">
        <v>22</v>
      </c>
      <c r="C3923" t="str">
        <f t="shared" si="124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3"/>
        <v>-2</v>
      </c>
    </row>
    <row r="3924" spans="1:8" x14ac:dyDescent="0.2">
      <c r="A3924" t="s">
        <v>7</v>
      </c>
      <c r="B3924" t="s">
        <v>22</v>
      </c>
      <c r="C3924" t="str">
        <f t="shared" si="124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3"/>
        <v>-2</v>
      </c>
    </row>
    <row r="3925" spans="1:8" x14ac:dyDescent="0.2">
      <c r="A3925" t="s">
        <v>7</v>
      </c>
      <c r="B3925" t="s">
        <v>22</v>
      </c>
      <c r="C3925" t="str">
        <f t="shared" si="124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3"/>
        <v>0</v>
      </c>
    </row>
    <row r="3926" spans="1:8" x14ac:dyDescent="0.2">
      <c r="A3926" t="s">
        <v>7</v>
      </c>
      <c r="B3926" t="s">
        <v>22</v>
      </c>
      <c r="C3926" t="str">
        <f t="shared" si="124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3"/>
        <v>-3</v>
      </c>
    </row>
    <row r="3927" spans="1:8" x14ac:dyDescent="0.2">
      <c r="A3927" t="s">
        <v>7</v>
      </c>
      <c r="B3927" t="s">
        <v>22</v>
      </c>
      <c r="C3927" t="str">
        <f t="shared" si="124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3"/>
        <v>-3</v>
      </c>
    </row>
    <row r="3928" spans="1:8" x14ac:dyDescent="0.2">
      <c r="A3928" t="s">
        <v>7</v>
      </c>
      <c r="B3928" t="s">
        <v>22</v>
      </c>
      <c r="C3928" t="str">
        <f t="shared" si="124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3"/>
        <v>-3</v>
      </c>
    </row>
    <row r="3929" spans="1:8" x14ac:dyDescent="0.2">
      <c r="A3929" t="s">
        <v>7</v>
      </c>
      <c r="B3929" t="s">
        <v>22</v>
      </c>
      <c r="C3929" t="str">
        <f t="shared" si="124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3"/>
        <v>-3</v>
      </c>
    </row>
    <row r="3930" spans="1:8" x14ac:dyDescent="0.2">
      <c r="A3930" t="s">
        <v>7</v>
      </c>
      <c r="B3930" t="s">
        <v>22</v>
      </c>
      <c r="C3930" t="str">
        <f t="shared" si="124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3"/>
        <v>-3</v>
      </c>
    </row>
    <row r="3931" spans="1:8" x14ac:dyDescent="0.2">
      <c r="A3931" t="s">
        <v>7</v>
      </c>
      <c r="B3931" t="s">
        <v>22</v>
      </c>
      <c r="C3931" t="str">
        <f t="shared" si="124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3"/>
        <v>-3</v>
      </c>
    </row>
    <row r="3932" spans="1:8" x14ac:dyDescent="0.2">
      <c r="A3932" t="s">
        <v>7</v>
      </c>
      <c r="B3932" t="s">
        <v>22</v>
      </c>
      <c r="C3932" t="str">
        <f t="shared" si="124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3"/>
        <v>-3</v>
      </c>
    </row>
    <row r="3933" spans="1:8" x14ac:dyDescent="0.2">
      <c r="A3933" t="s">
        <v>7</v>
      </c>
      <c r="B3933" t="s">
        <v>22</v>
      </c>
      <c r="C3933" t="str">
        <f t="shared" si="124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3"/>
        <v>-3</v>
      </c>
    </row>
    <row r="3934" spans="1:8" x14ac:dyDescent="0.2">
      <c r="A3934" t="s">
        <v>7</v>
      </c>
      <c r="B3934" t="s">
        <v>22</v>
      </c>
      <c r="C3934" t="str">
        <f t="shared" si="124"/>
        <v>Cumple</v>
      </c>
      <c r="D3934" s="16">
        <v>5023</v>
      </c>
      <c r="E3934" s="19" t="s">
        <v>8</v>
      </c>
      <c r="F3934" s="9">
        <v>8</v>
      </c>
      <c r="G3934">
        <v>8</v>
      </c>
      <c r="H3934">
        <f t="shared" si="123"/>
        <v>0</v>
      </c>
    </row>
    <row r="3935" spans="1:8" x14ac:dyDescent="0.2">
      <c r="A3935" t="s">
        <v>7</v>
      </c>
      <c r="B3935" t="s">
        <v>22</v>
      </c>
      <c r="C3935" t="str">
        <f t="shared" si="124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3"/>
        <v>-3</v>
      </c>
    </row>
    <row r="3936" spans="1:8" x14ac:dyDescent="0.2">
      <c r="A3936" t="s">
        <v>7</v>
      </c>
      <c r="B3936" t="s">
        <v>22</v>
      </c>
      <c r="C3936" t="str">
        <f t="shared" si="124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3"/>
        <v>-3</v>
      </c>
    </row>
    <row r="3937" spans="1:8" x14ac:dyDescent="0.2">
      <c r="A3937" t="s">
        <v>7</v>
      </c>
      <c r="B3937" t="s">
        <v>22</v>
      </c>
      <c r="C3937" t="str">
        <f t="shared" si="124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3"/>
        <v>0</v>
      </c>
    </row>
    <row r="3938" spans="1:8" x14ac:dyDescent="0.2">
      <c r="A3938" t="s">
        <v>7</v>
      </c>
      <c r="B3938" t="s">
        <v>22</v>
      </c>
      <c r="C3938" t="str">
        <f t="shared" si="124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3"/>
        <v>-3</v>
      </c>
    </row>
    <row r="3939" spans="1:8" x14ac:dyDescent="0.2">
      <c r="A3939" t="s">
        <v>7</v>
      </c>
      <c r="B3939" t="s">
        <v>22</v>
      </c>
      <c r="C3939" t="str">
        <f t="shared" si="124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3"/>
        <v>-3</v>
      </c>
    </row>
    <row r="3940" spans="1:8" x14ac:dyDescent="0.2">
      <c r="A3940" t="s">
        <v>7</v>
      </c>
      <c r="B3940" t="s">
        <v>22</v>
      </c>
      <c r="C3940" t="str">
        <f t="shared" si="124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3"/>
        <v>-4</v>
      </c>
    </row>
    <row r="3941" spans="1:8" x14ac:dyDescent="0.2">
      <c r="A3941" t="s">
        <v>7</v>
      </c>
      <c r="B3941" t="s">
        <v>22</v>
      </c>
      <c r="C3941" t="str">
        <f t="shared" si="124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3"/>
        <v>0</v>
      </c>
    </row>
    <row r="3942" spans="1:8" x14ac:dyDescent="0.2">
      <c r="A3942" t="s">
        <v>7</v>
      </c>
      <c r="B3942" t="s">
        <v>22</v>
      </c>
      <c r="C3942" t="str">
        <f t="shared" si="124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3"/>
        <v>-4</v>
      </c>
    </row>
    <row r="3943" spans="1:8" x14ac:dyDescent="0.2">
      <c r="A3943" t="s">
        <v>7</v>
      </c>
      <c r="B3943" t="s">
        <v>22</v>
      </c>
      <c r="C3943" t="str">
        <f t="shared" si="124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3"/>
        <v>-4</v>
      </c>
    </row>
    <row r="3944" spans="1:8" x14ac:dyDescent="0.2">
      <c r="A3944" t="s">
        <v>7</v>
      </c>
      <c r="B3944" t="s">
        <v>22</v>
      </c>
      <c r="C3944" t="str">
        <f t="shared" si="124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3"/>
        <v>-4</v>
      </c>
    </row>
    <row r="3945" spans="1:8" x14ac:dyDescent="0.2">
      <c r="A3945" t="s">
        <v>7</v>
      </c>
      <c r="B3945" t="s">
        <v>22</v>
      </c>
      <c r="C3945" t="str">
        <f t="shared" si="124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3"/>
        <v>-4</v>
      </c>
    </row>
    <row r="3946" spans="1:8" x14ac:dyDescent="0.2">
      <c r="A3946" t="s">
        <v>7</v>
      </c>
      <c r="B3946" t="s">
        <v>22</v>
      </c>
      <c r="C3946" t="str">
        <f t="shared" si="124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3"/>
        <v>-4</v>
      </c>
    </row>
    <row r="3947" spans="1:8" x14ac:dyDescent="0.2">
      <c r="A3947" t="s">
        <v>7</v>
      </c>
      <c r="B3947" t="s">
        <v>22</v>
      </c>
      <c r="C3947" t="str">
        <f t="shared" si="124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si="123"/>
        <v>-4</v>
      </c>
    </row>
    <row r="3948" spans="1:8" x14ac:dyDescent="0.2">
      <c r="A3948" t="s">
        <v>7</v>
      </c>
      <c r="B3948" t="s">
        <v>22</v>
      </c>
      <c r="C3948" t="str">
        <f t="shared" si="124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23"/>
        <v>-4</v>
      </c>
    </row>
    <row r="3949" spans="1:8" x14ac:dyDescent="0.2">
      <c r="A3949" t="s">
        <v>7</v>
      </c>
      <c r="B3949" t="s">
        <v>22</v>
      </c>
      <c r="C3949" t="str">
        <f t="shared" si="124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23"/>
        <v>-4</v>
      </c>
    </row>
    <row r="3950" spans="1:8" x14ac:dyDescent="0.2">
      <c r="A3950" t="s">
        <v>7</v>
      </c>
      <c r="B3950" t="s">
        <v>22</v>
      </c>
      <c r="C3950" t="str">
        <f t="shared" si="124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23"/>
        <v>-4</v>
      </c>
    </row>
    <row r="3951" spans="1:8" x14ac:dyDescent="0.2">
      <c r="A3951" t="s">
        <v>7</v>
      </c>
      <c r="B3951" t="s">
        <v>22</v>
      </c>
      <c r="C3951" t="str">
        <f t="shared" si="124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23"/>
        <v>-4</v>
      </c>
    </row>
    <row r="3952" spans="1:8" x14ac:dyDescent="0.2">
      <c r="A3952" t="s">
        <v>7</v>
      </c>
      <c r="B3952" t="s">
        <v>22</v>
      </c>
      <c r="C3952" t="str">
        <f t="shared" si="124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23"/>
        <v>-4</v>
      </c>
    </row>
    <row r="3953" spans="1:8" x14ac:dyDescent="0.2">
      <c r="A3953" t="s">
        <v>7</v>
      </c>
      <c r="B3953" t="s">
        <v>22</v>
      </c>
      <c r="C3953" t="str">
        <f t="shared" si="124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23"/>
        <v>-4</v>
      </c>
    </row>
    <row r="3954" spans="1:8" x14ac:dyDescent="0.2">
      <c r="A3954" t="s">
        <v>7</v>
      </c>
      <c r="B3954" t="s">
        <v>22</v>
      </c>
      <c r="C3954" t="str">
        <f t="shared" si="124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23"/>
        <v>-4</v>
      </c>
    </row>
    <row r="3955" spans="1:8" x14ac:dyDescent="0.2">
      <c r="A3955" t="s">
        <v>7</v>
      </c>
      <c r="B3955" t="s">
        <v>22</v>
      </c>
      <c r="C3955" t="str">
        <f t="shared" si="124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23"/>
        <v>-4</v>
      </c>
    </row>
    <row r="3956" spans="1:8" x14ac:dyDescent="0.2">
      <c r="A3956" t="s">
        <v>7</v>
      </c>
      <c r="B3956" t="s">
        <v>22</v>
      </c>
      <c r="C3956" t="str">
        <f t="shared" si="124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23"/>
        <v>-4</v>
      </c>
    </row>
    <row r="3957" spans="1:8" x14ac:dyDescent="0.2">
      <c r="A3957" t="s">
        <v>7</v>
      </c>
      <c r="B3957" t="s">
        <v>22</v>
      </c>
      <c r="C3957" t="str">
        <f t="shared" si="124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23"/>
        <v>-5</v>
      </c>
    </row>
    <row r="3958" spans="1:8" x14ac:dyDescent="0.2">
      <c r="A3958" t="s">
        <v>7</v>
      </c>
      <c r="B3958" t="s">
        <v>22</v>
      </c>
      <c r="C3958" t="str">
        <f t="shared" si="124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23"/>
        <v>-5</v>
      </c>
    </row>
    <row r="3959" spans="1:8" x14ac:dyDescent="0.2">
      <c r="A3959" t="s">
        <v>7</v>
      </c>
      <c r="B3959" t="s">
        <v>22</v>
      </c>
      <c r="C3959" t="str">
        <f t="shared" si="124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23"/>
        <v>-5</v>
      </c>
    </row>
    <row r="3960" spans="1:8" x14ac:dyDescent="0.2">
      <c r="A3960" t="s">
        <v>7</v>
      </c>
      <c r="B3960" t="s">
        <v>22</v>
      </c>
      <c r="C3960" t="str">
        <f t="shared" si="124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23"/>
        <v>-5</v>
      </c>
    </row>
    <row r="3961" spans="1:8" x14ac:dyDescent="0.2">
      <c r="A3961" t="s">
        <v>7</v>
      </c>
      <c r="B3961" t="s">
        <v>22</v>
      </c>
      <c r="C3961" t="str">
        <f t="shared" si="124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23"/>
        <v>-5</v>
      </c>
    </row>
    <row r="3962" spans="1:8" x14ac:dyDescent="0.2">
      <c r="A3962" t="s">
        <v>7</v>
      </c>
      <c r="B3962" t="s">
        <v>22</v>
      </c>
      <c r="C3962" t="str">
        <f t="shared" si="124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23"/>
        <v>-5</v>
      </c>
    </row>
    <row r="3963" spans="1:8" x14ac:dyDescent="0.2">
      <c r="A3963" t="s">
        <v>7</v>
      </c>
      <c r="B3963" t="s">
        <v>22</v>
      </c>
      <c r="C3963" t="str">
        <f t="shared" si="124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23"/>
        <v>-5</v>
      </c>
    </row>
    <row r="3964" spans="1:8" x14ac:dyDescent="0.2">
      <c r="A3964" t="s">
        <v>7</v>
      </c>
      <c r="B3964" t="s">
        <v>22</v>
      </c>
      <c r="C3964" t="str">
        <f t="shared" si="124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23"/>
        <v>-5</v>
      </c>
    </row>
    <row r="3965" spans="1:8" x14ac:dyDescent="0.2">
      <c r="A3965" t="s">
        <v>7</v>
      </c>
      <c r="B3965" t="s">
        <v>22</v>
      </c>
      <c r="C3965" t="str">
        <f t="shared" si="124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23"/>
        <v>0</v>
      </c>
    </row>
    <row r="3966" spans="1:8" x14ac:dyDescent="0.2">
      <c r="A3966" t="s">
        <v>7</v>
      </c>
      <c r="B3966" t="s">
        <v>22</v>
      </c>
      <c r="C3966" t="str">
        <f t="shared" si="124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23"/>
        <v>-5</v>
      </c>
    </row>
    <row r="3967" spans="1:8" x14ac:dyDescent="0.2">
      <c r="A3967" t="s">
        <v>7</v>
      </c>
      <c r="B3967" t="s">
        <v>22</v>
      </c>
      <c r="C3967" t="str">
        <f t="shared" si="124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23"/>
        <v>-5</v>
      </c>
    </row>
    <row r="3968" spans="1:8" x14ac:dyDescent="0.2">
      <c r="A3968" t="s">
        <v>7</v>
      </c>
      <c r="B3968" t="s">
        <v>22</v>
      </c>
      <c r="C3968" t="str">
        <f t="shared" si="124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23"/>
        <v>-5</v>
      </c>
    </row>
    <row r="3969" spans="1:8" x14ac:dyDescent="0.2">
      <c r="A3969" t="s">
        <v>7</v>
      </c>
      <c r="B3969" t="s">
        <v>22</v>
      </c>
      <c r="C3969" t="str">
        <f t="shared" si="124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23"/>
        <v>-5</v>
      </c>
    </row>
    <row r="3970" spans="1:8" x14ac:dyDescent="0.2">
      <c r="A3970" t="s">
        <v>7</v>
      </c>
      <c r="B3970" t="s">
        <v>22</v>
      </c>
      <c r="C3970" t="str">
        <f t="shared" si="124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23"/>
        <v>-5</v>
      </c>
    </row>
    <row r="3971" spans="1:8" x14ac:dyDescent="0.2">
      <c r="A3971" t="s">
        <v>7</v>
      </c>
      <c r="B3971" t="s">
        <v>22</v>
      </c>
      <c r="C3971" t="str">
        <f t="shared" si="124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ref="H3971:H4034" si="125">F3971-G3971</f>
        <v>-5</v>
      </c>
    </row>
    <row r="3972" spans="1:8" x14ac:dyDescent="0.2">
      <c r="A3972" t="s">
        <v>7</v>
      </c>
      <c r="B3972" t="s">
        <v>22</v>
      </c>
      <c r="C3972" t="str">
        <f t="shared" ref="C3972:C4035" si="126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25"/>
        <v>-5</v>
      </c>
    </row>
    <row r="3973" spans="1:8" x14ac:dyDescent="0.2">
      <c r="A3973" t="s">
        <v>7</v>
      </c>
      <c r="B3973" t="s">
        <v>22</v>
      </c>
      <c r="C3973" t="str">
        <f t="shared" si="126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25"/>
        <v>-5</v>
      </c>
    </row>
    <row r="3974" spans="1:8" x14ac:dyDescent="0.2">
      <c r="A3974" t="s">
        <v>7</v>
      </c>
      <c r="B3974" t="s">
        <v>22</v>
      </c>
      <c r="C3974" t="str">
        <f t="shared" si="126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25"/>
        <v>-5</v>
      </c>
    </row>
    <row r="3975" spans="1:8" x14ac:dyDescent="0.2">
      <c r="A3975" t="s">
        <v>7</v>
      </c>
      <c r="B3975" t="s">
        <v>22</v>
      </c>
      <c r="C3975" t="str">
        <f t="shared" si="126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25"/>
        <v>-5</v>
      </c>
    </row>
    <row r="3976" spans="1:8" x14ac:dyDescent="0.2">
      <c r="A3976" t="s">
        <v>7</v>
      </c>
      <c r="B3976" t="s">
        <v>22</v>
      </c>
      <c r="C3976" t="str">
        <f t="shared" si="126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25"/>
        <v>-5</v>
      </c>
    </row>
    <row r="3977" spans="1:8" x14ac:dyDescent="0.2">
      <c r="A3977" t="s">
        <v>7</v>
      </c>
      <c r="B3977" t="s">
        <v>22</v>
      </c>
      <c r="C3977" t="str">
        <f t="shared" si="126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25"/>
        <v>-5</v>
      </c>
    </row>
    <row r="3978" spans="1:8" x14ac:dyDescent="0.2">
      <c r="A3978" t="s">
        <v>7</v>
      </c>
      <c r="B3978" t="s">
        <v>22</v>
      </c>
      <c r="C3978" t="str">
        <f t="shared" si="126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25"/>
        <v>-5</v>
      </c>
    </row>
    <row r="3979" spans="1:8" x14ac:dyDescent="0.2">
      <c r="A3979" t="s">
        <v>7</v>
      </c>
      <c r="B3979" t="s">
        <v>22</v>
      </c>
      <c r="C3979" t="str">
        <f t="shared" si="126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25"/>
        <v>-5</v>
      </c>
    </row>
    <row r="3980" spans="1:8" x14ac:dyDescent="0.2">
      <c r="A3980" t="s">
        <v>7</v>
      </c>
      <c r="B3980" t="s">
        <v>22</v>
      </c>
      <c r="C3980" t="str">
        <f t="shared" si="126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25"/>
        <v>-5</v>
      </c>
    </row>
    <row r="3981" spans="1:8" x14ac:dyDescent="0.2">
      <c r="A3981" t="s">
        <v>7</v>
      </c>
      <c r="B3981" t="s">
        <v>22</v>
      </c>
      <c r="C3981" t="str">
        <f t="shared" si="126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25"/>
        <v>-5</v>
      </c>
    </row>
    <row r="3982" spans="1:8" x14ac:dyDescent="0.2">
      <c r="A3982" t="s">
        <v>7</v>
      </c>
      <c r="B3982" t="s">
        <v>22</v>
      </c>
      <c r="C3982" t="str">
        <f t="shared" si="126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25"/>
        <v>-5</v>
      </c>
    </row>
    <row r="3983" spans="1:8" x14ac:dyDescent="0.2">
      <c r="A3983" t="s">
        <v>7</v>
      </c>
      <c r="B3983" t="s">
        <v>22</v>
      </c>
      <c r="C3983" t="str">
        <f t="shared" si="126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25"/>
        <v>-5</v>
      </c>
    </row>
    <row r="3984" spans="1:8" x14ac:dyDescent="0.2">
      <c r="A3984" t="s">
        <v>7</v>
      </c>
      <c r="B3984" t="s">
        <v>22</v>
      </c>
      <c r="C3984" t="str">
        <f t="shared" si="126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25"/>
        <v>-6</v>
      </c>
    </row>
    <row r="3985" spans="1:8" x14ac:dyDescent="0.2">
      <c r="A3985" t="s">
        <v>7</v>
      </c>
      <c r="B3985" t="s">
        <v>22</v>
      </c>
      <c r="C3985" t="str">
        <f t="shared" si="126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25"/>
        <v>-6</v>
      </c>
    </row>
    <row r="3986" spans="1:8" x14ac:dyDescent="0.2">
      <c r="A3986" t="s">
        <v>7</v>
      </c>
      <c r="B3986" t="s">
        <v>22</v>
      </c>
      <c r="C3986" t="str">
        <f t="shared" si="126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25"/>
        <v>-6</v>
      </c>
    </row>
    <row r="3987" spans="1:8" x14ac:dyDescent="0.2">
      <c r="A3987" t="s">
        <v>7</v>
      </c>
      <c r="B3987" t="s">
        <v>22</v>
      </c>
      <c r="C3987" t="str">
        <f t="shared" si="126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25"/>
        <v>-6</v>
      </c>
    </row>
    <row r="3988" spans="1:8" x14ac:dyDescent="0.2">
      <c r="A3988" t="s">
        <v>7</v>
      </c>
      <c r="B3988" t="s">
        <v>22</v>
      </c>
      <c r="C3988" t="str">
        <f t="shared" si="126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25"/>
        <v>-6</v>
      </c>
    </row>
    <row r="3989" spans="1:8" x14ac:dyDescent="0.2">
      <c r="A3989" t="s">
        <v>7</v>
      </c>
      <c r="B3989" t="s">
        <v>22</v>
      </c>
      <c r="C3989" t="str">
        <f t="shared" si="126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25"/>
        <v>-6</v>
      </c>
    </row>
    <row r="3990" spans="1:8" x14ac:dyDescent="0.2">
      <c r="A3990" t="s">
        <v>7</v>
      </c>
      <c r="B3990" t="s">
        <v>22</v>
      </c>
      <c r="C3990" t="str">
        <f t="shared" si="126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25"/>
        <v>-6</v>
      </c>
    </row>
    <row r="3991" spans="1:8" x14ac:dyDescent="0.2">
      <c r="A3991" t="s">
        <v>7</v>
      </c>
      <c r="B3991" t="s">
        <v>22</v>
      </c>
      <c r="C3991" t="str">
        <f t="shared" si="126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25"/>
        <v>-6</v>
      </c>
    </row>
    <row r="3992" spans="1:8" x14ac:dyDescent="0.2">
      <c r="A3992" t="s">
        <v>7</v>
      </c>
      <c r="B3992" t="s">
        <v>22</v>
      </c>
      <c r="C3992" t="str">
        <f t="shared" si="126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25"/>
        <v>-6</v>
      </c>
    </row>
    <row r="3993" spans="1:8" x14ac:dyDescent="0.2">
      <c r="A3993" t="s">
        <v>7</v>
      </c>
      <c r="B3993" t="s">
        <v>22</v>
      </c>
      <c r="C3993" t="str">
        <f t="shared" si="126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25"/>
        <v>-6</v>
      </c>
    </row>
    <row r="3994" spans="1:8" x14ac:dyDescent="0.2">
      <c r="A3994" t="s">
        <v>7</v>
      </c>
      <c r="B3994" t="s">
        <v>22</v>
      </c>
      <c r="C3994" t="str">
        <f t="shared" si="126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25"/>
        <v>-6</v>
      </c>
    </row>
    <row r="3995" spans="1:8" x14ac:dyDescent="0.2">
      <c r="A3995" t="s">
        <v>7</v>
      </c>
      <c r="B3995" t="s">
        <v>22</v>
      </c>
      <c r="C3995" t="str">
        <f t="shared" si="126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25"/>
        <v>-6</v>
      </c>
    </row>
    <row r="3996" spans="1:8" x14ac:dyDescent="0.2">
      <c r="A3996" t="s">
        <v>7</v>
      </c>
      <c r="B3996" t="s">
        <v>22</v>
      </c>
      <c r="C3996" t="str">
        <f t="shared" si="126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25"/>
        <v>-6</v>
      </c>
    </row>
    <row r="3997" spans="1:8" x14ac:dyDescent="0.2">
      <c r="A3997" t="s">
        <v>7</v>
      </c>
      <c r="B3997" t="s">
        <v>22</v>
      </c>
      <c r="C3997" t="str">
        <f t="shared" si="126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25"/>
        <v>-6</v>
      </c>
    </row>
    <row r="3998" spans="1:8" x14ac:dyDescent="0.2">
      <c r="A3998" t="s">
        <v>7</v>
      </c>
      <c r="B3998" t="s">
        <v>22</v>
      </c>
      <c r="C3998" t="str">
        <f t="shared" si="126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25"/>
        <v>-6</v>
      </c>
    </row>
    <row r="3999" spans="1:8" x14ac:dyDescent="0.2">
      <c r="A3999" t="s">
        <v>7</v>
      </c>
      <c r="B3999" t="s">
        <v>22</v>
      </c>
      <c r="C3999" t="str">
        <f t="shared" si="126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25"/>
        <v>-6</v>
      </c>
    </row>
    <row r="4000" spans="1:8" x14ac:dyDescent="0.2">
      <c r="A4000" t="s">
        <v>7</v>
      </c>
      <c r="B4000" t="s">
        <v>22</v>
      </c>
      <c r="C4000" t="str">
        <f t="shared" si="126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25"/>
        <v>-6</v>
      </c>
    </row>
    <row r="4001" spans="1:8" x14ac:dyDescent="0.2">
      <c r="A4001" t="s">
        <v>7</v>
      </c>
      <c r="B4001" t="s">
        <v>22</v>
      </c>
      <c r="C4001" t="str">
        <f t="shared" si="126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25"/>
        <v>-6</v>
      </c>
    </row>
    <row r="4002" spans="1:8" x14ac:dyDescent="0.2">
      <c r="A4002" t="s">
        <v>7</v>
      </c>
      <c r="B4002" t="s">
        <v>22</v>
      </c>
      <c r="C4002" t="str">
        <f t="shared" si="126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25"/>
        <v>-6</v>
      </c>
    </row>
    <row r="4003" spans="1:8" x14ac:dyDescent="0.2">
      <c r="A4003" t="s">
        <v>7</v>
      </c>
      <c r="B4003" t="s">
        <v>22</v>
      </c>
      <c r="C4003" t="str">
        <f t="shared" si="126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25"/>
        <v>-6</v>
      </c>
    </row>
    <row r="4004" spans="1:8" x14ac:dyDescent="0.2">
      <c r="A4004" t="s">
        <v>7</v>
      </c>
      <c r="B4004" t="s">
        <v>22</v>
      </c>
      <c r="C4004" t="str">
        <f t="shared" si="126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25"/>
        <v>-6</v>
      </c>
    </row>
    <row r="4005" spans="1:8" x14ac:dyDescent="0.2">
      <c r="A4005" t="s">
        <v>7</v>
      </c>
      <c r="B4005" t="s">
        <v>22</v>
      </c>
      <c r="C4005" t="str">
        <f t="shared" si="126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25"/>
        <v>-6</v>
      </c>
    </row>
    <row r="4006" spans="1:8" x14ac:dyDescent="0.2">
      <c r="A4006" t="s">
        <v>7</v>
      </c>
      <c r="B4006" t="s">
        <v>22</v>
      </c>
      <c r="C4006" t="str">
        <f t="shared" si="126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25"/>
        <v>-6</v>
      </c>
    </row>
    <row r="4007" spans="1:8" x14ac:dyDescent="0.2">
      <c r="A4007" t="s">
        <v>7</v>
      </c>
      <c r="B4007" t="s">
        <v>22</v>
      </c>
      <c r="C4007" t="str">
        <f t="shared" si="126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25"/>
        <v>-6</v>
      </c>
    </row>
    <row r="4008" spans="1:8" x14ac:dyDescent="0.2">
      <c r="A4008" t="s">
        <v>7</v>
      </c>
      <c r="B4008" t="s">
        <v>22</v>
      </c>
      <c r="C4008" t="str">
        <f t="shared" si="126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25"/>
        <v>-6</v>
      </c>
    </row>
    <row r="4009" spans="1:8" x14ac:dyDescent="0.2">
      <c r="A4009" t="s">
        <v>7</v>
      </c>
      <c r="B4009" t="s">
        <v>22</v>
      </c>
      <c r="C4009" t="str">
        <f t="shared" si="126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25"/>
        <v>-6</v>
      </c>
    </row>
    <row r="4010" spans="1:8" x14ac:dyDescent="0.2">
      <c r="A4010" t="s">
        <v>7</v>
      </c>
      <c r="B4010" t="s">
        <v>22</v>
      </c>
      <c r="C4010" t="str">
        <f t="shared" si="126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25"/>
        <v>-6</v>
      </c>
    </row>
    <row r="4011" spans="1:8" x14ac:dyDescent="0.2">
      <c r="A4011" t="s">
        <v>7</v>
      </c>
      <c r="B4011" t="s">
        <v>22</v>
      </c>
      <c r="C4011" t="str">
        <f t="shared" si="126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si="125"/>
        <v>-6</v>
      </c>
    </row>
    <row r="4012" spans="1:8" x14ac:dyDescent="0.2">
      <c r="A4012" t="s">
        <v>7</v>
      </c>
      <c r="B4012" t="s">
        <v>22</v>
      </c>
      <c r="C4012" t="str">
        <f t="shared" si="126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25"/>
        <v>-6</v>
      </c>
    </row>
    <row r="4013" spans="1:8" x14ac:dyDescent="0.2">
      <c r="A4013" t="s">
        <v>7</v>
      </c>
      <c r="B4013" t="s">
        <v>22</v>
      </c>
      <c r="C4013" t="str">
        <f t="shared" si="126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25"/>
        <v>-6</v>
      </c>
    </row>
    <row r="4014" spans="1:8" x14ac:dyDescent="0.2">
      <c r="A4014" t="s">
        <v>7</v>
      </c>
      <c r="B4014" t="s">
        <v>22</v>
      </c>
      <c r="C4014" t="str">
        <f t="shared" si="126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25"/>
        <v>-6</v>
      </c>
    </row>
    <row r="4015" spans="1:8" x14ac:dyDescent="0.2">
      <c r="A4015" t="s">
        <v>7</v>
      </c>
      <c r="B4015" t="s">
        <v>22</v>
      </c>
      <c r="C4015" t="str">
        <f t="shared" si="126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25"/>
        <v>0</v>
      </c>
    </row>
    <row r="4016" spans="1:8" x14ac:dyDescent="0.2">
      <c r="A4016" t="s">
        <v>7</v>
      </c>
      <c r="B4016" t="s">
        <v>22</v>
      </c>
      <c r="C4016" t="str">
        <f t="shared" si="126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25"/>
        <v>-6</v>
      </c>
    </row>
    <row r="4017" spans="1:8" x14ac:dyDescent="0.2">
      <c r="A4017" t="s">
        <v>7</v>
      </c>
      <c r="B4017" t="s">
        <v>22</v>
      </c>
      <c r="C4017" t="str">
        <f t="shared" si="126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25"/>
        <v>-6</v>
      </c>
    </row>
    <row r="4018" spans="1:8" x14ac:dyDescent="0.2">
      <c r="A4018" t="s">
        <v>7</v>
      </c>
      <c r="B4018" t="s">
        <v>22</v>
      </c>
      <c r="C4018" t="str">
        <f t="shared" si="126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25"/>
        <v>-6</v>
      </c>
    </row>
    <row r="4019" spans="1:8" x14ac:dyDescent="0.2">
      <c r="A4019" t="s">
        <v>7</v>
      </c>
      <c r="B4019" t="s">
        <v>22</v>
      </c>
      <c r="C4019" t="str">
        <f t="shared" si="126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25"/>
        <v>-6</v>
      </c>
    </row>
    <row r="4020" spans="1:8" x14ac:dyDescent="0.2">
      <c r="A4020" t="s">
        <v>7</v>
      </c>
      <c r="B4020" t="s">
        <v>22</v>
      </c>
      <c r="C4020" t="str">
        <f t="shared" si="126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25"/>
        <v>-7</v>
      </c>
    </row>
    <row r="4021" spans="1:8" x14ac:dyDescent="0.2">
      <c r="A4021" t="s">
        <v>7</v>
      </c>
      <c r="B4021" t="s">
        <v>22</v>
      </c>
      <c r="C4021" t="str">
        <f t="shared" si="126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25"/>
        <v>-7</v>
      </c>
    </row>
    <row r="4022" spans="1:8" x14ac:dyDescent="0.2">
      <c r="A4022" t="s">
        <v>7</v>
      </c>
      <c r="B4022" t="s">
        <v>22</v>
      </c>
      <c r="C4022" t="str">
        <f t="shared" si="126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25"/>
        <v>-7</v>
      </c>
    </row>
    <row r="4023" spans="1:8" x14ac:dyDescent="0.2">
      <c r="A4023" t="s">
        <v>7</v>
      </c>
      <c r="B4023" t="s">
        <v>22</v>
      </c>
      <c r="C4023" t="str">
        <f t="shared" si="126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25"/>
        <v>-7</v>
      </c>
    </row>
    <row r="4024" spans="1:8" x14ac:dyDescent="0.2">
      <c r="A4024" t="s">
        <v>7</v>
      </c>
      <c r="B4024" t="s">
        <v>22</v>
      </c>
      <c r="C4024" t="str">
        <f t="shared" si="126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25"/>
        <v>-7</v>
      </c>
    </row>
    <row r="4025" spans="1:8" x14ac:dyDescent="0.2">
      <c r="A4025" t="s">
        <v>7</v>
      </c>
      <c r="B4025" t="s">
        <v>22</v>
      </c>
      <c r="C4025" t="str">
        <f t="shared" si="126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25"/>
        <v>-7</v>
      </c>
    </row>
    <row r="4026" spans="1:8" x14ac:dyDescent="0.2">
      <c r="A4026" t="s">
        <v>7</v>
      </c>
      <c r="B4026" t="s">
        <v>22</v>
      </c>
      <c r="C4026" t="str">
        <f t="shared" si="126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25"/>
        <v>-7</v>
      </c>
    </row>
    <row r="4027" spans="1:8" x14ac:dyDescent="0.2">
      <c r="A4027" t="s">
        <v>7</v>
      </c>
      <c r="B4027" t="s">
        <v>22</v>
      </c>
      <c r="C4027" t="str">
        <f t="shared" si="126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25"/>
        <v>-7</v>
      </c>
    </row>
    <row r="4028" spans="1:8" x14ac:dyDescent="0.2">
      <c r="A4028" t="s">
        <v>7</v>
      </c>
      <c r="B4028" t="s">
        <v>22</v>
      </c>
      <c r="C4028" t="str">
        <f t="shared" si="126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25"/>
        <v>-7</v>
      </c>
    </row>
    <row r="4029" spans="1:8" x14ac:dyDescent="0.2">
      <c r="A4029" t="s">
        <v>7</v>
      </c>
      <c r="B4029" t="s">
        <v>22</v>
      </c>
      <c r="C4029" t="str">
        <f t="shared" si="126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25"/>
        <v>-7</v>
      </c>
    </row>
    <row r="4030" spans="1:8" x14ac:dyDescent="0.2">
      <c r="A4030" t="s">
        <v>7</v>
      </c>
      <c r="B4030" t="s">
        <v>22</v>
      </c>
      <c r="C4030" t="str">
        <f t="shared" si="126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25"/>
        <v>-7</v>
      </c>
    </row>
    <row r="4031" spans="1:8" x14ac:dyDescent="0.2">
      <c r="A4031" t="s">
        <v>7</v>
      </c>
      <c r="B4031" t="s">
        <v>22</v>
      </c>
      <c r="C4031" t="str">
        <f t="shared" si="126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25"/>
        <v>-7</v>
      </c>
    </row>
    <row r="4032" spans="1:8" x14ac:dyDescent="0.2">
      <c r="A4032" t="s">
        <v>7</v>
      </c>
      <c r="B4032" t="s">
        <v>22</v>
      </c>
      <c r="C4032" t="str">
        <f t="shared" si="126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25"/>
        <v>-7</v>
      </c>
    </row>
    <row r="4033" spans="1:8" x14ac:dyDescent="0.2">
      <c r="A4033" t="s">
        <v>7</v>
      </c>
      <c r="B4033" t="s">
        <v>22</v>
      </c>
      <c r="C4033" t="str">
        <f t="shared" si="126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25"/>
        <v>-7</v>
      </c>
    </row>
    <row r="4034" spans="1:8" x14ac:dyDescent="0.2">
      <c r="A4034" t="s">
        <v>7</v>
      </c>
      <c r="B4034" t="s">
        <v>22</v>
      </c>
      <c r="C4034" t="str">
        <f t="shared" si="126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25"/>
        <v>-7</v>
      </c>
    </row>
    <row r="4035" spans="1:8" x14ac:dyDescent="0.2">
      <c r="A4035" t="s">
        <v>7</v>
      </c>
      <c r="B4035" t="s">
        <v>22</v>
      </c>
      <c r="C4035" t="str">
        <f t="shared" si="126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ref="H4035:H4098" si="127">F4035-G4035</f>
        <v>-7</v>
      </c>
    </row>
    <row r="4036" spans="1:8" x14ac:dyDescent="0.2">
      <c r="A4036" t="s">
        <v>7</v>
      </c>
      <c r="B4036" t="s">
        <v>22</v>
      </c>
      <c r="C4036" t="str">
        <f t="shared" ref="C4036:C4099" si="128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27"/>
        <v>-7</v>
      </c>
    </row>
    <row r="4037" spans="1:8" x14ac:dyDescent="0.2">
      <c r="A4037" t="s">
        <v>7</v>
      </c>
      <c r="B4037" t="s">
        <v>22</v>
      </c>
      <c r="C4037" t="str">
        <f t="shared" si="128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27"/>
        <v>-7</v>
      </c>
    </row>
    <row r="4038" spans="1:8" x14ac:dyDescent="0.2">
      <c r="A4038" t="s">
        <v>7</v>
      </c>
      <c r="B4038" t="s">
        <v>22</v>
      </c>
      <c r="C4038" t="str">
        <f t="shared" si="128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27"/>
        <v>-7</v>
      </c>
    </row>
    <row r="4039" spans="1:8" x14ac:dyDescent="0.2">
      <c r="A4039" t="s">
        <v>7</v>
      </c>
      <c r="B4039" t="s">
        <v>22</v>
      </c>
      <c r="C4039" t="str">
        <f t="shared" si="128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27"/>
        <v>-7</v>
      </c>
    </row>
    <row r="4040" spans="1:8" x14ac:dyDescent="0.2">
      <c r="A4040" t="s">
        <v>7</v>
      </c>
      <c r="B4040" t="s">
        <v>22</v>
      </c>
      <c r="C4040" t="str">
        <f t="shared" si="128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27"/>
        <v>-7</v>
      </c>
    </row>
    <row r="4041" spans="1:8" x14ac:dyDescent="0.2">
      <c r="A4041" t="s">
        <v>7</v>
      </c>
      <c r="B4041" t="s">
        <v>22</v>
      </c>
      <c r="C4041" t="str">
        <f t="shared" si="128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27"/>
        <v>-7</v>
      </c>
    </row>
    <row r="4042" spans="1:8" x14ac:dyDescent="0.2">
      <c r="A4042" t="s">
        <v>7</v>
      </c>
      <c r="B4042" t="s">
        <v>22</v>
      </c>
      <c r="C4042" t="str">
        <f t="shared" si="128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27"/>
        <v>-7</v>
      </c>
    </row>
    <row r="4043" spans="1:8" x14ac:dyDescent="0.2">
      <c r="A4043" t="s">
        <v>7</v>
      </c>
      <c r="B4043" t="s">
        <v>22</v>
      </c>
      <c r="C4043" t="str">
        <f t="shared" si="128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27"/>
        <v>-7</v>
      </c>
    </row>
    <row r="4044" spans="1:8" x14ac:dyDescent="0.2">
      <c r="A4044" t="s">
        <v>7</v>
      </c>
      <c r="B4044" t="s">
        <v>22</v>
      </c>
      <c r="C4044" t="str">
        <f t="shared" si="128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27"/>
        <v>-7</v>
      </c>
    </row>
    <row r="4045" spans="1:8" x14ac:dyDescent="0.2">
      <c r="A4045" t="s">
        <v>7</v>
      </c>
      <c r="B4045" t="s">
        <v>22</v>
      </c>
      <c r="C4045" t="str">
        <f t="shared" si="128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27"/>
        <v>-7</v>
      </c>
    </row>
    <row r="4046" spans="1:8" x14ac:dyDescent="0.2">
      <c r="A4046" t="s">
        <v>7</v>
      </c>
      <c r="B4046" t="s">
        <v>22</v>
      </c>
      <c r="C4046" t="str">
        <f t="shared" si="128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27"/>
        <v>-7</v>
      </c>
    </row>
    <row r="4047" spans="1:8" x14ac:dyDescent="0.2">
      <c r="A4047" t="s">
        <v>7</v>
      </c>
      <c r="B4047" t="s">
        <v>22</v>
      </c>
      <c r="C4047" t="str">
        <f t="shared" si="128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27"/>
        <v>-7</v>
      </c>
    </row>
    <row r="4048" spans="1:8" x14ac:dyDescent="0.2">
      <c r="A4048" t="s">
        <v>7</v>
      </c>
      <c r="B4048" t="s">
        <v>22</v>
      </c>
      <c r="C4048" t="str">
        <f t="shared" si="128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27"/>
        <v>-7</v>
      </c>
    </row>
    <row r="4049" spans="1:8" x14ac:dyDescent="0.2">
      <c r="A4049" t="s">
        <v>7</v>
      </c>
      <c r="B4049" t="s">
        <v>22</v>
      </c>
      <c r="C4049" t="str">
        <f t="shared" si="128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27"/>
        <v>-7</v>
      </c>
    </row>
    <row r="4050" spans="1:8" x14ac:dyDescent="0.2">
      <c r="A4050" t="s">
        <v>7</v>
      </c>
      <c r="B4050" t="s">
        <v>22</v>
      </c>
      <c r="C4050" t="str">
        <f t="shared" si="128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27"/>
        <v>-7</v>
      </c>
    </row>
    <row r="4051" spans="1:8" x14ac:dyDescent="0.2">
      <c r="A4051" t="s">
        <v>7</v>
      </c>
      <c r="B4051" t="s">
        <v>22</v>
      </c>
      <c r="C4051" t="str">
        <f t="shared" si="128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27"/>
        <v>-7</v>
      </c>
    </row>
    <row r="4052" spans="1:8" x14ac:dyDescent="0.2">
      <c r="A4052" t="s">
        <v>7</v>
      </c>
      <c r="B4052" t="s">
        <v>22</v>
      </c>
      <c r="C4052" t="str">
        <f t="shared" si="128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27"/>
        <v>-7</v>
      </c>
    </row>
    <row r="4053" spans="1:8" x14ac:dyDescent="0.2">
      <c r="A4053" t="s">
        <v>7</v>
      </c>
      <c r="B4053" t="s">
        <v>22</v>
      </c>
      <c r="C4053" t="str">
        <f t="shared" si="128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27"/>
        <v>-7</v>
      </c>
    </row>
    <row r="4054" spans="1:8" x14ac:dyDescent="0.2">
      <c r="A4054" t="s">
        <v>7</v>
      </c>
      <c r="B4054" t="s">
        <v>22</v>
      </c>
      <c r="C4054" t="str">
        <f t="shared" si="128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27"/>
        <v>-7</v>
      </c>
    </row>
    <row r="4055" spans="1:8" x14ac:dyDescent="0.2">
      <c r="A4055" t="s">
        <v>7</v>
      </c>
      <c r="B4055" t="s">
        <v>22</v>
      </c>
      <c r="C4055" t="str">
        <f t="shared" si="128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27"/>
        <v>-7</v>
      </c>
    </row>
    <row r="4056" spans="1:8" x14ac:dyDescent="0.2">
      <c r="A4056" t="s">
        <v>7</v>
      </c>
      <c r="B4056" t="s">
        <v>22</v>
      </c>
      <c r="C4056" t="str">
        <f t="shared" si="128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27"/>
        <v>-7</v>
      </c>
    </row>
    <row r="4057" spans="1:8" x14ac:dyDescent="0.2">
      <c r="A4057" t="s">
        <v>7</v>
      </c>
      <c r="B4057" t="s">
        <v>22</v>
      </c>
      <c r="C4057" t="str">
        <f t="shared" si="128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27"/>
        <v>-7</v>
      </c>
    </row>
    <row r="4058" spans="1:8" x14ac:dyDescent="0.2">
      <c r="A4058" t="s">
        <v>18</v>
      </c>
      <c r="B4058" t="s">
        <v>22</v>
      </c>
      <c r="C4058" t="str">
        <f t="shared" si="128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27"/>
        <v>-8</v>
      </c>
    </row>
    <row r="4059" spans="1:8" x14ac:dyDescent="0.2">
      <c r="A4059" t="s">
        <v>7</v>
      </c>
      <c r="B4059" t="s">
        <v>22</v>
      </c>
      <c r="C4059" t="str">
        <f t="shared" si="128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27"/>
        <v>-8</v>
      </c>
    </row>
    <row r="4060" spans="1:8" x14ac:dyDescent="0.2">
      <c r="A4060" t="s">
        <v>18</v>
      </c>
      <c r="B4060" t="s">
        <v>22</v>
      </c>
      <c r="C4060" t="str">
        <f t="shared" si="128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27"/>
        <v>-8</v>
      </c>
    </row>
    <row r="4061" spans="1:8" x14ac:dyDescent="0.2">
      <c r="A4061" t="s">
        <v>18</v>
      </c>
      <c r="B4061" t="s">
        <v>22</v>
      </c>
      <c r="C4061" t="str">
        <f t="shared" si="128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27"/>
        <v>-8</v>
      </c>
    </row>
    <row r="4062" spans="1:8" x14ac:dyDescent="0.2">
      <c r="A4062" t="s">
        <v>7</v>
      </c>
      <c r="B4062" t="s">
        <v>22</v>
      </c>
      <c r="C4062" t="str">
        <f t="shared" si="128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27"/>
        <v>-8</v>
      </c>
    </row>
    <row r="4063" spans="1:8" x14ac:dyDescent="0.2">
      <c r="A4063" t="s">
        <v>7</v>
      </c>
      <c r="B4063" t="s">
        <v>22</v>
      </c>
      <c r="C4063" t="str">
        <f t="shared" si="128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27"/>
        <v>-8</v>
      </c>
    </row>
    <row r="4064" spans="1:8" x14ac:dyDescent="0.2">
      <c r="A4064" t="s">
        <v>18</v>
      </c>
      <c r="B4064" t="s">
        <v>22</v>
      </c>
      <c r="C4064" t="str">
        <f t="shared" si="128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27"/>
        <v>-8</v>
      </c>
    </row>
    <row r="4065" spans="1:8" x14ac:dyDescent="0.2">
      <c r="A4065" t="s">
        <v>7</v>
      </c>
      <c r="B4065" t="s">
        <v>22</v>
      </c>
      <c r="C4065" t="str">
        <f t="shared" si="128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27"/>
        <v>-8</v>
      </c>
    </row>
    <row r="4066" spans="1:8" x14ac:dyDescent="0.2">
      <c r="A4066" t="s">
        <v>7</v>
      </c>
      <c r="B4066" t="s">
        <v>22</v>
      </c>
      <c r="C4066" t="str">
        <f t="shared" si="128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27"/>
        <v>-8</v>
      </c>
    </row>
    <row r="4067" spans="1:8" x14ac:dyDescent="0.2">
      <c r="A4067" t="s">
        <v>19</v>
      </c>
      <c r="B4067" t="s">
        <v>22</v>
      </c>
      <c r="C4067" t="str">
        <f t="shared" si="128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27"/>
        <v>-8</v>
      </c>
    </row>
    <row r="4068" spans="1:8" x14ac:dyDescent="0.2">
      <c r="A4068" t="s">
        <v>19</v>
      </c>
      <c r="B4068" t="s">
        <v>22</v>
      </c>
      <c r="C4068" t="str">
        <f t="shared" si="128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27"/>
        <v>-8</v>
      </c>
    </row>
    <row r="4069" spans="1:8" x14ac:dyDescent="0.2">
      <c r="A4069" t="s">
        <v>7</v>
      </c>
      <c r="B4069" t="s">
        <v>22</v>
      </c>
      <c r="C4069" t="str">
        <f t="shared" si="128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27"/>
        <v>-8</v>
      </c>
    </row>
    <row r="4070" spans="1:8" x14ac:dyDescent="0.2">
      <c r="A4070" t="s">
        <v>7</v>
      </c>
      <c r="B4070" t="s">
        <v>22</v>
      </c>
      <c r="C4070" t="str">
        <f t="shared" si="128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27"/>
        <v>-8</v>
      </c>
    </row>
    <row r="4071" spans="1:8" x14ac:dyDescent="0.2">
      <c r="A4071" t="s">
        <v>19</v>
      </c>
      <c r="B4071" t="s">
        <v>22</v>
      </c>
      <c r="C4071" t="str">
        <f t="shared" si="128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27"/>
        <v>-8</v>
      </c>
    </row>
    <row r="4072" spans="1:8" x14ac:dyDescent="0.2">
      <c r="A4072" t="s">
        <v>7</v>
      </c>
      <c r="B4072" t="s">
        <v>22</v>
      </c>
      <c r="C4072" t="str">
        <f t="shared" si="128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27"/>
        <v>-8</v>
      </c>
    </row>
    <row r="4073" spans="1:8" x14ac:dyDescent="0.2">
      <c r="A4073" t="s">
        <v>18</v>
      </c>
      <c r="B4073" t="s">
        <v>22</v>
      </c>
      <c r="C4073" t="str">
        <f t="shared" si="128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27"/>
        <v>-8</v>
      </c>
    </row>
    <row r="4074" spans="1:8" x14ac:dyDescent="0.2">
      <c r="A4074" t="s">
        <v>18</v>
      </c>
      <c r="B4074" t="s">
        <v>22</v>
      </c>
      <c r="C4074" t="str">
        <f t="shared" si="128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27"/>
        <v>-8</v>
      </c>
    </row>
    <row r="4075" spans="1:8" x14ac:dyDescent="0.2">
      <c r="A4075" t="s">
        <v>7</v>
      </c>
      <c r="B4075" t="s">
        <v>22</v>
      </c>
      <c r="C4075" t="str">
        <f t="shared" si="128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si="127"/>
        <v>-8</v>
      </c>
    </row>
    <row r="4076" spans="1:8" x14ac:dyDescent="0.2">
      <c r="A4076" t="s">
        <v>18</v>
      </c>
      <c r="B4076" t="s">
        <v>22</v>
      </c>
      <c r="C4076" t="str">
        <f t="shared" si="128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27"/>
        <v>-8</v>
      </c>
    </row>
    <row r="4077" spans="1:8" x14ac:dyDescent="0.2">
      <c r="A4077" t="s">
        <v>18</v>
      </c>
      <c r="B4077" t="s">
        <v>22</v>
      </c>
      <c r="C4077" t="str">
        <f t="shared" si="128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27"/>
        <v>-8</v>
      </c>
    </row>
    <row r="4078" spans="1:8" x14ac:dyDescent="0.2">
      <c r="A4078" t="s">
        <v>7</v>
      </c>
      <c r="B4078" t="s">
        <v>22</v>
      </c>
      <c r="C4078" t="str">
        <f t="shared" si="128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27"/>
        <v>0</v>
      </c>
    </row>
    <row r="4079" spans="1:8" x14ac:dyDescent="0.2">
      <c r="A4079" t="s">
        <v>18</v>
      </c>
      <c r="B4079" t="s">
        <v>22</v>
      </c>
      <c r="C4079" t="str">
        <f t="shared" si="128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27"/>
        <v>-8</v>
      </c>
    </row>
    <row r="4080" spans="1:8" x14ac:dyDescent="0.2">
      <c r="A4080" t="s">
        <v>18</v>
      </c>
      <c r="B4080" t="s">
        <v>22</v>
      </c>
      <c r="C4080" t="str">
        <f t="shared" si="128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27"/>
        <v>-8</v>
      </c>
    </row>
    <row r="4081" spans="1:8" x14ac:dyDescent="0.2">
      <c r="A4081" t="s">
        <v>18</v>
      </c>
      <c r="B4081" t="s">
        <v>22</v>
      </c>
      <c r="C4081" t="str">
        <f t="shared" si="128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27"/>
        <v>-8</v>
      </c>
    </row>
    <row r="4082" spans="1:8" x14ac:dyDescent="0.2">
      <c r="A4082" t="s">
        <v>7</v>
      </c>
      <c r="B4082" t="s">
        <v>22</v>
      </c>
      <c r="C4082" t="str">
        <f t="shared" si="128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27"/>
        <v>-8</v>
      </c>
    </row>
    <row r="4083" spans="1:8" x14ac:dyDescent="0.2">
      <c r="A4083" t="s">
        <v>7</v>
      </c>
      <c r="B4083" t="s">
        <v>22</v>
      </c>
      <c r="C4083" t="str">
        <f t="shared" si="128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27"/>
        <v>-8</v>
      </c>
    </row>
    <row r="4084" spans="1:8" x14ac:dyDescent="0.2">
      <c r="A4084" t="s">
        <v>7</v>
      </c>
      <c r="B4084" t="s">
        <v>22</v>
      </c>
      <c r="C4084" t="str">
        <f t="shared" si="128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27"/>
        <v>-8</v>
      </c>
    </row>
    <row r="4085" spans="1:8" x14ac:dyDescent="0.2">
      <c r="A4085" t="s">
        <v>19</v>
      </c>
      <c r="B4085" t="s">
        <v>22</v>
      </c>
      <c r="C4085" t="str">
        <f t="shared" si="128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27"/>
        <v>-8</v>
      </c>
    </row>
    <row r="4086" spans="1:8" x14ac:dyDescent="0.2">
      <c r="A4086" t="s">
        <v>7</v>
      </c>
      <c r="B4086" t="s">
        <v>22</v>
      </c>
      <c r="C4086" t="str">
        <f t="shared" si="128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27"/>
        <v>-8</v>
      </c>
    </row>
    <row r="4087" spans="1:8" x14ac:dyDescent="0.2">
      <c r="A4087" t="s">
        <v>7</v>
      </c>
      <c r="B4087" t="s">
        <v>22</v>
      </c>
      <c r="C4087" t="str">
        <f t="shared" si="128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27"/>
        <v>-8</v>
      </c>
    </row>
    <row r="4088" spans="1:8" x14ac:dyDescent="0.2">
      <c r="A4088" t="s">
        <v>7</v>
      </c>
      <c r="B4088" t="s">
        <v>22</v>
      </c>
      <c r="C4088" t="str">
        <f t="shared" si="128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27"/>
        <v>-8</v>
      </c>
    </row>
    <row r="4089" spans="1:8" x14ac:dyDescent="0.2">
      <c r="A4089" t="s">
        <v>7</v>
      </c>
      <c r="B4089" t="s">
        <v>22</v>
      </c>
      <c r="C4089" t="str">
        <f t="shared" si="128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27"/>
        <v>-8</v>
      </c>
    </row>
    <row r="4090" spans="1:8" x14ac:dyDescent="0.2">
      <c r="A4090" t="s">
        <v>7</v>
      </c>
      <c r="B4090" t="s">
        <v>22</v>
      </c>
      <c r="C4090" t="str">
        <f t="shared" si="128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27"/>
        <v>-8</v>
      </c>
    </row>
    <row r="4091" spans="1:8" x14ac:dyDescent="0.2">
      <c r="A4091" t="s">
        <v>7</v>
      </c>
      <c r="B4091" t="s">
        <v>22</v>
      </c>
      <c r="C4091" t="str">
        <f t="shared" si="128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27"/>
        <v>-8</v>
      </c>
    </row>
    <row r="4092" spans="1:8" x14ac:dyDescent="0.2">
      <c r="A4092" t="s">
        <v>19</v>
      </c>
      <c r="B4092" t="s">
        <v>22</v>
      </c>
      <c r="C4092" t="str">
        <f t="shared" si="128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27"/>
        <v>-8</v>
      </c>
    </row>
    <row r="4093" spans="1:8" x14ac:dyDescent="0.2">
      <c r="A4093" t="s">
        <v>18</v>
      </c>
      <c r="B4093" t="s">
        <v>22</v>
      </c>
      <c r="C4093" t="str">
        <f t="shared" si="128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27"/>
        <v>-8</v>
      </c>
    </row>
    <row r="4094" spans="1:8" x14ac:dyDescent="0.2">
      <c r="A4094" t="s">
        <v>7</v>
      </c>
      <c r="B4094" t="s">
        <v>22</v>
      </c>
      <c r="C4094" t="str">
        <f t="shared" si="128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27"/>
        <v>-8</v>
      </c>
    </row>
    <row r="4095" spans="1:8" x14ac:dyDescent="0.2">
      <c r="A4095" t="s">
        <v>18</v>
      </c>
      <c r="B4095" t="s">
        <v>22</v>
      </c>
      <c r="C4095" t="str">
        <f t="shared" si="128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27"/>
        <v>-8</v>
      </c>
    </row>
    <row r="4096" spans="1:8" x14ac:dyDescent="0.2">
      <c r="A4096" t="s">
        <v>18</v>
      </c>
      <c r="B4096" t="s">
        <v>22</v>
      </c>
      <c r="C4096" t="str">
        <f t="shared" si="128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27"/>
        <v>-8</v>
      </c>
    </row>
    <row r="4097" spans="1:8" x14ac:dyDescent="0.2">
      <c r="A4097" t="s">
        <v>18</v>
      </c>
      <c r="B4097" t="s">
        <v>22</v>
      </c>
      <c r="C4097" t="str">
        <f t="shared" si="128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27"/>
        <v>-8</v>
      </c>
    </row>
    <row r="4098" spans="1:8" x14ac:dyDescent="0.2">
      <c r="A4098" t="s">
        <v>18</v>
      </c>
      <c r="B4098" t="s">
        <v>22</v>
      </c>
      <c r="C4098" t="str">
        <f t="shared" si="128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27"/>
        <v>-8</v>
      </c>
    </row>
    <row r="4099" spans="1:8" x14ac:dyDescent="0.2">
      <c r="A4099" t="s">
        <v>18</v>
      </c>
      <c r="B4099" t="s">
        <v>22</v>
      </c>
      <c r="C4099" t="str">
        <f t="shared" si="128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ref="H4099:H4162" si="129">F4099-G4099</f>
        <v>-8</v>
      </c>
    </row>
    <row r="4100" spans="1:8" x14ac:dyDescent="0.2">
      <c r="A4100" t="s">
        <v>18</v>
      </c>
      <c r="B4100" t="s">
        <v>22</v>
      </c>
      <c r="C4100" t="str">
        <f t="shared" ref="C4100:C4163" si="130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29"/>
        <v>-8</v>
      </c>
    </row>
    <row r="4101" spans="1:8" x14ac:dyDescent="0.2">
      <c r="A4101" t="s">
        <v>18</v>
      </c>
      <c r="B4101" t="s">
        <v>22</v>
      </c>
      <c r="C4101" t="str">
        <f t="shared" si="130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29"/>
        <v>-8</v>
      </c>
    </row>
    <row r="4102" spans="1:8" x14ac:dyDescent="0.2">
      <c r="A4102" t="s">
        <v>19</v>
      </c>
      <c r="B4102" t="s">
        <v>22</v>
      </c>
      <c r="C4102" t="str">
        <f t="shared" si="130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29"/>
        <v>-8</v>
      </c>
    </row>
    <row r="4103" spans="1:8" x14ac:dyDescent="0.2">
      <c r="A4103" t="s">
        <v>19</v>
      </c>
      <c r="B4103" t="s">
        <v>22</v>
      </c>
      <c r="C4103" t="str">
        <f t="shared" si="130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29"/>
        <v>-8</v>
      </c>
    </row>
    <row r="4104" spans="1:8" x14ac:dyDescent="0.2">
      <c r="A4104" t="s">
        <v>7</v>
      </c>
      <c r="B4104" t="s">
        <v>22</v>
      </c>
      <c r="C4104" t="str">
        <f t="shared" si="130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29"/>
        <v>-8</v>
      </c>
    </row>
    <row r="4105" spans="1:8" x14ac:dyDescent="0.2">
      <c r="A4105" t="s">
        <v>7</v>
      </c>
      <c r="B4105" t="s">
        <v>22</v>
      </c>
      <c r="C4105" t="str">
        <f t="shared" si="130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29"/>
        <v>-8</v>
      </c>
    </row>
    <row r="4106" spans="1:8" x14ac:dyDescent="0.2">
      <c r="A4106" t="s">
        <v>19</v>
      </c>
      <c r="B4106" t="s">
        <v>22</v>
      </c>
      <c r="C4106" t="str">
        <f t="shared" si="130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29"/>
        <v>-8</v>
      </c>
    </row>
    <row r="4107" spans="1:8" x14ac:dyDescent="0.2">
      <c r="A4107" t="s">
        <v>18</v>
      </c>
      <c r="B4107" t="s">
        <v>22</v>
      </c>
      <c r="C4107" t="str">
        <f t="shared" si="130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29"/>
        <v>-8</v>
      </c>
    </row>
    <row r="4108" spans="1:8" x14ac:dyDescent="0.2">
      <c r="A4108" t="s">
        <v>7</v>
      </c>
      <c r="B4108" t="s">
        <v>22</v>
      </c>
      <c r="C4108" t="str">
        <f t="shared" si="130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29"/>
        <v>-8</v>
      </c>
    </row>
    <row r="4109" spans="1:8" x14ac:dyDescent="0.2">
      <c r="A4109" t="s">
        <v>18</v>
      </c>
      <c r="B4109" t="s">
        <v>22</v>
      </c>
      <c r="C4109" t="str">
        <f t="shared" si="130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29"/>
        <v>-8</v>
      </c>
    </row>
    <row r="4110" spans="1:8" x14ac:dyDescent="0.2">
      <c r="A4110" t="s">
        <v>7</v>
      </c>
      <c r="B4110" t="s">
        <v>22</v>
      </c>
      <c r="C4110" t="str">
        <f t="shared" si="130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29"/>
        <v>-8</v>
      </c>
    </row>
    <row r="4111" spans="1:8" x14ac:dyDescent="0.2">
      <c r="A4111" t="s">
        <v>18</v>
      </c>
      <c r="B4111" t="s">
        <v>22</v>
      </c>
      <c r="C4111" t="str">
        <f t="shared" si="130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29"/>
        <v>-8</v>
      </c>
    </row>
    <row r="4112" spans="1:8" x14ac:dyDescent="0.2">
      <c r="A4112" t="s">
        <v>18</v>
      </c>
      <c r="B4112" t="s">
        <v>22</v>
      </c>
      <c r="C4112" t="str">
        <f t="shared" si="130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29"/>
        <v>-8</v>
      </c>
    </row>
    <row r="4113" spans="1:8" x14ac:dyDescent="0.2">
      <c r="A4113" t="s">
        <v>18</v>
      </c>
      <c r="B4113" t="s">
        <v>22</v>
      </c>
      <c r="C4113" t="str">
        <f t="shared" si="130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29"/>
        <v>-8</v>
      </c>
    </row>
    <row r="4114" spans="1:8" x14ac:dyDescent="0.2">
      <c r="A4114" t="s">
        <v>18</v>
      </c>
      <c r="B4114" t="s">
        <v>22</v>
      </c>
      <c r="C4114" t="str">
        <f t="shared" si="130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29"/>
        <v>-8</v>
      </c>
    </row>
    <row r="4115" spans="1:8" x14ac:dyDescent="0.2">
      <c r="A4115" t="s">
        <v>19</v>
      </c>
      <c r="B4115" t="s">
        <v>22</v>
      </c>
      <c r="C4115" t="str">
        <f t="shared" si="130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29"/>
        <v>-8</v>
      </c>
    </row>
    <row r="4116" spans="1:8" x14ac:dyDescent="0.2">
      <c r="A4116" t="s">
        <v>19</v>
      </c>
      <c r="B4116" t="s">
        <v>22</v>
      </c>
      <c r="C4116" t="str">
        <f t="shared" si="130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29"/>
        <v>-8</v>
      </c>
    </row>
    <row r="4117" spans="1:8" x14ac:dyDescent="0.2">
      <c r="A4117" t="s">
        <v>18</v>
      </c>
      <c r="B4117" t="s">
        <v>22</v>
      </c>
      <c r="C4117" t="str">
        <f t="shared" si="130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29"/>
        <v>-8</v>
      </c>
    </row>
    <row r="4118" spans="1:8" x14ac:dyDescent="0.2">
      <c r="A4118" t="s">
        <v>18</v>
      </c>
      <c r="B4118" t="s">
        <v>22</v>
      </c>
      <c r="C4118" t="str">
        <f t="shared" si="130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29"/>
        <v>-8</v>
      </c>
    </row>
    <row r="4119" spans="1:8" x14ac:dyDescent="0.2">
      <c r="A4119" t="s">
        <v>18</v>
      </c>
      <c r="B4119" t="s">
        <v>22</v>
      </c>
      <c r="C4119" t="str">
        <f t="shared" si="130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29"/>
        <v>-8</v>
      </c>
    </row>
    <row r="4120" spans="1:8" x14ac:dyDescent="0.2">
      <c r="A4120" t="s">
        <v>19</v>
      </c>
      <c r="B4120" t="s">
        <v>22</v>
      </c>
      <c r="C4120" t="str">
        <f t="shared" si="130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29"/>
        <v>-8</v>
      </c>
    </row>
    <row r="4121" spans="1:8" x14ac:dyDescent="0.2">
      <c r="A4121" t="s">
        <v>18</v>
      </c>
      <c r="B4121" t="s">
        <v>22</v>
      </c>
      <c r="C4121" t="str">
        <f t="shared" si="130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29"/>
        <v>-8</v>
      </c>
    </row>
    <row r="4122" spans="1:8" x14ac:dyDescent="0.2">
      <c r="A4122" t="s">
        <v>7</v>
      </c>
      <c r="B4122" t="s">
        <v>22</v>
      </c>
      <c r="C4122" t="str">
        <f t="shared" si="130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29"/>
        <v>-8</v>
      </c>
    </row>
    <row r="4123" spans="1:8" x14ac:dyDescent="0.2">
      <c r="A4123" t="s">
        <v>18</v>
      </c>
      <c r="B4123" t="s">
        <v>22</v>
      </c>
      <c r="C4123" t="str">
        <f t="shared" si="130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29"/>
        <v>-8</v>
      </c>
    </row>
    <row r="4124" spans="1:8" x14ac:dyDescent="0.2">
      <c r="A4124" t="s">
        <v>7</v>
      </c>
      <c r="B4124" t="s">
        <v>22</v>
      </c>
      <c r="C4124" t="str">
        <f t="shared" si="130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29"/>
        <v>-8</v>
      </c>
    </row>
    <row r="4125" spans="1:8" x14ac:dyDescent="0.2">
      <c r="A4125" t="s">
        <v>18</v>
      </c>
      <c r="B4125" t="s">
        <v>22</v>
      </c>
      <c r="C4125" t="str">
        <f t="shared" si="130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29"/>
        <v>-8</v>
      </c>
    </row>
    <row r="4126" spans="1:8" x14ac:dyDescent="0.2">
      <c r="A4126" t="s">
        <v>18</v>
      </c>
      <c r="B4126" t="s">
        <v>22</v>
      </c>
      <c r="C4126" t="str">
        <f t="shared" si="130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29"/>
        <v>-8</v>
      </c>
    </row>
    <row r="4127" spans="1:8" x14ac:dyDescent="0.2">
      <c r="A4127" t="s">
        <v>18</v>
      </c>
      <c r="B4127" t="s">
        <v>22</v>
      </c>
      <c r="C4127" t="str">
        <f t="shared" si="130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29"/>
        <v>-8</v>
      </c>
    </row>
    <row r="4128" spans="1:8" x14ac:dyDescent="0.2">
      <c r="A4128" t="s">
        <v>18</v>
      </c>
      <c r="B4128" t="s">
        <v>22</v>
      </c>
      <c r="C4128" t="str">
        <f t="shared" si="130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29"/>
        <v>-8</v>
      </c>
    </row>
    <row r="4129" spans="1:8" x14ac:dyDescent="0.2">
      <c r="A4129" t="s">
        <v>18</v>
      </c>
      <c r="B4129" t="s">
        <v>22</v>
      </c>
      <c r="C4129" t="str">
        <f t="shared" si="130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29"/>
        <v>-8</v>
      </c>
    </row>
    <row r="4130" spans="1:8" x14ac:dyDescent="0.2">
      <c r="A4130" t="s">
        <v>18</v>
      </c>
      <c r="B4130" t="s">
        <v>22</v>
      </c>
      <c r="C4130" t="str">
        <f t="shared" si="130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29"/>
        <v>-8</v>
      </c>
    </row>
    <row r="4131" spans="1:8" x14ac:dyDescent="0.2">
      <c r="A4131" t="s">
        <v>18</v>
      </c>
      <c r="B4131" t="s">
        <v>22</v>
      </c>
      <c r="C4131" t="str">
        <f t="shared" si="130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29"/>
        <v>-8</v>
      </c>
    </row>
    <row r="4132" spans="1:8" x14ac:dyDescent="0.2">
      <c r="A4132" t="s">
        <v>7</v>
      </c>
      <c r="B4132" t="s">
        <v>22</v>
      </c>
      <c r="C4132" t="str">
        <f t="shared" si="130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29"/>
        <v>-8</v>
      </c>
    </row>
    <row r="4133" spans="1:8" x14ac:dyDescent="0.2">
      <c r="A4133" t="s">
        <v>18</v>
      </c>
      <c r="B4133" t="s">
        <v>22</v>
      </c>
      <c r="C4133" t="str">
        <f t="shared" si="130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29"/>
        <v>-8</v>
      </c>
    </row>
    <row r="4134" spans="1:8" x14ac:dyDescent="0.2">
      <c r="A4134" t="s">
        <v>18</v>
      </c>
      <c r="B4134" t="s">
        <v>22</v>
      </c>
      <c r="C4134" t="str">
        <f t="shared" si="130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29"/>
        <v>-8</v>
      </c>
    </row>
    <row r="4135" spans="1:8" x14ac:dyDescent="0.2">
      <c r="A4135" t="s">
        <v>7</v>
      </c>
      <c r="B4135" t="s">
        <v>22</v>
      </c>
      <c r="C4135" t="str">
        <f t="shared" si="130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29"/>
        <v>-8</v>
      </c>
    </row>
    <row r="4136" spans="1:8" x14ac:dyDescent="0.2">
      <c r="A4136" t="s">
        <v>7</v>
      </c>
      <c r="B4136" t="s">
        <v>22</v>
      </c>
      <c r="C4136" t="str">
        <f t="shared" si="130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29"/>
        <v>-8</v>
      </c>
    </row>
    <row r="4137" spans="1:8" x14ac:dyDescent="0.2">
      <c r="A4137" t="s">
        <v>7</v>
      </c>
      <c r="B4137" t="s">
        <v>22</v>
      </c>
      <c r="C4137" t="str">
        <f t="shared" si="130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29"/>
        <v>0</v>
      </c>
    </row>
    <row r="4138" spans="1:8" x14ac:dyDescent="0.2">
      <c r="A4138" t="s">
        <v>7</v>
      </c>
      <c r="B4138" t="s">
        <v>22</v>
      </c>
      <c r="C4138" t="str">
        <f t="shared" si="130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29"/>
        <v>-8</v>
      </c>
    </row>
    <row r="4139" spans="1:8" x14ac:dyDescent="0.2">
      <c r="A4139" t="s">
        <v>7</v>
      </c>
      <c r="B4139" t="s">
        <v>22</v>
      </c>
      <c r="C4139" t="str">
        <f t="shared" si="130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si="129"/>
        <v>-8</v>
      </c>
    </row>
    <row r="4140" spans="1:8" x14ac:dyDescent="0.2">
      <c r="A4140" t="s">
        <v>18</v>
      </c>
      <c r="B4140" t="s">
        <v>22</v>
      </c>
      <c r="C4140" t="str">
        <f t="shared" si="130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29"/>
        <v>-8</v>
      </c>
    </row>
    <row r="4141" spans="1:8" x14ac:dyDescent="0.2">
      <c r="A4141" t="s">
        <v>18</v>
      </c>
      <c r="B4141" t="s">
        <v>22</v>
      </c>
      <c r="C4141" t="str">
        <f t="shared" si="130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29"/>
        <v>-8</v>
      </c>
    </row>
    <row r="4142" spans="1:8" x14ac:dyDescent="0.2">
      <c r="A4142" t="s">
        <v>7</v>
      </c>
      <c r="B4142" t="s">
        <v>22</v>
      </c>
      <c r="C4142" t="str">
        <f t="shared" si="130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29"/>
        <v>-8</v>
      </c>
    </row>
    <row r="4143" spans="1:8" x14ac:dyDescent="0.2">
      <c r="A4143" t="s">
        <v>18</v>
      </c>
      <c r="B4143" t="s">
        <v>22</v>
      </c>
      <c r="C4143" t="str">
        <f t="shared" si="130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29"/>
        <v>-8</v>
      </c>
    </row>
    <row r="4144" spans="1:8" x14ac:dyDescent="0.2">
      <c r="A4144" t="s">
        <v>7</v>
      </c>
      <c r="B4144" t="s">
        <v>22</v>
      </c>
      <c r="C4144" t="str">
        <f t="shared" si="130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29"/>
        <v>-8</v>
      </c>
    </row>
    <row r="4145" spans="1:8" x14ac:dyDescent="0.2">
      <c r="A4145" t="s">
        <v>7</v>
      </c>
      <c r="B4145" t="s">
        <v>22</v>
      </c>
      <c r="C4145" t="str">
        <f t="shared" si="130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29"/>
        <v>0</v>
      </c>
    </row>
    <row r="4146" spans="1:8" x14ac:dyDescent="0.2">
      <c r="A4146" t="s">
        <v>7</v>
      </c>
      <c r="B4146" t="s">
        <v>22</v>
      </c>
      <c r="C4146" t="str">
        <f t="shared" si="130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29"/>
        <v>-8</v>
      </c>
    </row>
    <row r="4147" spans="1:8" x14ac:dyDescent="0.2">
      <c r="A4147" t="s">
        <v>7</v>
      </c>
      <c r="B4147" t="s">
        <v>22</v>
      </c>
      <c r="C4147" t="str">
        <f t="shared" si="130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29"/>
        <v>-8</v>
      </c>
    </row>
    <row r="4148" spans="1:8" x14ac:dyDescent="0.2">
      <c r="A4148" t="s">
        <v>7</v>
      </c>
      <c r="B4148" t="s">
        <v>22</v>
      </c>
      <c r="C4148" t="str">
        <f t="shared" si="130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29"/>
        <v>-8</v>
      </c>
    </row>
    <row r="4149" spans="1:8" x14ac:dyDescent="0.2">
      <c r="A4149" t="s">
        <v>7</v>
      </c>
      <c r="B4149" t="s">
        <v>22</v>
      </c>
      <c r="C4149" t="str">
        <f t="shared" si="130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29"/>
        <v>-8</v>
      </c>
    </row>
    <row r="4150" spans="1:8" x14ac:dyDescent="0.2">
      <c r="A4150" t="s">
        <v>18</v>
      </c>
      <c r="B4150" t="s">
        <v>22</v>
      </c>
      <c r="C4150" t="str">
        <f t="shared" si="130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29"/>
        <v>-8</v>
      </c>
    </row>
    <row r="4151" spans="1:8" x14ac:dyDescent="0.2">
      <c r="A4151" t="s">
        <v>7</v>
      </c>
      <c r="B4151" t="s">
        <v>22</v>
      </c>
      <c r="C4151" t="str">
        <f t="shared" si="130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29"/>
        <v>-8</v>
      </c>
    </row>
    <row r="4152" spans="1:8" x14ac:dyDescent="0.2">
      <c r="A4152" t="s">
        <v>18</v>
      </c>
      <c r="B4152" t="s">
        <v>22</v>
      </c>
      <c r="C4152" t="str">
        <f t="shared" si="130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29"/>
        <v>-8</v>
      </c>
    </row>
    <row r="4153" spans="1:8" x14ac:dyDescent="0.2">
      <c r="A4153" t="s">
        <v>7</v>
      </c>
      <c r="B4153" t="s">
        <v>22</v>
      </c>
      <c r="C4153" t="str">
        <f t="shared" si="130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29"/>
        <v>-8</v>
      </c>
    </row>
    <row r="4154" spans="1:8" x14ac:dyDescent="0.2">
      <c r="A4154" t="s">
        <v>18</v>
      </c>
      <c r="B4154" t="s">
        <v>22</v>
      </c>
      <c r="C4154" t="str">
        <f t="shared" si="130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29"/>
        <v>-8</v>
      </c>
    </row>
    <row r="4155" spans="1:8" x14ac:dyDescent="0.2">
      <c r="A4155" t="s">
        <v>7</v>
      </c>
      <c r="B4155" t="s">
        <v>22</v>
      </c>
      <c r="C4155" t="str">
        <f t="shared" si="130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29"/>
        <v>-8</v>
      </c>
    </row>
    <row r="4156" spans="1:8" x14ac:dyDescent="0.2">
      <c r="A4156" t="s">
        <v>18</v>
      </c>
      <c r="B4156" t="s">
        <v>22</v>
      </c>
      <c r="C4156" t="str">
        <f t="shared" si="130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29"/>
        <v>-8</v>
      </c>
    </row>
    <row r="4157" spans="1:8" x14ac:dyDescent="0.2">
      <c r="A4157" t="s">
        <v>18</v>
      </c>
      <c r="B4157" t="s">
        <v>22</v>
      </c>
      <c r="C4157" t="str">
        <f t="shared" si="130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29"/>
        <v>-8</v>
      </c>
    </row>
    <row r="4158" spans="1:8" x14ac:dyDescent="0.2">
      <c r="A4158" t="s">
        <v>18</v>
      </c>
      <c r="B4158" t="s">
        <v>22</v>
      </c>
      <c r="C4158" t="str">
        <f t="shared" si="130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29"/>
        <v>-8</v>
      </c>
    </row>
    <row r="4159" spans="1:8" x14ac:dyDescent="0.2">
      <c r="A4159" t="s">
        <v>7</v>
      </c>
      <c r="B4159" t="s">
        <v>22</v>
      </c>
      <c r="C4159" t="str">
        <f t="shared" si="130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29"/>
        <v>-8</v>
      </c>
    </row>
    <row r="4160" spans="1:8" x14ac:dyDescent="0.2">
      <c r="A4160" t="s">
        <v>18</v>
      </c>
      <c r="B4160" t="s">
        <v>22</v>
      </c>
      <c r="C4160" t="str">
        <f t="shared" si="130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29"/>
        <v>-8</v>
      </c>
    </row>
    <row r="4161" spans="1:8" x14ac:dyDescent="0.2">
      <c r="A4161" t="s">
        <v>19</v>
      </c>
      <c r="B4161" t="s">
        <v>22</v>
      </c>
      <c r="C4161" t="str">
        <f t="shared" si="130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29"/>
        <v>-8</v>
      </c>
    </row>
    <row r="4162" spans="1:8" x14ac:dyDescent="0.2">
      <c r="A4162" t="s">
        <v>19</v>
      </c>
      <c r="B4162" t="s">
        <v>22</v>
      </c>
      <c r="C4162" t="str">
        <f t="shared" si="130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29"/>
        <v>-8</v>
      </c>
    </row>
    <row r="4163" spans="1:8" x14ac:dyDescent="0.2">
      <c r="A4163" t="s">
        <v>7</v>
      </c>
      <c r="B4163" t="s">
        <v>22</v>
      </c>
      <c r="C4163" t="str">
        <f t="shared" si="130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 t="shared" ref="H4163:H4226" si="131"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2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si="131"/>
        <v>26</v>
      </c>
    </row>
    <row r="4165" spans="1:8" x14ac:dyDescent="0.2">
      <c r="A4165" t="s">
        <v>7</v>
      </c>
      <c r="B4165" t="s">
        <v>22</v>
      </c>
      <c r="C4165" t="str">
        <f t="shared" si="132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1"/>
        <v>24</v>
      </c>
    </row>
    <row r="4166" spans="1:8" x14ac:dyDescent="0.2">
      <c r="A4166" t="s">
        <v>7</v>
      </c>
      <c r="B4166" t="s">
        <v>22</v>
      </c>
      <c r="C4166" t="str">
        <f t="shared" si="132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1"/>
        <v>24</v>
      </c>
    </row>
    <row r="4167" spans="1:8" x14ac:dyDescent="0.2">
      <c r="A4167" t="s">
        <v>7</v>
      </c>
      <c r="B4167" t="s">
        <v>22</v>
      </c>
      <c r="C4167" t="str">
        <f t="shared" si="132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1"/>
        <v>22</v>
      </c>
    </row>
    <row r="4168" spans="1:8" x14ac:dyDescent="0.2">
      <c r="A4168" t="s">
        <v>7</v>
      </c>
      <c r="B4168" t="s">
        <v>22</v>
      </c>
      <c r="C4168" t="str">
        <f t="shared" si="132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1"/>
        <v>21</v>
      </c>
    </row>
    <row r="4169" spans="1:8" x14ac:dyDescent="0.2">
      <c r="A4169" t="s">
        <v>7</v>
      </c>
      <c r="B4169" t="s">
        <v>22</v>
      </c>
      <c r="C4169" t="str">
        <f t="shared" si="132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1"/>
        <v>19</v>
      </c>
    </row>
    <row r="4170" spans="1:8" x14ac:dyDescent="0.2">
      <c r="A4170" t="s">
        <v>7</v>
      </c>
      <c r="B4170" t="s">
        <v>22</v>
      </c>
      <c r="C4170" t="str">
        <f t="shared" si="132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1"/>
        <v>18</v>
      </c>
    </row>
    <row r="4171" spans="1:8" x14ac:dyDescent="0.2">
      <c r="A4171" t="s">
        <v>7</v>
      </c>
      <c r="B4171" t="s">
        <v>22</v>
      </c>
      <c r="C4171" t="str">
        <f t="shared" si="132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1"/>
        <v>17</v>
      </c>
    </row>
    <row r="4172" spans="1:8" x14ac:dyDescent="0.2">
      <c r="A4172" t="s">
        <v>7</v>
      </c>
      <c r="B4172" t="s">
        <v>22</v>
      </c>
      <c r="C4172" t="str">
        <f t="shared" si="132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1"/>
        <v>17</v>
      </c>
    </row>
    <row r="4173" spans="1:8" x14ac:dyDescent="0.2">
      <c r="A4173" t="s">
        <v>7</v>
      </c>
      <c r="B4173" t="s">
        <v>22</v>
      </c>
      <c r="C4173" t="str">
        <f t="shared" si="132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1"/>
        <v>17</v>
      </c>
    </row>
    <row r="4174" spans="1:8" x14ac:dyDescent="0.2">
      <c r="A4174" t="s">
        <v>7</v>
      </c>
      <c r="B4174" t="s">
        <v>22</v>
      </c>
      <c r="C4174" t="str">
        <f t="shared" si="132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1"/>
        <v>16</v>
      </c>
    </row>
    <row r="4175" spans="1:8" x14ac:dyDescent="0.2">
      <c r="A4175" t="s">
        <v>7</v>
      </c>
      <c r="B4175" t="s">
        <v>22</v>
      </c>
      <c r="C4175" t="str">
        <f t="shared" si="132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1"/>
        <v>16</v>
      </c>
    </row>
    <row r="4176" spans="1:8" x14ac:dyDescent="0.2">
      <c r="A4176" t="s">
        <v>7</v>
      </c>
      <c r="B4176" t="s">
        <v>22</v>
      </c>
      <c r="C4176" t="str">
        <f t="shared" si="132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1"/>
        <v>16</v>
      </c>
    </row>
    <row r="4177" spans="1:8" x14ac:dyDescent="0.2">
      <c r="A4177" t="s">
        <v>7</v>
      </c>
      <c r="B4177" t="s">
        <v>22</v>
      </c>
      <c r="C4177" t="str">
        <f t="shared" si="132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1"/>
        <v>16</v>
      </c>
    </row>
    <row r="4178" spans="1:8" x14ac:dyDescent="0.2">
      <c r="A4178" t="s">
        <v>7</v>
      </c>
      <c r="B4178" t="s">
        <v>22</v>
      </c>
      <c r="C4178" t="str">
        <f t="shared" si="132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1"/>
        <v>16</v>
      </c>
    </row>
    <row r="4179" spans="1:8" x14ac:dyDescent="0.2">
      <c r="A4179" t="s">
        <v>7</v>
      </c>
      <c r="B4179" t="s">
        <v>22</v>
      </c>
      <c r="C4179" t="str">
        <f t="shared" si="132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1"/>
        <v>16</v>
      </c>
    </row>
    <row r="4180" spans="1:8" x14ac:dyDescent="0.2">
      <c r="A4180" t="s">
        <v>7</v>
      </c>
      <c r="B4180" t="s">
        <v>22</v>
      </c>
      <c r="C4180" t="str">
        <f t="shared" si="132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1"/>
        <v>15</v>
      </c>
    </row>
    <row r="4181" spans="1:8" x14ac:dyDescent="0.2">
      <c r="A4181" t="s">
        <v>7</v>
      </c>
      <c r="B4181" t="s">
        <v>22</v>
      </c>
      <c r="C4181" t="str">
        <f t="shared" si="132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1"/>
        <v>15</v>
      </c>
    </row>
    <row r="4182" spans="1:8" x14ac:dyDescent="0.2">
      <c r="A4182" t="s">
        <v>7</v>
      </c>
      <c r="B4182" t="s">
        <v>22</v>
      </c>
      <c r="C4182" t="str">
        <f t="shared" si="132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1"/>
        <v>15</v>
      </c>
    </row>
    <row r="4183" spans="1:8" x14ac:dyDescent="0.2">
      <c r="A4183" t="s">
        <v>7</v>
      </c>
      <c r="B4183" t="s">
        <v>22</v>
      </c>
      <c r="C4183" t="str">
        <f t="shared" si="132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1"/>
        <v>15</v>
      </c>
    </row>
    <row r="4184" spans="1:8" x14ac:dyDescent="0.2">
      <c r="A4184" t="s">
        <v>7</v>
      </c>
      <c r="B4184" t="s">
        <v>22</v>
      </c>
      <c r="C4184" t="str">
        <f t="shared" si="132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1"/>
        <v>15</v>
      </c>
    </row>
    <row r="4185" spans="1:8" x14ac:dyDescent="0.2">
      <c r="A4185" t="s">
        <v>7</v>
      </c>
      <c r="B4185" t="s">
        <v>22</v>
      </c>
      <c r="C4185" t="str">
        <f t="shared" si="132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1"/>
        <v>15</v>
      </c>
    </row>
    <row r="4186" spans="1:8" x14ac:dyDescent="0.2">
      <c r="A4186" t="s">
        <v>7</v>
      </c>
      <c r="B4186" t="s">
        <v>22</v>
      </c>
      <c r="C4186" t="str">
        <f t="shared" si="132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1"/>
        <v>14</v>
      </c>
    </row>
    <row r="4187" spans="1:8" x14ac:dyDescent="0.2">
      <c r="A4187" t="s">
        <v>7</v>
      </c>
      <c r="B4187" t="s">
        <v>22</v>
      </c>
      <c r="C4187" t="str">
        <f t="shared" si="132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1"/>
        <v>14</v>
      </c>
    </row>
    <row r="4188" spans="1:8" x14ac:dyDescent="0.2">
      <c r="A4188" t="s">
        <v>7</v>
      </c>
      <c r="B4188" t="s">
        <v>22</v>
      </c>
      <c r="C4188" t="str">
        <f t="shared" si="132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1"/>
        <v>14</v>
      </c>
    </row>
    <row r="4189" spans="1:8" x14ac:dyDescent="0.2">
      <c r="A4189" t="s">
        <v>7</v>
      </c>
      <c r="B4189" t="s">
        <v>22</v>
      </c>
      <c r="C4189" t="str">
        <f t="shared" si="132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1"/>
        <v>14</v>
      </c>
    </row>
    <row r="4190" spans="1:8" x14ac:dyDescent="0.2">
      <c r="A4190" t="s">
        <v>7</v>
      </c>
      <c r="B4190" t="s">
        <v>22</v>
      </c>
      <c r="C4190" t="str">
        <f t="shared" si="132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1"/>
        <v>14</v>
      </c>
    </row>
    <row r="4191" spans="1:8" x14ac:dyDescent="0.2">
      <c r="A4191" t="s">
        <v>7</v>
      </c>
      <c r="B4191" t="s">
        <v>22</v>
      </c>
      <c r="C4191" t="str">
        <f t="shared" si="132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1"/>
        <v>13</v>
      </c>
    </row>
    <row r="4192" spans="1:8" x14ac:dyDescent="0.2">
      <c r="A4192" t="s">
        <v>7</v>
      </c>
      <c r="B4192" t="s">
        <v>22</v>
      </c>
      <c r="C4192" t="str">
        <f t="shared" si="132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1"/>
        <v>13</v>
      </c>
    </row>
    <row r="4193" spans="1:8" x14ac:dyDescent="0.2">
      <c r="A4193" t="s">
        <v>7</v>
      </c>
      <c r="B4193" t="s">
        <v>22</v>
      </c>
      <c r="C4193" t="str">
        <f t="shared" si="132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1"/>
        <v>13</v>
      </c>
    </row>
    <row r="4194" spans="1:8" x14ac:dyDescent="0.2">
      <c r="A4194" t="s">
        <v>7</v>
      </c>
      <c r="B4194" t="s">
        <v>22</v>
      </c>
      <c r="C4194" t="str">
        <f t="shared" si="132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1"/>
        <v>13</v>
      </c>
    </row>
    <row r="4195" spans="1:8" x14ac:dyDescent="0.2">
      <c r="A4195" t="s">
        <v>7</v>
      </c>
      <c r="B4195" t="s">
        <v>22</v>
      </c>
      <c r="C4195" t="str">
        <f t="shared" si="132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1"/>
        <v>13</v>
      </c>
    </row>
    <row r="4196" spans="1:8" x14ac:dyDescent="0.2">
      <c r="A4196" t="s">
        <v>7</v>
      </c>
      <c r="B4196" t="s">
        <v>22</v>
      </c>
      <c r="C4196" t="str">
        <f t="shared" si="132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1"/>
        <v>13</v>
      </c>
    </row>
    <row r="4197" spans="1:8" x14ac:dyDescent="0.2">
      <c r="A4197" t="s">
        <v>7</v>
      </c>
      <c r="B4197" t="s">
        <v>22</v>
      </c>
      <c r="C4197" t="str">
        <f t="shared" si="132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1"/>
        <v>13</v>
      </c>
    </row>
    <row r="4198" spans="1:8" x14ac:dyDescent="0.2">
      <c r="A4198" t="s">
        <v>7</v>
      </c>
      <c r="B4198" t="s">
        <v>22</v>
      </c>
      <c r="C4198" t="str">
        <f t="shared" si="132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1"/>
        <v>13</v>
      </c>
    </row>
    <row r="4199" spans="1:8" x14ac:dyDescent="0.2">
      <c r="A4199" t="s">
        <v>7</v>
      </c>
      <c r="B4199" t="s">
        <v>22</v>
      </c>
      <c r="C4199" t="str">
        <f t="shared" si="132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1"/>
        <v>12</v>
      </c>
    </row>
    <row r="4200" spans="1:8" x14ac:dyDescent="0.2">
      <c r="A4200" t="s">
        <v>7</v>
      </c>
      <c r="B4200" t="s">
        <v>22</v>
      </c>
      <c r="C4200" t="str">
        <f t="shared" si="132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1"/>
        <v>12</v>
      </c>
    </row>
    <row r="4201" spans="1:8" x14ac:dyDescent="0.2">
      <c r="A4201" t="s">
        <v>7</v>
      </c>
      <c r="B4201" t="s">
        <v>22</v>
      </c>
      <c r="C4201" t="str">
        <f t="shared" si="132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1"/>
        <v>12</v>
      </c>
    </row>
    <row r="4202" spans="1:8" x14ac:dyDescent="0.2">
      <c r="A4202" t="s">
        <v>7</v>
      </c>
      <c r="B4202" t="s">
        <v>22</v>
      </c>
      <c r="C4202" t="str">
        <f t="shared" si="132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1"/>
        <v>12</v>
      </c>
    </row>
    <row r="4203" spans="1:8" x14ac:dyDescent="0.2">
      <c r="A4203" t="s">
        <v>7</v>
      </c>
      <c r="B4203" t="s">
        <v>22</v>
      </c>
      <c r="C4203" t="str">
        <f t="shared" si="132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1"/>
        <v>12</v>
      </c>
    </row>
    <row r="4204" spans="1:8" x14ac:dyDescent="0.2">
      <c r="A4204" t="s">
        <v>7</v>
      </c>
      <c r="B4204" t="s">
        <v>22</v>
      </c>
      <c r="C4204" t="str">
        <f t="shared" si="132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1"/>
        <v>11</v>
      </c>
    </row>
    <row r="4205" spans="1:8" x14ac:dyDescent="0.2">
      <c r="A4205" t="s">
        <v>7</v>
      </c>
      <c r="B4205" t="s">
        <v>22</v>
      </c>
      <c r="C4205" t="str">
        <f t="shared" si="132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1"/>
        <v>11</v>
      </c>
    </row>
    <row r="4206" spans="1:8" x14ac:dyDescent="0.2">
      <c r="A4206" t="s">
        <v>7</v>
      </c>
      <c r="B4206" t="s">
        <v>22</v>
      </c>
      <c r="C4206" t="str">
        <f t="shared" si="132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1"/>
        <v>11</v>
      </c>
    </row>
    <row r="4207" spans="1:8" x14ac:dyDescent="0.2">
      <c r="A4207" t="s">
        <v>7</v>
      </c>
      <c r="B4207" t="s">
        <v>22</v>
      </c>
      <c r="C4207" t="str">
        <f t="shared" si="132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1"/>
        <v>10</v>
      </c>
    </row>
    <row r="4208" spans="1:8" x14ac:dyDescent="0.2">
      <c r="A4208" t="s">
        <v>7</v>
      </c>
      <c r="B4208" t="s">
        <v>22</v>
      </c>
      <c r="C4208" t="str">
        <f t="shared" si="132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1"/>
        <v>10</v>
      </c>
    </row>
    <row r="4209" spans="1:8" x14ac:dyDescent="0.2">
      <c r="A4209" t="s">
        <v>7</v>
      </c>
      <c r="B4209" t="s">
        <v>22</v>
      </c>
      <c r="C4209" t="str">
        <f t="shared" si="132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1"/>
        <v>10</v>
      </c>
    </row>
    <row r="4210" spans="1:8" x14ac:dyDescent="0.2">
      <c r="A4210" t="s">
        <v>7</v>
      </c>
      <c r="B4210" t="s">
        <v>22</v>
      </c>
      <c r="C4210" t="str">
        <f t="shared" si="132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1"/>
        <v>9</v>
      </c>
    </row>
    <row r="4211" spans="1:8" x14ac:dyDescent="0.2">
      <c r="A4211" t="s">
        <v>7</v>
      </c>
      <c r="B4211" t="s">
        <v>22</v>
      </c>
      <c r="C4211" t="str">
        <f t="shared" si="132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1"/>
        <v>9</v>
      </c>
    </row>
    <row r="4212" spans="1:8" x14ac:dyDescent="0.2">
      <c r="A4212" t="s">
        <v>7</v>
      </c>
      <c r="B4212" t="s">
        <v>22</v>
      </c>
      <c r="C4212" t="str">
        <f t="shared" si="132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1"/>
        <v>9</v>
      </c>
    </row>
    <row r="4213" spans="1:8" x14ac:dyDescent="0.2">
      <c r="A4213" t="s">
        <v>7</v>
      </c>
      <c r="B4213" t="s">
        <v>22</v>
      </c>
      <c r="C4213" t="str">
        <f t="shared" si="132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1"/>
        <v>9</v>
      </c>
    </row>
    <row r="4214" spans="1:8" x14ac:dyDescent="0.2">
      <c r="A4214" t="s">
        <v>7</v>
      </c>
      <c r="B4214" t="s">
        <v>22</v>
      </c>
      <c r="C4214" t="str">
        <f t="shared" si="132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1"/>
        <v>9</v>
      </c>
    </row>
    <row r="4215" spans="1:8" x14ac:dyDescent="0.2">
      <c r="A4215" t="s">
        <v>7</v>
      </c>
      <c r="B4215" t="s">
        <v>22</v>
      </c>
      <c r="C4215" t="str">
        <f t="shared" si="132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1"/>
        <v>9</v>
      </c>
    </row>
    <row r="4216" spans="1:8" x14ac:dyDescent="0.2">
      <c r="A4216" t="s">
        <v>7</v>
      </c>
      <c r="B4216" t="s">
        <v>22</v>
      </c>
      <c r="C4216" t="str">
        <f t="shared" si="132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1"/>
        <v>9</v>
      </c>
    </row>
    <row r="4217" spans="1:8" x14ac:dyDescent="0.2">
      <c r="A4217" t="s">
        <v>7</v>
      </c>
      <c r="B4217" t="s">
        <v>22</v>
      </c>
      <c r="C4217" t="str">
        <f t="shared" si="132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1"/>
        <v>8</v>
      </c>
    </row>
    <row r="4218" spans="1:8" x14ac:dyDescent="0.2">
      <c r="A4218" t="s">
        <v>7</v>
      </c>
      <c r="B4218" t="s">
        <v>22</v>
      </c>
      <c r="C4218" t="str">
        <f t="shared" si="132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1"/>
        <v>8</v>
      </c>
    </row>
    <row r="4219" spans="1:8" x14ac:dyDescent="0.2">
      <c r="A4219" t="s">
        <v>7</v>
      </c>
      <c r="B4219" t="s">
        <v>22</v>
      </c>
      <c r="C4219" t="str">
        <f t="shared" si="132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1"/>
        <v>8</v>
      </c>
    </row>
    <row r="4220" spans="1:8" x14ac:dyDescent="0.2">
      <c r="A4220" t="s">
        <v>7</v>
      </c>
      <c r="B4220" t="s">
        <v>22</v>
      </c>
      <c r="C4220" t="str">
        <f t="shared" si="132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1"/>
        <v>8</v>
      </c>
    </row>
    <row r="4221" spans="1:8" x14ac:dyDescent="0.2">
      <c r="A4221" t="s">
        <v>7</v>
      </c>
      <c r="B4221" t="s">
        <v>22</v>
      </c>
      <c r="C4221" t="str">
        <f t="shared" si="132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1"/>
        <v>7</v>
      </c>
    </row>
    <row r="4222" spans="1:8" x14ac:dyDescent="0.2">
      <c r="A4222" t="s">
        <v>7</v>
      </c>
      <c r="B4222" t="s">
        <v>22</v>
      </c>
      <c r="C4222" t="str">
        <f t="shared" si="132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1"/>
        <v>7</v>
      </c>
    </row>
    <row r="4223" spans="1:8" x14ac:dyDescent="0.2">
      <c r="A4223" t="s">
        <v>7</v>
      </c>
      <c r="B4223" t="s">
        <v>22</v>
      </c>
      <c r="C4223" t="str">
        <f t="shared" si="132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1"/>
        <v>7</v>
      </c>
    </row>
    <row r="4224" spans="1:8" x14ac:dyDescent="0.2">
      <c r="A4224" t="s">
        <v>7</v>
      </c>
      <c r="B4224" t="s">
        <v>22</v>
      </c>
      <c r="C4224" t="str">
        <f t="shared" si="132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1"/>
        <v>7</v>
      </c>
    </row>
    <row r="4225" spans="1:8" x14ac:dyDescent="0.2">
      <c r="A4225" t="s">
        <v>7</v>
      </c>
      <c r="B4225" t="s">
        <v>22</v>
      </c>
      <c r="C4225" t="str">
        <f t="shared" si="132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1"/>
        <v>7</v>
      </c>
    </row>
    <row r="4226" spans="1:8" x14ac:dyDescent="0.2">
      <c r="A4226" t="s">
        <v>7</v>
      </c>
      <c r="B4226" t="s">
        <v>22</v>
      </c>
      <c r="C4226" t="str">
        <f t="shared" si="132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1"/>
        <v>7</v>
      </c>
    </row>
    <row r="4227" spans="1:8" x14ac:dyDescent="0.2">
      <c r="A4227" t="s">
        <v>7</v>
      </c>
      <c r="B4227" t="s">
        <v>22</v>
      </c>
      <c r="C4227" t="str">
        <f t="shared" si="132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ref="H4227:H4290" si="133">F4227-G4227</f>
        <v>7</v>
      </c>
    </row>
    <row r="4228" spans="1:8" x14ac:dyDescent="0.2">
      <c r="A4228" t="s">
        <v>7</v>
      </c>
      <c r="B4228" t="s">
        <v>22</v>
      </c>
      <c r="C4228" t="str">
        <f t="shared" ref="C4228:C4291" si="134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si="133"/>
        <v>7</v>
      </c>
    </row>
    <row r="4229" spans="1:8" x14ac:dyDescent="0.2">
      <c r="A4229" t="s">
        <v>7</v>
      </c>
      <c r="B4229" t="s">
        <v>22</v>
      </c>
      <c r="C4229" t="str">
        <f t="shared" si="134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33"/>
        <v>6</v>
      </c>
    </row>
    <row r="4230" spans="1:8" x14ac:dyDescent="0.2">
      <c r="A4230" t="s">
        <v>7</v>
      </c>
      <c r="B4230" t="s">
        <v>22</v>
      </c>
      <c r="C4230" t="str">
        <f t="shared" si="134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33"/>
        <v>6</v>
      </c>
    </row>
    <row r="4231" spans="1:8" x14ac:dyDescent="0.2">
      <c r="A4231" t="s">
        <v>7</v>
      </c>
      <c r="B4231" t="s">
        <v>22</v>
      </c>
      <c r="C4231" t="str">
        <f t="shared" si="134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33"/>
        <v>6</v>
      </c>
    </row>
    <row r="4232" spans="1:8" x14ac:dyDescent="0.2">
      <c r="A4232" t="s">
        <v>7</v>
      </c>
      <c r="B4232" t="s">
        <v>22</v>
      </c>
      <c r="C4232" t="str">
        <f t="shared" si="134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33"/>
        <v>6</v>
      </c>
    </row>
    <row r="4233" spans="1:8" x14ac:dyDescent="0.2">
      <c r="A4233" t="s">
        <v>7</v>
      </c>
      <c r="B4233" t="s">
        <v>22</v>
      </c>
      <c r="C4233" t="str">
        <f t="shared" si="134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33"/>
        <v>6</v>
      </c>
    </row>
    <row r="4234" spans="1:8" x14ac:dyDescent="0.2">
      <c r="A4234" t="s">
        <v>7</v>
      </c>
      <c r="B4234" t="s">
        <v>22</v>
      </c>
      <c r="C4234" t="str">
        <f t="shared" si="134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33"/>
        <v>6</v>
      </c>
    </row>
    <row r="4235" spans="1:8" x14ac:dyDescent="0.2">
      <c r="A4235" t="s">
        <v>7</v>
      </c>
      <c r="B4235" t="s">
        <v>22</v>
      </c>
      <c r="C4235" t="str">
        <f t="shared" si="134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33"/>
        <v>6</v>
      </c>
    </row>
    <row r="4236" spans="1:8" x14ac:dyDescent="0.2">
      <c r="A4236" t="s">
        <v>7</v>
      </c>
      <c r="B4236" t="s">
        <v>22</v>
      </c>
      <c r="C4236" t="str">
        <f t="shared" si="134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33"/>
        <v>5</v>
      </c>
    </row>
    <row r="4237" spans="1:8" x14ac:dyDescent="0.2">
      <c r="A4237" t="s">
        <v>7</v>
      </c>
      <c r="B4237" t="s">
        <v>22</v>
      </c>
      <c r="C4237" t="str">
        <f t="shared" si="134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33"/>
        <v>5</v>
      </c>
    </row>
    <row r="4238" spans="1:8" x14ac:dyDescent="0.2">
      <c r="A4238" t="s">
        <v>7</v>
      </c>
      <c r="B4238" t="s">
        <v>22</v>
      </c>
      <c r="C4238" t="str">
        <f t="shared" si="134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33"/>
        <v>5</v>
      </c>
    </row>
    <row r="4239" spans="1:8" x14ac:dyDescent="0.2">
      <c r="A4239" t="s">
        <v>7</v>
      </c>
      <c r="B4239" t="s">
        <v>22</v>
      </c>
      <c r="C4239" t="str">
        <f t="shared" si="134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33"/>
        <v>5</v>
      </c>
    </row>
    <row r="4240" spans="1:8" x14ac:dyDescent="0.2">
      <c r="A4240" t="s">
        <v>7</v>
      </c>
      <c r="B4240" t="s">
        <v>22</v>
      </c>
      <c r="C4240" t="str">
        <f t="shared" si="134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33"/>
        <v>5</v>
      </c>
    </row>
    <row r="4241" spans="1:8" x14ac:dyDescent="0.2">
      <c r="A4241" t="s">
        <v>7</v>
      </c>
      <c r="B4241" t="s">
        <v>22</v>
      </c>
      <c r="C4241" t="str">
        <f t="shared" si="134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33"/>
        <v>5</v>
      </c>
    </row>
    <row r="4242" spans="1:8" x14ac:dyDescent="0.2">
      <c r="A4242" t="s">
        <v>7</v>
      </c>
      <c r="B4242" t="s">
        <v>22</v>
      </c>
      <c r="C4242" t="str">
        <f t="shared" si="134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33"/>
        <v>5</v>
      </c>
    </row>
    <row r="4243" spans="1:8" x14ac:dyDescent="0.2">
      <c r="A4243" t="s">
        <v>7</v>
      </c>
      <c r="B4243" t="s">
        <v>22</v>
      </c>
      <c r="C4243" t="str">
        <f t="shared" si="134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33"/>
        <v>5</v>
      </c>
    </row>
    <row r="4244" spans="1:8" x14ac:dyDescent="0.2">
      <c r="A4244" t="s">
        <v>7</v>
      </c>
      <c r="B4244" t="s">
        <v>22</v>
      </c>
      <c r="C4244" t="str">
        <f t="shared" si="134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33"/>
        <v>4</v>
      </c>
    </row>
    <row r="4245" spans="1:8" x14ac:dyDescent="0.2">
      <c r="A4245" t="s">
        <v>7</v>
      </c>
      <c r="B4245" t="s">
        <v>22</v>
      </c>
      <c r="C4245" t="str">
        <f t="shared" si="134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33"/>
        <v>4</v>
      </c>
    </row>
    <row r="4246" spans="1:8" x14ac:dyDescent="0.2">
      <c r="A4246" t="s">
        <v>7</v>
      </c>
      <c r="B4246" t="s">
        <v>22</v>
      </c>
      <c r="C4246" t="str">
        <f t="shared" si="134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33"/>
        <v>4</v>
      </c>
    </row>
    <row r="4247" spans="1:8" x14ac:dyDescent="0.2">
      <c r="A4247" t="s">
        <v>7</v>
      </c>
      <c r="B4247" t="s">
        <v>22</v>
      </c>
      <c r="C4247" t="str">
        <f t="shared" si="134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33"/>
        <v>4</v>
      </c>
    </row>
    <row r="4248" spans="1:8" x14ac:dyDescent="0.2">
      <c r="A4248" t="s">
        <v>7</v>
      </c>
      <c r="B4248" t="s">
        <v>22</v>
      </c>
      <c r="C4248" t="str">
        <f t="shared" si="134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33"/>
        <v>4</v>
      </c>
    </row>
    <row r="4249" spans="1:8" x14ac:dyDescent="0.2">
      <c r="A4249" t="s">
        <v>7</v>
      </c>
      <c r="B4249" t="s">
        <v>22</v>
      </c>
      <c r="C4249" t="str">
        <f t="shared" si="134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33"/>
        <v>4</v>
      </c>
    </row>
    <row r="4250" spans="1:8" x14ac:dyDescent="0.2">
      <c r="A4250" t="s">
        <v>7</v>
      </c>
      <c r="B4250" t="s">
        <v>22</v>
      </c>
      <c r="C4250" t="str">
        <f t="shared" si="134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33"/>
        <v>4</v>
      </c>
    </row>
    <row r="4251" spans="1:8" x14ac:dyDescent="0.2">
      <c r="A4251" t="s">
        <v>7</v>
      </c>
      <c r="B4251" t="s">
        <v>22</v>
      </c>
      <c r="C4251" t="str">
        <f t="shared" si="134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33"/>
        <v>4</v>
      </c>
    </row>
    <row r="4252" spans="1:8" x14ac:dyDescent="0.2">
      <c r="A4252" t="s">
        <v>7</v>
      </c>
      <c r="B4252" t="s">
        <v>22</v>
      </c>
      <c r="C4252" t="str">
        <f t="shared" si="134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33"/>
        <v>3</v>
      </c>
    </row>
    <row r="4253" spans="1:8" x14ac:dyDescent="0.2">
      <c r="A4253" t="s">
        <v>7</v>
      </c>
      <c r="B4253" t="s">
        <v>22</v>
      </c>
      <c r="C4253" t="str">
        <f t="shared" si="134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33"/>
        <v>3</v>
      </c>
    </row>
    <row r="4254" spans="1:8" x14ac:dyDescent="0.2">
      <c r="A4254" t="s">
        <v>7</v>
      </c>
      <c r="B4254" t="s">
        <v>22</v>
      </c>
      <c r="C4254" t="str">
        <f t="shared" si="134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33"/>
        <v>3</v>
      </c>
    </row>
    <row r="4255" spans="1:8" x14ac:dyDescent="0.2">
      <c r="A4255" t="s">
        <v>7</v>
      </c>
      <c r="B4255" t="s">
        <v>22</v>
      </c>
      <c r="C4255" t="str">
        <f t="shared" si="134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33"/>
        <v>3</v>
      </c>
    </row>
    <row r="4256" spans="1:8" x14ac:dyDescent="0.2">
      <c r="A4256" t="s">
        <v>7</v>
      </c>
      <c r="B4256" t="s">
        <v>22</v>
      </c>
      <c r="C4256" t="str">
        <f t="shared" si="134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33"/>
        <v>3</v>
      </c>
    </row>
    <row r="4257" spans="1:8" x14ac:dyDescent="0.2">
      <c r="A4257" t="s">
        <v>7</v>
      </c>
      <c r="B4257" t="s">
        <v>22</v>
      </c>
      <c r="C4257" t="str">
        <f t="shared" si="134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33"/>
        <v>3</v>
      </c>
    </row>
    <row r="4258" spans="1:8" x14ac:dyDescent="0.2">
      <c r="A4258" t="s">
        <v>7</v>
      </c>
      <c r="B4258" t="s">
        <v>22</v>
      </c>
      <c r="C4258" t="str">
        <f t="shared" si="134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33"/>
        <v>3</v>
      </c>
    </row>
    <row r="4259" spans="1:8" x14ac:dyDescent="0.2">
      <c r="A4259" t="s">
        <v>7</v>
      </c>
      <c r="B4259" t="s">
        <v>22</v>
      </c>
      <c r="C4259" t="str">
        <f t="shared" si="134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33"/>
        <v>3</v>
      </c>
    </row>
    <row r="4260" spans="1:8" x14ac:dyDescent="0.2">
      <c r="A4260" t="s">
        <v>7</v>
      </c>
      <c r="B4260" t="s">
        <v>22</v>
      </c>
      <c r="C4260" t="str">
        <f t="shared" si="134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33"/>
        <v>2</v>
      </c>
    </row>
    <row r="4261" spans="1:8" x14ac:dyDescent="0.2">
      <c r="A4261" t="s">
        <v>7</v>
      </c>
      <c r="B4261" t="s">
        <v>22</v>
      </c>
      <c r="C4261" t="str">
        <f t="shared" si="134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33"/>
        <v>2</v>
      </c>
    </row>
    <row r="4262" spans="1:8" x14ac:dyDescent="0.2">
      <c r="A4262" t="s">
        <v>7</v>
      </c>
      <c r="B4262" t="s">
        <v>22</v>
      </c>
      <c r="C4262" t="str">
        <f t="shared" si="134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33"/>
        <v>2</v>
      </c>
    </row>
    <row r="4263" spans="1:8" x14ac:dyDescent="0.2">
      <c r="A4263" t="s">
        <v>7</v>
      </c>
      <c r="B4263" t="s">
        <v>22</v>
      </c>
      <c r="C4263" t="str">
        <f t="shared" si="134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33"/>
        <v>2</v>
      </c>
    </row>
    <row r="4264" spans="1:8" x14ac:dyDescent="0.2">
      <c r="A4264" t="s">
        <v>7</v>
      </c>
      <c r="B4264" t="s">
        <v>22</v>
      </c>
      <c r="C4264" t="str">
        <f t="shared" si="134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33"/>
        <v>2</v>
      </c>
    </row>
    <row r="4265" spans="1:8" x14ac:dyDescent="0.2">
      <c r="A4265" t="s">
        <v>7</v>
      </c>
      <c r="B4265" t="s">
        <v>22</v>
      </c>
      <c r="C4265" t="str">
        <f t="shared" si="134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33"/>
        <v>2</v>
      </c>
    </row>
    <row r="4266" spans="1:8" x14ac:dyDescent="0.2">
      <c r="A4266" t="s">
        <v>7</v>
      </c>
      <c r="B4266" t="s">
        <v>22</v>
      </c>
      <c r="C4266" t="str">
        <f t="shared" si="134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33"/>
        <v>2</v>
      </c>
    </row>
    <row r="4267" spans="1:8" x14ac:dyDescent="0.2">
      <c r="A4267" t="s">
        <v>7</v>
      </c>
      <c r="B4267" t="s">
        <v>22</v>
      </c>
      <c r="C4267" t="str">
        <f t="shared" si="134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33"/>
        <v>2</v>
      </c>
    </row>
    <row r="4268" spans="1:8" x14ac:dyDescent="0.2">
      <c r="A4268" t="s">
        <v>7</v>
      </c>
      <c r="B4268" t="s">
        <v>22</v>
      </c>
      <c r="C4268" t="str">
        <f t="shared" si="134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33"/>
        <v>1</v>
      </c>
    </row>
    <row r="4269" spans="1:8" x14ac:dyDescent="0.2">
      <c r="A4269" t="s">
        <v>7</v>
      </c>
      <c r="B4269" t="s">
        <v>22</v>
      </c>
      <c r="C4269" t="str">
        <f t="shared" si="134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33"/>
        <v>1</v>
      </c>
    </row>
    <row r="4270" spans="1:8" x14ac:dyDescent="0.2">
      <c r="A4270" t="s">
        <v>7</v>
      </c>
      <c r="B4270" t="s">
        <v>22</v>
      </c>
      <c r="C4270" t="str">
        <f t="shared" si="134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33"/>
        <v>1</v>
      </c>
    </row>
    <row r="4271" spans="1:8" x14ac:dyDescent="0.2">
      <c r="A4271" t="s">
        <v>7</v>
      </c>
      <c r="B4271" t="s">
        <v>22</v>
      </c>
      <c r="C4271" t="str">
        <f t="shared" si="134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33"/>
        <v>1</v>
      </c>
    </row>
    <row r="4272" spans="1:8" x14ac:dyDescent="0.2">
      <c r="A4272" t="s">
        <v>7</v>
      </c>
      <c r="B4272" t="s">
        <v>22</v>
      </c>
      <c r="C4272" t="str">
        <f t="shared" si="134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33"/>
        <v>0</v>
      </c>
    </row>
    <row r="4273" spans="1:8" x14ac:dyDescent="0.2">
      <c r="A4273" t="s">
        <v>7</v>
      </c>
      <c r="B4273" t="s">
        <v>22</v>
      </c>
      <c r="C4273" t="str">
        <f t="shared" si="134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33"/>
        <v>0</v>
      </c>
    </row>
    <row r="4274" spans="1:8" x14ac:dyDescent="0.2">
      <c r="A4274" t="s">
        <v>7</v>
      </c>
      <c r="B4274" t="s">
        <v>22</v>
      </c>
      <c r="C4274" t="str">
        <f t="shared" si="134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33"/>
        <v>0</v>
      </c>
    </row>
    <row r="4275" spans="1:8" x14ac:dyDescent="0.2">
      <c r="A4275" t="s">
        <v>7</v>
      </c>
      <c r="B4275" t="s">
        <v>22</v>
      </c>
      <c r="C4275" t="str">
        <f t="shared" si="134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33"/>
        <v>0</v>
      </c>
    </row>
    <row r="4276" spans="1:8" x14ac:dyDescent="0.2">
      <c r="A4276" t="s">
        <v>7</v>
      </c>
      <c r="B4276" t="s">
        <v>22</v>
      </c>
      <c r="C4276" t="str">
        <f t="shared" si="134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33"/>
        <v>0</v>
      </c>
    </row>
    <row r="4277" spans="1:8" x14ac:dyDescent="0.2">
      <c r="A4277" t="s">
        <v>7</v>
      </c>
      <c r="B4277" t="s">
        <v>22</v>
      </c>
      <c r="C4277" t="str">
        <f t="shared" si="134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33"/>
        <v>0</v>
      </c>
    </row>
    <row r="4278" spans="1:8" x14ac:dyDescent="0.2">
      <c r="A4278" t="s">
        <v>7</v>
      </c>
      <c r="B4278" t="s">
        <v>22</v>
      </c>
      <c r="C4278" t="str">
        <f t="shared" si="134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33"/>
        <v>-1</v>
      </c>
    </row>
    <row r="4279" spans="1:8" x14ac:dyDescent="0.2">
      <c r="A4279" t="s">
        <v>7</v>
      </c>
      <c r="B4279" t="s">
        <v>22</v>
      </c>
      <c r="C4279" t="str">
        <f t="shared" si="134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33"/>
        <v>-1</v>
      </c>
    </row>
    <row r="4280" spans="1:8" x14ac:dyDescent="0.2">
      <c r="A4280" t="s">
        <v>7</v>
      </c>
      <c r="B4280" t="s">
        <v>22</v>
      </c>
      <c r="C4280" t="str">
        <f t="shared" si="134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33"/>
        <v>0</v>
      </c>
    </row>
    <row r="4281" spans="1:8" x14ac:dyDescent="0.2">
      <c r="A4281" t="s">
        <v>7</v>
      </c>
      <c r="B4281" t="s">
        <v>22</v>
      </c>
      <c r="C4281" t="str">
        <f t="shared" si="134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33"/>
        <v>-2</v>
      </c>
    </row>
    <row r="4282" spans="1:8" x14ac:dyDescent="0.2">
      <c r="A4282" t="s">
        <v>7</v>
      </c>
      <c r="B4282" t="s">
        <v>22</v>
      </c>
      <c r="C4282" t="str">
        <f t="shared" si="134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33"/>
        <v>-2</v>
      </c>
    </row>
    <row r="4283" spans="1:8" x14ac:dyDescent="0.2">
      <c r="A4283" t="s">
        <v>7</v>
      </c>
      <c r="B4283" t="s">
        <v>22</v>
      </c>
      <c r="C4283" t="str">
        <f t="shared" si="134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33"/>
        <v>-2</v>
      </c>
    </row>
    <row r="4284" spans="1:8" x14ac:dyDescent="0.2">
      <c r="A4284" t="s">
        <v>7</v>
      </c>
      <c r="B4284" t="s">
        <v>22</v>
      </c>
      <c r="C4284" t="str">
        <f t="shared" si="134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33"/>
        <v>0</v>
      </c>
    </row>
    <row r="4285" spans="1:8" x14ac:dyDescent="0.2">
      <c r="A4285" t="s">
        <v>7</v>
      </c>
      <c r="B4285" t="s">
        <v>22</v>
      </c>
      <c r="C4285" t="str">
        <f t="shared" si="134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33"/>
        <v>-3</v>
      </c>
    </row>
    <row r="4286" spans="1:8" x14ac:dyDescent="0.2">
      <c r="A4286" t="s">
        <v>7</v>
      </c>
      <c r="B4286" t="s">
        <v>22</v>
      </c>
      <c r="C4286" t="str">
        <f t="shared" si="134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33"/>
        <v>-4</v>
      </c>
    </row>
    <row r="4287" spans="1:8" x14ac:dyDescent="0.2">
      <c r="A4287" t="s">
        <v>7</v>
      </c>
      <c r="B4287" t="s">
        <v>22</v>
      </c>
      <c r="C4287" t="str">
        <f t="shared" si="134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33"/>
        <v>-4</v>
      </c>
    </row>
    <row r="4288" spans="1:8" x14ac:dyDescent="0.2">
      <c r="A4288" t="s">
        <v>7</v>
      </c>
      <c r="B4288" t="s">
        <v>22</v>
      </c>
      <c r="C4288" t="str">
        <f t="shared" si="134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33"/>
        <v>-4</v>
      </c>
    </row>
    <row r="4289" spans="1:8" x14ac:dyDescent="0.2">
      <c r="A4289" t="s">
        <v>7</v>
      </c>
      <c r="B4289" t="s">
        <v>22</v>
      </c>
      <c r="C4289" t="str">
        <f t="shared" si="134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33"/>
        <v>0</v>
      </c>
    </row>
    <row r="4290" spans="1:8" x14ac:dyDescent="0.2">
      <c r="A4290" t="s">
        <v>7</v>
      </c>
      <c r="B4290" t="s">
        <v>22</v>
      </c>
      <c r="C4290" t="str">
        <f t="shared" si="134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33"/>
        <v>-4</v>
      </c>
    </row>
    <row r="4291" spans="1:8" x14ac:dyDescent="0.2">
      <c r="A4291" t="s">
        <v>7</v>
      </c>
      <c r="B4291" t="s">
        <v>22</v>
      </c>
      <c r="C4291" t="str">
        <f t="shared" si="134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ref="H4291:H4354" si="135">F4291-G4291</f>
        <v>-4</v>
      </c>
    </row>
    <row r="4292" spans="1:8" x14ac:dyDescent="0.2">
      <c r="A4292" t="s">
        <v>7</v>
      </c>
      <c r="B4292" t="s">
        <v>22</v>
      </c>
      <c r="C4292" t="str">
        <f t="shared" ref="C4292:C4355" si="136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si="135"/>
        <v>-4</v>
      </c>
    </row>
    <row r="4293" spans="1:8" x14ac:dyDescent="0.2">
      <c r="A4293" t="s">
        <v>7</v>
      </c>
      <c r="B4293" t="s">
        <v>22</v>
      </c>
      <c r="C4293" t="str">
        <f t="shared" si="136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35"/>
        <v>-4</v>
      </c>
    </row>
    <row r="4294" spans="1:8" x14ac:dyDescent="0.2">
      <c r="A4294" t="s">
        <v>7</v>
      </c>
      <c r="B4294" t="s">
        <v>22</v>
      </c>
      <c r="C4294" t="str">
        <f t="shared" si="136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35"/>
        <v>-4</v>
      </c>
    </row>
    <row r="4295" spans="1:8" x14ac:dyDescent="0.2">
      <c r="A4295" t="s">
        <v>7</v>
      </c>
      <c r="B4295" t="s">
        <v>22</v>
      </c>
      <c r="C4295" t="str">
        <f t="shared" si="136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35"/>
        <v>-5</v>
      </c>
    </row>
    <row r="4296" spans="1:8" x14ac:dyDescent="0.2">
      <c r="A4296" t="s">
        <v>7</v>
      </c>
      <c r="B4296" t="s">
        <v>22</v>
      </c>
      <c r="C4296" t="str">
        <f t="shared" si="136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35"/>
        <v>-5</v>
      </c>
    </row>
    <row r="4297" spans="1:8" x14ac:dyDescent="0.2">
      <c r="A4297" t="s">
        <v>7</v>
      </c>
      <c r="B4297" t="s">
        <v>22</v>
      </c>
      <c r="C4297" t="str">
        <f t="shared" si="136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35"/>
        <v>-5</v>
      </c>
    </row>
    <row r="4298" spans="1:8" x14ac:dyDescent="0.2">
      <c r="A4298" t="s">
        <v>7</v>
      </c>
      <c r="B4298" t="s">
        <v>22</v>
      </c>
      <c r="C4298" t="str">
        <f t="shared" si="136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35"/>
        <v>-5</v>
      </c>
    </row>
    <row r="4299" spans="1:8" x14ac:dyDescent="0.2">
      <c r="A4299" t="s">
        <v>7</v>
      </c>
      <c r="B4299" t="s">
        <v>22</v>
      </c>
      <c r="C4299" t="str">
        <f t="shared" si="136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35"/>
        <v>-5</v>
      </c>
    </row>
    <row r="4300" spans="1:8" x14ac:dyDescent="0.2">
      <c r="A4300" t="s">
        <v>7</v>
      </c>
      <c r="B4300" t="s">
        <v>22</v>
      </c>
      <c r="C4300" t="str">
        <f t="shared" si="136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35"/>
        <v>-5</v>
      </c>
    </row>
    <row r="4301" spans="1:8" x14ac:dyDescent="0.2">
      <c r="A4301" t="s">
        <v>7</v>
      </c>
      <c r="B4301" t="s">
        <v>22</v>
      </c>
      <c r="C4301" t="str">
        <f t="shared" si="136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35"/>
        <v>-5</v>
      </c>
    </row>
    <row r="4302" spans="1:8" x14ac:dyDescent="0.2">
      <c r="A4302" t="s">
        <v>7</v>
      </c>
      <c r="B4302" t="s">
        <v>22</v>
      </c>
      <c r="C4302" t="str">
        <f t="shared" si="136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35"/>
        <v>-6</v>
      </c>
    </row>
    <row r="4303" spans="1:8" x14ac:dyDescent="0.2">
      <c r="A4303" t="s">
        <v>7</v>
      </c>
      <c r="B4303" t="s">
        <v>22</v>
      </c>
      <c r="C4303" t="str">
        <f t="shared" si="136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35"/>
        <v>-6</v>
      </c>
    </row>
    <row r="4304" spans="1:8" x14ac:dyDescent="0.2">
      <c r="A4304" t="s">
        <v>7</v>
      </c>
      <c r="B4304" t="s">
        <v>22</v>
      </c>
      <c r="C4304" t="str">
        <f t="shared" si="136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35"/>
        <v>-6</v>
      </c>
    </row>
    <row r="4305" spans="1:8" x14ac:dyDescent="0.2">
      <c r="A4305" t="s">
        <v>7</v>
      </c>
      <c r="B4305" t="s">
        <v>22</v>
      </c>
      <c r="C4305" t="str">
        <f t="shared" si="136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35"/>
        <v>-7</v>
      </c>
    </row>
    <row r="4306" spans="1:8" x14ac:dyDescent="0.2">
      <c r="A4306" t="s">
        <v>7</v>
      </c>
      <c r="B4306" t="s">
        <v>22</v>
      </c>
      <c r="C4306" t="str">
        <f t="shared" si="136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35"/>
        <v>0</v>
      </c>
    </row>
    <row r="4307" spans="1:8" x14ac:dyDescent="0.2">
      <c r="A4307" t="s">
        <v>7</v>
      </c>
      <c r="B4307" t="s">
        <v>22</v>
      </c>
      <c r="C4307" t="str">
        <f t="shared" si="136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35"/>
        <v>0</v>
      </c>
    </row>
    <row r="4308" spans="1:8" x14ac:dyDescent="0.2">
      <c r="A4308" t="s">
        <v>7</v>
      </c>
      <c r="B4308" t="s">
        <v>22</v>
      </c>
      <c r="C4308" t="str">
        <f t="shared" si="136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35"/>
        <v>-7</v>
      </c>
    </row>
    <row r="4309" spans="1:8" x14ac:dyDescent="0.2">
      <c r="A4309" t="s">
        <v>7</v>
      </c>
      <c r="B4309" t="s">
        <v>22</v>
      </c>
      <c r="C4309" t="str">
        <f t="shared" si="136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35"/>
        <v>-7</v>
      </c>
    </row>
    <row r="4310" spans="1:8" x14ac:dyDescent="0.2">
      <c r="A4310" t="s">
        <v>7</v>
      </c>
      <c r="B4310" t="s">
        <v>22</v>
      </c>
      <c r="C4310" t="str">
        <f t="shared" si="136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35"/>
        <v>-8</v>
      </c>
    </row>
    <row r="4311" spans="1:8" x14ac:dyDescent="0.2">
      <c r="A4311" t="s">
        <v>7</v>
      </c>
      <c r="B4311" t="s">
        <v>22</v>
      </c>
      <c r="C4311" t="str">
        <f t="shared" si="136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35"/>
        <v>-8</v>
      </c>
    </row>
    <row r="4312" spans="1:8" x14ac:dyDescent="0.2">
      <c r="A4312" t="s">
        <v>7</v>
      </c>
      <c r="B4312" t="s">
        <v>22</v>
      </c>
      <c r="C4312" t="str">
        <f t="shared" si="136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35"/>
        <v>-8</v>
      </c>
    </row>
    <row r="4313" spans="1:8" x14ac:dyDescent="0.2">
      <c r="A4313" t="s">
        <v>7</v>
      </c>
      <c r="B4313" t="s">
        <v>22</v>
      </c>
      <c r="C4313" t="str">
        <f t="shared" si="136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35"/>
        <v>-8</v>
      </c>
    </row>
    <row r="4314" spans="1:8" x14ac:dyDescent="0.2">
      <c r="A4314" t="s">
        <v>7</v>
      </c>
      <c r="B4314" t="s">
        <v>22</v>
      </c>
      <c r="C4314" t="str">
        <f t="shared" si="136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35"/>
        <v>-9</v>
      </c>
    </row>
    <row r="4315" spans="1:8" x14ac:dyDescent="0.2">
      <c r="A4315" t="s">
        <v>7</v>
      </c>
      <c r="B4315" t="s">
        <v>22</v>
      </c>
      <c r="C4315" t="str">
        <f t="shared" si="136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35"/>
        <v>-9</v>
      </c>
    </row>
    <row r="4316" spans="1:8" x14ac:dyDescent="0.2">
      <c r="A4316" t="s">
        <v>7</v>
      </c>
      <c r="B4316" t="s">
        <v>22</v>
      </c>
      <c r="C4316" t="str">
        <f t="shared" si="136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35"/>
        <v>-10</v>
      </c>
    </row>
    <row r="4317" spans="1:8" x14ac:dyDescent="0.2">
      <c r="A4317" t="s">
        <v>7</v>
      </c>
      <c r="B4317" t="s">
        <v>22</v>
      </c>
      <c r="C4317" t="str">
        <f t="shared" si="136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35"/>
        <v>-10</v>
      </c>
    </row>
    <row r="4318" spans="1:8" x14ac:dyDescent="0.2">
      <c r="A4318" t="s">
        <v>7</v>
      </c>
      <c r="B4318" t="s">
        <v>22</v>
      </c>
      <c r="C4318" t="str">
        <f t="shared" si="136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35"/>
        <v>-10</v>
      </c>
    </row>
    <row r="4319" spans="1:8" x14ac:dyDescent="0.2">
      <c r="A4319" t="s">
        <v>7</v>
      </c>
      <c r="B4319" t="s">
        <v>22</v>
      </c>
      <c r="C4319" t="str">
        <f t="shared" si="136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35"/>
        <v>-10</v>
      </c>
    </row>
    <row r="4320" spans="1:8" x14ac:dyDescent="0.2">
      <c r="A4320" t="s">
        <v>7</v>
      </c>
      <c r="B4320" t="s">
        <v>22</v>
      </c>
      <c r="C4320" t="str">
        <f t="shared" si="136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35"/>
        <v>0</v>
      </c>
    </row>
    <row r="4321" spans="1:8" x14ac:dyDescent="0.2">
      <c r="A4321" t="s">
        <v>7</v>
      </c>
      <c r="B4321" t="s">
        <v>22</v>
      </c>
      <c r="C4321" t="str">
        <f t="shared" si="136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35"/>
        <v>-11</v>
      </c>
    </row>
    <row r="4322" spans="1:8" x14ac:dyDescent="0.2">
      <c r="A4322" t="s">
        <v>7</v>
      </c>
      <c r="B4322" t="s">
        <v>22</v>
      </c>
      <c r="C4322" t="str">
        <f t="shared" si="136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35"/>
        <v>-11</v>
      </c>
    </row>
    <row r="4323" spans="1:8" x14ac:dyDescent="0.2">
      <c r="A4323" t="s">
        <v>7</v>
      </c>
      <c r="B4323" t="s">
        <v>22</v>
      </c>
      <c r="C4323" t="str">
        <f t="shared" si="136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35"/>
        <v>-11</v>
      </c>
    </row>
    <row r="4324" spans="1:8" x14ac:dyDescent="0.2">
      <c r="A4324" t="s">
        <v>7</v>
      </c>
      <c r="B4324" t="s">
        <v>22</v>
      </c>
      <c r="C4324" t="str">
        <f t="shared" si="136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35"/>
        <v>-12</v>
      </c>
    </row>
    <row r="4325" spans="1:8" x14ac:dyDescent="0.2">
      <c r="A4325" t="s">
        <v>7</v>
      </c>
      <c r="B4325" t="s">
        <v>22</v>
      </c>
      <c r="C4325" t="str">
        <f t="shared" si="136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35"/>
        <v>-12</v>
      </c>
    </row>
    <row r="4326" spans="1:8" x14ac:dyDescent="0.2">
      <c r="A4326" t="s">
        <v>7</v>
      </c>
      <c r="B4326" t="s">
        <v>22</v>
      </c>
      <c r="C4326" t="str">
        <f t="shared" si="136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35"/>
        <v>-12</v>
      </c>
    </row>
    <row r="4327" spans="1:8" x14ac:dyDescent="0.2">
      <c r="A4327" t="s">
        <v>7</v>
      </c>
      <c r="B4327" t="s">
        <v>22</v>
      </c>
      <c r="C4327" t="str">
        <f t="shared" si="136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35"/>
        <v>-12</v>
      </c>
    </row>
    <row r="4328" spans="1:8" x14ac:dyDescent="0.2">
      <c r="A4328" t="s">
        <v>7</v>
      </c>
      <c r="B4328" t="s">
        <v>22</v>
      </c>
      <c r="C4328" t="str">
        <f t="shared" si="136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35"/>
        <v>-12</v>
      </c>
    </row>
    <row r="4329" spans="1:8" x14ac:dyDescent="0.2">
      <c r="A4329" t="s">
        <v>7</v>
      </c>
      <c r="B4329" t="s">
        <v>22</v>
      </c>
      <c r="C4329" t="str">
        <f t="shared" si="136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35"/>
        <v>-12</v>
      </c>
    </row>
    <row r="4330" spans="1:8" x14ac:dyDescent="0.2">
      <c r="A4330" t="s">
        <v>7</v>
      </c>
      <c r="B4330" t="s">
        <v>22</v>
      </c>
      <c r="C4330" t="str">
        <f t="shared" si="136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35"/>
        <v>-13</v>
      </c>
    </row>
    <row r="4331" spans="1:8" x14ac:dyDescent="0.2">
      <c r="A4331" t="s">
        <v>7</v>
      </c>
      <c r="B4331" t="s">
        <v>22</v>
      </c>
      <c r="C4331" t="str">
        <f t="shared" si="136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35"/>
        <v>-13</v>
      </c>
    </row>
    <row r="4332" spans="1:8" x14ac:dyDescent="0.2">
      <c r="A4332" t="s">
        <v>7</v>
      </c>
      <c r="B4332" t="s">
        <v>22</v>
      </c>
      <c r="C4332" t="str">
        <f t="shared" si="136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35"/>
        <v>-13</v>
      </c>
    </row>
    <row r="4333" spans="1:8" x14ac:dyDescent="0.2">
      <c r="A4333" t="s">
        <v>7</v>
      </c>
      <c r="B4333" t="s">
        <v>22</v>
      </c>
      <c r="C4333" t="str">
        <f t="shared" si="136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35"/>
        <v>-13</v>
      </c>
    </row>
    <row r="4334" spans="1:8" x14ac:dyDescent="0.2">
      <c r="A4334" t="s">
        <v>7</v>
      </c>
      <c r="B4334" t="s">
        <v>22</v>
      </c>
      <c r="C4334" t="str">
        <f t="shared" si="136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35"/>
        <v>-13</v>
      </c>
    </row>
    <row r="4335" spans="1:8" x14ac:dyDescent="0.2">
      <c r="A4335" t="s">
        <v>7</v>
      </c>
      <c r="B4335" t="s">
        <v>22</v>
      </c>
      <c r="C4335" t="str">
        <f t="shared" si="136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35"/>
        <v>-13</v>
      </c>
    </row>
    <row r="4336" spans="1:8" x14ac:dyDescent="0.2">
      <c r="A4336" t="s">
        <v>7</v>
      </c>
      <c r="B4336" t="s">
        <v>22</v>
      </c>
      <c r="C4336" t="str">
        <f t="shared" si="136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35"/>
        <v>-14</v>
      </c>
    </row>
    <row r="4337" spans="1:8" x14ac:dyDescent="0.2">
      <c r="A4337" t="s">
        <v>7</v>
      </c>
      <c r="B4337" t="s">
        <v>22</v>
      </c>
      <c r="C4337" t="str">
        <f t="shared" si="136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35"/>
        <v>-14</v>
      </c>
    </row>
    <row r="4338" spans="1:8" x14ac:dyDescent="0.2">
      <c r="A4338" t="s">
        <v>7</v>
      </c>
      <c r="B4338" t="s">
        <v>22</v>
      </c>
      <c r="C4338" t="str">
        <f t="shared" si="136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35"/>
        <v>-14</v>
      </c>
    </row>
    <row r="4339" spans="1:8" x14ac:dyDescent="0.2">
      <c r="A4339" t="s">
        <v>7</v>
      </c>
      <c r="B4339" t="s">
        <v>22</v>
      </c>
      <c r="C4339" t="str">
        <f t="shared" si="136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35"/>
        <v>-14</v>
      </c>
    </row>
    <row r="4340" spans="1:8" x14ac:dyDescent="0.2">
      <c r="A4340" t="s">
        <v>7</v>
      </c>
      <c r="B4340" t="s">
        <v>22</v>
      </c>
      <c r="C4340" t="str">
        <f t="shared" si="136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35"/>
        <v>-15</v>
      </c>
    </row>
    <row r="4341" spans="1:8" x14ac:dyDescent="0.2">
      <c r="A4341" t="s">
        <v>7</v>
      </c>
      <c r="B4341" t="s">
        <v>22</v>
      </c>
      <c r="C4341" t="str">
        <f t="shared" si="136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35"/>
        <v>-15</v>
      </c>
    </row>
    <row r="4342" spans="1:8" x14ac:dyDescent="0.2">
      <c r="A4342" t="s">
        <v>7</v>
      </c>
      <c r="B4342" t="s">
        <v>22</v>
      </c>
      <c r="C4342" t="str">
        <f t="shared" si="136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35"/>
        <v>-15</v>
      </c>
    </row>
    <row r="4343" spans="1:8" x14ac:dyDescent="0.2">
      <c r="A4343" t="s">
        <v>7</v>
      </c>
      <c r="B4343" t="s">
        <v>22</v>
      </c>
      <c r="C4343" t="str">
        <f t="shared" si="136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35"/>
        <v>-16</v>
      </c>
    </row>
    <row r="4344" spans="1:8" x14ac:dyDescent="0.2">
      <c r="A4344" t="s">
        <v>7</v>
      </c>
      <c r="B4344" t="s">
        <v>22</v>
      </c>
      <c r="C4344" t="str">
        <f t="shared" si="136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35"/>
        <v>-17</v>
      </c>
    </row>
    <row r="4345" spans="1:8" x14ac:dyDescent="0.2">
      <c r="A4345" t="s">
        <v>7</v>
      </c>
      <c r="B4345" t="s">
        <v>22</v>
      </c>
      <c r="C4345" t="str">
        <f t="shared" si="136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35"/>
        <v>-17</v>
      </c>
    </row>
    <row r="4346" spans="1:8" x14ac:dyDescent="0.2">
      <c r="A4346" t="s">
        <v>7</v>
      </c>
      <c r="B4346" t="s">
        <v>22</v>
      </c>
      <c r="C4346" t="str">
        <f t="shared" si="136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35"/>
        <v>-18</v>
      </c>
    </row>
    <row r="4347" spans="1:8" x14ac:dyDescent="0.2">
      <c r="A4347" t="s">
        <v>7</v>
      </c>
      <c r="B4347" t="s">
        <v>22</v>
      </c>
      <c r="C4347" t="str">
        <f t="shared" si="136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35"/>
        <v>-18</v>
      </c>
    </row>
    <row r="4348" spans="1:8" x14ac:dyDescent="0.2">
      <c r="A4348" t="s">
        <v>7</v>
      </c>
      <c r="B4348" t="s">
        <v>22</v>
      </c>
      <c r="C4348" t="str">
        <f t="shared" si="136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35"/>
        <v>-18</v>
      </c>
    </row>
    <row r="4349" spans="1:8" x14ac:dyDescent="0.2">
      <c r="A4349" t="s">
        <v>7</v>
      </c>
      <c r="B4349" t="s">
        <v>22</v>
      </c>
      <c r="C4349" t="str">
        <f t="shared" si="136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35"/>
        <v>-18</v>
      </c>
    </row>
    <row r="4350" spans="1:8" x14ac:dyDescent="0.2">
      <c r="A4350" t="s">
        <v>7</v>
      </c>
      <c r="B4350" t="s">
        <v>22</v>
      </c>
      <c r="C4350" t="str">
        <f t="shared" si="136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35"/>
        <v>-18</v>
      </c>
    </row>
    <row r="4351" spans="1:8" x14ac:dyDescent="0.2">
      <c r="A4351" t="s">
        <v>7</v>
      </c>
      <c r="B4351" t="s">
        <v>22</v>
      </c>
      <c r="C4351" t="str">
        <f t="shared" si="136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35"/>
        <v>-19</v>
      </c>
    </row>
    <row r="4352" spans="1:8" x14ac:dyDescent="0.2">
      <c r="A4352" t="s">
        <v>7</v>
      </c>
      <c r="B4352" t="s">
        <v>22</v>
      </c>
      <c r="C4352" t="str">
        <f t="shared" si="136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35"/>
        <v>-19</v>
      </c>
    </row>
    <row r="4353" spans="1:8" x14ac:dyDescent="0.2">
      <c r="A4353" t="s">
        <v>7</v>
      </c>
      <c r="B4353" t="s">
        <v>22</v>
      </c>
      <c r="C4353" t="str">
        <f t="shared" si="136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35"/>
        <v>-19</v>
      </c>
    </row>
    <row r="4354" spans="1:8" x14ac:dyDescent="0.2">
      <c r="A4354" t="s">
        <v>7</v>
      </c>
      <c r="B4354" t="s">
        <v>22</v>
      </c>
      <c r="C4354" t="str">
        <f t="shared" si="136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35"/>
        <v>0</v>
      </c>
    </row>
    <row r="4355" spans="1:8" x14ac:dyDescent="0.2">
      <c r="A4355" t="s">
        <v>7</v>
      </c>
      <c r="B4355" t="s">
        <v>22</v>
      </c>
      <c r="C4355" t="str">
        <f t="shared" si="136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ref="H4355:H4418" si="137">F4355-G4355</f>
        <v>-19</v>
      </c>
    </row>
    <row r="4356" spans="1:8" x14ac:dyDescent="0.2">
      <c r="A4356" t="s">
        <v>7</v>
      </c>
      <c r="B4356" t="s">
        <v>22</v>
      </c>
      <c r="C4356" t="str">
        <f t="shared" ref="C4356:C4419" si="138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si="137"/>
        <v>-19</v>
      </c>
    </row>
    <row r="4357" spans="1:8" x14ac:dyDescent="0.2">
      <c r="A4357" t="s">
        <v>19</v>
      </c>
      <c r="B4357" t="s">
        <v>22</v>
      </c>
      <c r="C4357" t="str">
        <f t="shared" si="138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37"/>
        <v>-20</v>
      </c>
    </row>
    <row r="4358" spans="1:8" x14ac:dyDescent="0.2">
      <c r="A4358" t="s">
        <v>19</v>
      </c>
      <c r="B4358" t="s">
        <v>22</v>
      </c>
      <c r="C4358" t="str">
        <f t="shared" si="138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37"/>
        <v>-20</v>
      </c>
    </row>
    <row r="4359" spans="1:8" x14ac:dyDescent="0.2">
      <c r="A4359" t="s">
        <v>18</v>
      </c>
      <c r="B4359" t="s">
        <v>22</v>
      </c>
      <c r="C4359" t="str">
        <f t="shared" si="138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37"/>
        <v>-20</v>
      </c>
    </row>
    <row r="4360" spans="1:8" x14ac:dyDescent="0.2">
      <c r="A4360" t="s">
        <v>18</v>
      </c>
      <c r="B4360" t="s">
        <v>22</v>
      </c>
      <c r="C4360" t="str">
        <f t="shared" si="138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37"/>
        <v>-20</v>
      </c>
    </row>
    <row r="4361" spans="1:8" x14ac:dyDescent="0.2">
      <c r="A4361" t="s">
        <v>18</v>
      </c>
      <c r="B4361" t="s">
        <v>22</v>
      </c>
      <c r="C4361" t="str">
        <f t="shared" si="138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37"/>
        <v>-20</v>
      </c>
    </row>
    <row r="4362" spans="1:8" x14ac:dyDescent="0.2">
      <c r="A4362" t="s">
        <v>18</v>
      </c>
      <c r="B4362" t="s">
        <v>22</v>
      </c>
      <c r="C4362" t="str">
        <f t="shared" si="138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37"/>
        <v>-20</v>
      </c>
    </row>
    <row r="4363" spans="1:8" x14ac:dyDescent="0.2">
      <c r="A4363" t="s">
        <v>18</v>
      </c>
      <c r="B4363" t="s">
        <v>22</v>
      </c>
      <c r="C4363" t="str">
        <f t="shared" si="138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37"/>
        <v>-20</v>
      </c>
    </row>
    <row r="4364" spans="1:8" x14ac:dyDescent="0.2">
      <c r="A4364" t="s">
        <v>18</v>
      </c>
      <c r="B4364" t="s">
        <v>22</v>
      </c>
      <c r="C4364" t="str">
        <f t="shared" si="138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37"/>
        <v>-20</v>
      </c>
    </row>
    <row r="4365" spans="1:8" x14ac:dyDescent="0.2">
      <c r="A4365" t="s">
        <v>18</v>
      </c>
      <c r="B4365" t="s">
        <v>22</v>
      </c>
      <c r="C4365" t="str">
        <f t="shared" si="138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37"/>
        <v>-20</v>
      </c>
    </row>
    <row r="4366" spans="1:8" x14ac:dyDescent="0.2">
      <c r="A4366" t="s">
        <v>18</v>
      </c>
      <c r="B4366" t="s">
        <v>22</v>
      </c>
      <c r="C4366" t="str">
        <f t="shared" si="138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37"/>
        <v>-20</v>
      </c>
    </row>
    <row r="4367" spans="1:8" x14ac:dyDescent="0.2">
      <c r="A4367" t="s">
        <v>18</v>
      </c>
      <c r="B4367" t="s">
        <v>22</v>
      </c>
      <c r="C4367" t="str">
        <f t="shared" si="138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37"/>
        <v>-20</v>
      </c>
    </row>
    <row r="4368" spans="1:8" x14ac:dyDescent="0.2">
      <c r="A4368" t="s">
        <v>18</v>
      </c>
      <c r="B4368" t="s">
        <v>22</v>
      </c>
      <c r="C4368" t="str">
        <f t="shared" si="138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37"/>
        <v>-20</v>
      </c>
    </row>
    <row r="4369" spans="1:8" x14ac:dyDescent="0.2">
      <c r="A4369" t="s">
        <v>18</v>
      </c>
      <c r="B4369" t="s">
        <v>22</v>
      </c>
      <c r="C4369" t="str">
        <f t="shared" si="138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37"/>
        <v>-20</v>
      </c>
    </row>
    <row r="4370" spans="1:8" x14ac:dyDescent="0.2">
      <c r="A4370" t="s">
        <v>18</v>
      </c>
      <c r="B4370" t="s">
        <v>22</v>
      </c>
      <c r="C4370" t="str">
        <f t="shared" si="138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37"/>
        <v>-20</v>
      </c>
    </row>
    <row r="4371" spans="1:8" x14ac:dyDescent="0.2">
      <c r="A4371" t="s">
        <v>18</v>
      </c>
      <c r="B4371" t="s">
        <v>22</v>
      </c>
      <c r="C4371" t="str">
        <f t="shared" si="138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37"/>
        <v>-20</v>
      </c>
    </row>
    <row r="4372" spans="1:8" x14ac:dyDescent="0.2">
      <c r="A4372" t="s">
        <v>18</v>
      </c>
      <c r="B4372" t="s">
        <v>22</v>
      </c>
      <c r="C4372" t="str">
        <f t="shared" si="138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37"/>
        <v>-20</v>
      </c>
    </row>
    <row r="4373" spans="1:8" x14ac:dyDescent="0.2">
      <c r="A4373" t="s">
        <v>18</v>
      </c>
      <c r="B4373" t="s">
        <v>22</v>
      </c>
      <c r="C4373" t="str">
        <f t="shared" si="138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37"/>
        <v>-20</v>
      </c>
    </row>
    <row r="4374" spans="1:8" x14ac:dyDescent="0.2">
      <c r="A4374" t="s">
        <v>18</v>
      </c>
      <c r="B4374" t="s">
        <v>22</v>
      </c>
      <c r="C4374" t="str">
        <f t="shared" si="138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37"/>
        <v>-20</v>
      </c>
    </row>
    <row r="4375" spans="1:8" x14ac:dyDescent="0.2">
      <c r="A4375" t="s">
        <v>18</v>
      </c>
      <c r="B4375" t="s">
        <v>22</v>
      </c>
      <c r="C4375" t="str">
        <f t="shared" si="138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37"/>
        <v>-20</v>
      </c>
    </row>
    <row r="4376" spans="1:8" x14ac:dyDescent="0.2">
      <c r="A4376" t="s">
        <v>18</v>
      </c>
      <c r="B4376" t="s">
        <v>22</v>
      </c>
      <c r="C4376" t="str">
        <f t="shared" si="138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37"/>
        <v>0</v>
      </c>
    </row>
    <row r="4377" spans="1:8" x14ac:dyDescent="0.2">
      <c r="A4377" t="s">
        <v>18</v>
      </c>
      <c r="B4377" t="s">
        <v>22</v>
      </c>
      <c r="C4377" t="str">
        <f t="shared" si="138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37"/>
        <v>-20</v>
      </c>
    </row>
    <row r="4378" spans="1:8" x14ac:dyDescent="0.2">
      <c r="A4378" t="s">
        <v>7</v>
      </c>
      <c r="B4378" t="s">
        <v>22</v>
      </c>
      <c r="C4378" t="str">
        <f t="shared" si="138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37"/>
        <v>-20</v>
      </c>
    </row>
    <row r="4379" spans="1:8" x14ac:dyDescent="0.2">
      <c r="A4379" t="s">
        <v>7</v>
      </c>
      <c r="B4379" t="s">
        <v>22</v>
      </c>
      <c r="C4379" t="str">
        <f t="shared" si="138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37"/>
        <v>-20</v>
      </c>
    </row>
    <row r="4380" spans="1:8" x14ac:dyDescent="0.2">
      <c r="A4380" t="s">
        <v>19</v>
      </c>
      <c r="B4380" t="s">
        <v>22</v>
      </c>
      <c r="C4380" t="str">
        <f t="shared" si="138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37"/>
        <v>-20</v>
      </c>
    </row>
    <row r="4381" spans="1:8" x14ac:dyDescent="0.2">
      <c r="A4381" t="s">
        <v>19</v>
      </c>
      <c r="B4381" t="s">
        <v>22</v>
      </c>
      <c r="C4381" t="str">
        <f t="shared" si="138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37"/>
        <v>-20</v>
      </c>
    </row>
    <row r="4382" spans="1:8" x14ac:dyDescent="0.2">
      <c r="A4382" t="s">
        <v>7</v>
      </c>
      <c r="B4382" t="s">
        <v>22</v>
      </c>
      <c r="C4382" t="str">
        <f t="shared" si="138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 t="shared" si="137"/>
        <v>9</v>
      </c>
    </row>
    <row r="4383" spans="1:8" x14ac:dyDescent="0.2">
      <c r="A4383" t="s">
        <v>7</v>
      </c>
      <c r="B4383" t="s">
        <v>22</v>
      </c>
      <c r="C4383" t="str">
        <f t="shared" si="138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si="137"/>
        <v>6</v>
      </c>
    </row>
    <row r="4384" spans="1:8" x14ac:dyDescent="0.2">
      <c r="A4384" t="s">
        <v>7</v>
      </c>
      <c r="B4384" t="s">
        <v>22</v>
      </c>
      <c r="C4384" t="str">
        <f t="shared" si="138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37"/>
        <v>6</v>
      </c>
    </row>
    <row r="4385" spans="1:8" x14ac:dyDescent="0.2">
      <c r="A4385" t="s">
        <v>7</v>
      </c>
      <c r="B4385" t="s">
        <v>22</v>
      </c>
      <c r="C4385" t="str">
        <f t="shared" si="138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37"/>
        <v>6</v>
      </c>
    </row>
    <row r="4386" spans="1:8" x14ac:dyDescent="0.2">
      <c r="A4386" t="s">
        <v>7</v>
      </c>
      <c r="B4386" t="s">
        <v>22</v>
      </c>
      <c r="C4386" t="str">
        <f t="shared" si="138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37"/>
        <v>6</v>
      </c>
    </row>
    <row r="4387" spans="1:8" x14ac:dyDescent="0.2">
      <c r="A4387" t="s">
        <v>7</v>
      </c>
      <c r="B4387" t="s">
        <v>22</v>
      </c>
      <c r="C4387" t="str">
        <f t="shared" si="138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37"/>
        <v>5</v>
      </c>
    </row>
    <row r="4388" spans="1:8" x14ac:dyDescent="0.2">
      <c r="A4388" t="s">
        <v>7</v>
      </c>
      <c r="B4388" t="s">
        <v>22</v>
      </c>
      <c r="C4388" t="str">
        <f t="shared" si="138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37"/>
        <v>5</v>
      </c>
    </row>
    <row r="4389" spans="1:8" x14ac:dyDescent="0.2">
      <c r="A4389" t="s">
        <v>7</v>
      </c>
      <c r="B4389" t="s">
        <v>22</v>
      </c>
      <c r="C4389" t="str">
        <f t="shared" si="138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37"/>
        <v>5</v>
      </c>
    </row>
    <row r="4390" spans="1:8" x14ac:dyDescent="0.2">
      <c r="A4390" t="s">
        <v>7</v>
      </c>
      <c r="B4390" t="s">
        <v>22</v>
      </c>
      <c r="C4390" t="str">
        <f t="shared" si="138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37"/>
        <v>5</v>
      </c>
    </row>
    <row r="4391" spans="1:8" x14ac:dyDescent="0.2">
      <c r="A4391" t="s">
        <v>7</v>
      </c>
      <c r="B4391" t="s">
        <v>22</v>
      </c>
      <c r="C4391" t="str">
        <f t="shared" si="138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37"/>
        <v>5</v>
      </c>
    </row>
    <row r="4392" spans="1:8" x14ac:dyDescent="0.2">
      <c r="A4392" t="s">
        <v>7</v>
      </c>
      <c r="B4392" t="s">
        <v>22</v>
      </c>
      <c r="C4392" t="str">
        <f t="shared" si="138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37"/>
        <v>5</v>
      </c>
    </row>
    <row r="4393" spans="1:8" x14ac:dyDescent="0.2">
      <c r="A4393" t="s">
        <v>7</v>
      </c>
      <c r="B4393" t="s">
        <v>22</v>
      </c>
      <c r="C4393" t="str">
        <f t="shared" si="138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37"/>
        <v>5</v>
      </c>
    </row>
    <row r="4394" spans="1:8" x14ac:dyDescent="0.2">
      <c r="A4394" t="s">
        <v>7</v>
      </c>
      <c r="B4394" t="s">
        <v>22</v>
      </c>
      <c r="C4394" t="str">
        <f t="shared" si="138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37"/>
        <v>5</v>
      </c>
    </row>
    <row r="4395" spans="1:8" x14ac:dyDescent="0.2">
      <c r="A4395" t="s">
        <v>7</v>
      </c>
      <c r="B4395" t="s">
        <v>22</v>
      </c>
      <c r="C4395" t="str">
        <f t="shared" si="138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37"/>
        <v>5</v>
      </c>
    </row>
    <row r="4396" spans="1:8" x14ac:dyDescent="0.2">
      <c r="A4396" t="s">
        <v>7</v>
      </c>
      <c r="B4396" t="s">
        <v>22</v>
      </c>
      <c r="C4396" t="str">
        <f t="shared" si="138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37"/>
        <v>4</v>
      </c>
    </row>
    <row r="4397" spans="1:8" x14ac:dyDescent="0.2">
      <c r="A4397" t="s">
        <v>7</v>
      </c>
      <c r="B4397" t="s">
        <v>22</v>
      </c>
      <c r="C4397" t="str">
        <f t="shared" si="138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37"/>
        <v>4</v>
      </c>
    </row>
    <row r="4398" spans="1:8" x14ac:dyDescent="0.2">
      <c r="A4398" t="s">
        <v>7</v>
      </c>
      <c r="B4398" t="s">
        <v>22</v>
      </c>
      <c r="C4398" t="str">
        <f t="shared" si="138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37"/>
        <v>4</v>
      </c>
    </row>
    <row r="4399" spans="1:8" x14ac:dyDescent="0.2">
      <c r="A4399" t="s">
        <v>7</v>
      </c>
      <c r="B4399" t="s">
        <v>22</v>
      </c>
      <c r="C4399" t="str">
        <f t="shared" si="138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37"/>
        <v>4</v>
      </c>
    </row>
    <row r="4400" spans="1:8" x14ac:dyDescent="0.2">
      <c r="A4400" t="s">
        <v>7</v>
      </c>
      <c r="B4400" t="s">
        <v>22</v>
      </c>
      <c r="C4400" t="str">
        <f t="shared" si="138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37"/>
        <v>4</v>
      </c>
    </row>
    <row r="4401" spans="1:8" x14ac:dyDescent="0.2">
      <c r="A4401" t="s">
        <v>7</v>
      </c>
      <c r="B4401" t="s">
        <v>22</v>
      </c>
      <c r="C4401" t="str">
        <f t="shared" si="138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37"/>
        <v>4</v>
      </c>
    </row>
    <row r="4402" spans="1:8" x14ac:dyDescent="0.2">
      <c r="A4402" t="s">
        <v>7</v>
      </c>
      <c r="B4402" t="s">
        <v>22</v>
      </c>
      <c r="C4402" t="str">
        <f t="shared" si="138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37"/>
        <v>4</v>
      </c>
    </row>
    <row r="4403" spans="1:8" x14ac:dyDescent="0.2">
      <c r="A4403" t="s">
        <v>7</v>
      </c>
      <c r="B4403" t="s">
        <v>22</v>
      </c>
      <c r="C4403" t="str">
        <f t="shared" si="138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37"/>
        <v>4</v>
      </c>
    </row>
    <row r="4404" spans="1:8" x14ac:dyDescent="0.2">
      <c r="A4404" t="s">
        <v>7</v>
      </c>
      <c r="B4404" t="s">
        <v>22</v>
      </c>
      <c r="C4404" t="str">
        <f t="shared" si="138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37"/>
        <v>4</v>
      </c>
    </row>
    <row r="4405" spans="1:8" x14ac:dyDescent="0.2">
      <c r="A4405" t="s">
        <v>7</v>
      </c>
      <c r="B4405" t="s">
        <v>22</v>
      </c>
      <c r="C4405" t="str">
        <f t="shared" si="138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37"/>
        <v>3</v>
      </c>
    </row>
    <row r="4406" spans="1:8" x14ac:dyDescent="0.2">
      <c r="A4406" t="s">
        <v>7</v>
      </c>
      <c r="B4406" t="s">
        <v>22</v>
      </c>
      <c r="C4406" t="str">
        <f t="shared" si="138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37"/>
        <v>3</v>
      </c>
    </row>
    <row r="4407" spans="1:8" x14ac:dyDescent="0.2">
      <c r="A4407" t="s">
        <v>7</v>
      </c>
      <c r="B4407" t="s">
        <v>22</v>
      </c>
      <c r="C4407" t="str">
        <f t="shared" si="138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37"/>
        <v>3</v>
      </c>
    </row>
    <row r="4408" spans="1:8" x14ac:dyDescent="0.2">
      <c r="A4408" t="s">
        <v>7</v>
      </c>
      <c r="B4408" t="s">
        <v>22</v>
      </c>
      <c r="C4408" t="str">
        <f t="shared" si="138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37"/>
        <v>3</v>
      </c>
    </row>
    <row r="4409" spans="1:8" x14ac:dyDescent="0.2">
      <c r="A4409" t="s">
        <v>7</v>
      </c>
      <c r="B4409" t="s">
        <v>22</v>
      </c>
      <c r="C4409" t="str">
        <f t="shared" si="138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37"/>
        <v>3</v>
      </c>
    </row>
    <row r="4410" spans="1:8" x14ac:dyDescent="0.2">
      <c r="A4410" t="s">
        <v>7</v>
      </c>
      <c r="B4410" t="s">
        <v>22</v>
      </c>
      <c r="C4410" t="str">
        <f t="shared" si="138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37"/>
        <v>3</v>
      </c>
    </row>
    <row r="4411" spans="1:8" x14ac:dyDescent="0.2">
      <c r="A4411" t="s">
        <v>7</v>
      </c>
      <c r="B4411" t="s">
        <v>22</v>
      </c>
      <c r="C4411" t="str">
        <f t="shared" si="138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37"/>
        <v>3</v>
      </c>
    </row>
    <row r="4412" spans="1:8" x14ac:dyDescent="0.2">
      <c r="A4412" t="s">
        <v>7</v>
      </c>
      <c r="B4412" t="s">
        <v>22</v>
      </c>
      <c r="C4412" t="str">
        <f t="shared" si="138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37"/>
        <v>3</v>
      </c>
    </row>
    <row r="4413" spans="1:8" x14ac:dyDescent="0.2">
      <c r="A4413" t="s">
        <v>7</v>
      </c>
      <c r="B4413" t="s">
        <v>22</v>
      </c>
      <c r="C4413" t="str">
        <f t="shared" si="138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37"/>
        <v>3</v>
      </c>
    </row>
    <row r="4414" spans="1:8" x14ac:dyDescent="0.2">
      <c r="A4414" t="s">
        <v>7</v>
      </c>
      <c r="B4414" t="s">
        <v>22</v>
      </c>
      <c r="C4414" t="str">
        <f t="shared" si="138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37"/>
        <v>3</v>
      </c>
    </row>
    <row r="4415" spans="1:8" x14ac:dyDescent="0.2">
      <c r="A4415" t="s">
        <v>7</v>
      </c>
      <c r="B4415" t="s">
        <v>22</v>
      </c>
      <c r="C4415" t="str">
        <f t="shared" si="138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37"/>
        <v>3</v>
      </c>
    </row>
    <row r="4416" spans="1:8" x14ac:dyDescent="0.2">
      <c r="A4416" t="s">
        <v>7</v>
      </c>
      <c r="B4416" t="s">
        <v>22</v>
      </c>
      <c r="C4416" t="str">
        <f t="shared" si="138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37"/>
        <v>3</v>
      </c>
    </row>
    <row r="4417" spans="1:8" x14ac:dyDescent="0.2">
      <c r="A4417" t="s">
        <v>7</v>
      </c>
      <c r="B4417" t="s">
        <v>22</v>
      </c>
      <c r="C4417" t="str">
        <f t="shared" si="138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37"/>
        <v>3</v>
      </c>
    </row>
    <row r="4418" spans="1:8" x14ac:dyDescent="0.2">
      <c r="A4418" t="s">
        <v>7</v>
      </c>
      <c r="B4418" t="s">
        <v>22</v>
      </c>
      <c r="C4418" t="str">
        <f t="shared" si="138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37"/>
        <v>3</v>
      </c>
    </row>
    <row r="4419" spans="1:8" x14ac:dyDescent="0.2">
      <c r="A4419" t="s">
        <v>7</v>
      </c>
      <c r="B4419" t="s">
        <v>22</v>
      </c>
      <c r="C4419" t="str">
        <f t="shared" si="138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ref="H4419:H4482" si="139">F4419-G4419</f>
        <v>3</v>
      </c>
    </row>
    <row r="4420" spans="1:8" x14ac:dyDescent="0.2">
      <c r="A4420" t="s">
        <v>7</v>
      </c>
      <c r="B4420" t="s">
        <v>22</v>
      </c>
      <c r="C4420" t="str">
        <f t="shared" ref="C4420:C4483" si="140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39"/>
        <v>3</v>
      </c>
    </row>
    <row r="4421" spans="1:8" x14ac:dyDescent="0.2">
      <c r="A4421" t="s">
        <v>7</v>
      </c>
      <c r="B4421" t="s">
        <v>22</v>
      </c>
      <c r="C4421" t="str">
        <f t="shared" si="140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39"/>
        <v>2</v>
      </c>
    </row>
    <row r="4422" spans="1:8" x14ac:dyDescent="0.2">
      <c r="A4422" t="s">
        <v>7</v>
      </c>
      <c r="B4422" t="s">
        <v>22</v>
      </c>
      <c r="C4422" t="str">
        <f t="shared" si="140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39"/>
        <v>2</v>
      </c>
    </row>
    <row r="4423" spans="1:8" x14ac:dyDescent="0.2">
      <c r="A4423" t="s">
        <v>7</v>
      </c>
      <c r="B4423" t="s">
        <v>22</v>
      </c>
      <c r="C4423" t="str">
        <f t="shared" si="140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39"/>
        <v>2</v>
      </c>
    </row>
    <row r="4424" spans="1:8" x14ac:dyDescent="0.2">
      <c r="A4424" t="s">
        <v>7</v>
      </c>
      <c r="B4424" t="s">
        <v>22</v>
      </c>
      <c r="C4424" t="str">
        <f t="shared" si="140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39"/>
        <v>2</v>
      </c>
    </row>
    <row r="4425" spans="1:8" x14ac:dyDescent="0.2">
      <c r="A4425" t="s">
        <v>7</v>
      </c>
      <c r="B4425" t="s">
        <v>22</v>
      </c>
      <c r="C4425" t="str">
        <f t="shared" si="140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39"/>
        <v>2</v>
      </c>
    </row>
    <row r="4426" spans="1:8" x14ac:dyDescent="0.2">
      <c r="A4426" t="s">
        <v>7</v>
      </c>
      <c r="B4426" t="s">
        <v>22</v>
      </c>
      <c r="C4426" t="str">
        <f t="shared" si="140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39"/>
        <v>2</v>
      </c>
    </row>
    <row r="4427" spans="1:8" x14ac:dyDescent="0.2">
      <c r="A4427" t="s">
        <v>7</v>
      </c>
      <c r="B4427" t="s">
        <v>22</v>
      </c>
      <c r="C4427" t="str">
        <f t="shared" si="140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39"/>
        <v>2</v>
      </c>
    </row>
    <row r="4428" spans="1:8" x14ac:dyDescent="0.2">
      <c r="A4428" t="s">
        <v>7</v>
      </c>
      <c r="B4428" t="s">
        <v>22</v>
      </c>
      <c r="C4428" t="str">
        <f t="shared" si="140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39"/>
        <v>2</v>
      </c>
    </row>
    <row r="4429" spans="1:8" x14ac:dyDescent="0.2">
      <c r="A4429" t="s">
        <v>7</v>
      </c>
      <c r="B4429" t="s">
        <v>22</v>
      </c>
      <c r="C4429" t="str">
        <f t="shared" si="140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39"/>
        <v>2</v>
      </c>
    </row>
    <row r="4430" spans="1:8" x14ac:dyDescent="0.2">
      <c r="A4430" t="s">
        <v>7</v>
      </c>
      <c r="B4430" t="s">
        <v>22</v>
      </c>
      <c r="C4430" t="str">
        <f t="shared" si="140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39"/>
        <v>2</v>
      </c>
    </row>
    <row r="4431" spans="1:8" x14ac:dyDescent="0.2">
      <c r="A4431" t="s">
        <v>7</v>
      </c>
      <c r="B4431" t="s">
        <v>22</v>
      </c>
      <c r="C4431" t="str">
        <f t="shared" si="140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39"/>
        <v>2</v>
      </c>
    </row>
    <row r="4432" spans="1:8" x14ac:dyDescent="0.2">
      <c r="A4432" t="s">
        <v>7</v>
      </c>
      <c r="B4432" t="s">
        <v>22</v>
      </c>
      <c r="C4432" t="str">
        <f t="shared" si="140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39"/>
        <v>2</v>
      </c>
    </row>
    <row r="4433" spans="1:8" x14ac:dyDescent="0.2">
      <c r="A4433" t="s">
        <v>7</v>
      </c>
      <c r="B4433" t="s">
        <v>22</v>
      </c>
      <c r="C4433" t="str">
        <f t="shared" si="140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39"/>
        <v>2</v>
      </c>
    </row>
    <row r="4434" spans="1:8" x14ac:dyDescent="0.2">
      <c r="A4434" t="s">
        <v>7</v>
      </c>
      <c r="B4434" t="s">
        <v>22</v>
      </c>
      <c r="C4434" t="str">
        <f t="shared" si="140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39"/>
        <v>2</v>
      </c>
    </row>
    <row r="4435" spans="1:8" x14ac:dyDescent="0.2">
      <c r="A4435" t="s">
        <v>7</v>
      </c>
      <c r="B4435" t="s">
        <v>22</v>
      </c>
      <c r="C4435" t="str">
        <f t="shared" si="140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39"/>
        <v>2</v>
      </c>
    </row>
    <row r="4436" spans="1:8" x14ac:dyDescent="0.2">
      <c r="A4436" t="s">
        <v>7</v>
      </c>
      <c r="B4436" t="s">
        <v>22</v>
      </c>
      <c r="C4436" t="str">
        <f t="shared" si="140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39"/>
        <v>2</v>
      </c>
    </row>
    <row r="4437" spans="1:8" x14ac:dyDescent="0.2">
      <c r="A4437" t="s">
        <v>7</v>
      </c>
      <c r="B4437" t="s">
        <v>22</v>
      </c>
      <c r="C4437" t="str">
        <f t="shared" si="140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39"/>
        <v>2</v>
      </c>
    </row>
    <row r="4438" spans="1:8" x14ac:dyDescent="0.2">
      <c r="A4438" t="s">
        <v>7</v>
      </c>
      <c r="B4438" t="s">
        <v>22</v>
      </c>
      <c r="C4438" t="str">
        <f t="shared" si="140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39"/>
        <v>2</v>
      </c>
    </row>
    <row r="4439" spans="1:8" x14ac:dyDescent="0.2">
      <c r="A4439" t="s">
        <v>7</v>
      </c>
      <c r="B4439" t="s">
        <v>22</v>
      </c>
      <c r="C4439" t="str">
        <f t="shared" si="140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39"/>
        <v>2</v>
      </c>
    </row>
    <row r="4440" spans="1:8" x14ac:dyDescent="0.2">
      <c r="A4440" t="s">
        <v>7</v>
      </c>
      <c r="B4440" t="s">
        <v>22</v>
      </c>
      <c r="C4440" t="str">
        <f t="shared" si="140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39"/>
        <v>2</v>
      </c>
    </row>
    <row r="4441" spans="1:8" x14ac:dyDescent="0.2">
      <c r="A4441" t="s">
        <v>7</v>
      </c>
      <c r="B4441" t="s">
        <v>22</v>
      </c>
      <c r="C4441" t="str">
        <f t="shared" si="140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39"/>
        <v>2</v>
      </c>
    </row>
    <row r="4442" spans="1:8" x14ac:dyDescent="0.2">
      <c r="A4442" t="s">
        <v>7</v>
      </c>
      <c r="B4442" t="s">
        <v>22</v>
      </c>
      <c r="C4442" t="str">
        <f t="shared" si="140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39"/>
        <v>2</v>
      </c>
    </row>
    <row r="4443" spans="1:8" x14ac:dyDescent="0.2">
      <c r="A4443" t="s">
        <v>7</v>
      </c>
      <c r="B4443" t="s">
        <v>22</v>
      </c>
      <c r="C4443" t="str">
        <f t="shared" si="140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39"/>
        <v>2</v>
      </c>
    </row>
    <row r="4444" spans="1:8" x14ac:dyDescent="0.2">
      <c r="A4444" t="s">
        <v>7</v>
      </c>
      <c r="B4444" t="s">
        <v>22</v>
      </c>
      <c r="C4444" t="str">
        <f t="shared" si="140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39"/>
        <v>2</v>
      </c>
    </row>
    <row r="4445" spans="1:8" x14ac:dyDescent="0.2">
      <c r="A4445" t="s">
        <v>7</v>
      </c>
      <c r="B4445" t="s">
        <v>22</v>
      </c>
      <c r="C4445" t="str">
        <f t="shared" si="140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39"/>
        <v>2</v>
      </c>
    </row>
    <row r="4446" spans="1:8" x14ac:dyDescent="0.2">
      <c r="A4446" t="s">
        <v>7</v>
      </c>
      <c r="B4446" t="s">
        <v>22</v>
      </c>
      <c r="C4446" t="str">
        <f t="shared" si="140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39"/>
        <v>2</v>
      </c>
    </row>
    <row r="4447" spans="1:8" x14ac:dyDescent="0.2">
      <c r="A4447" t="s">
        <v>7</v>
      </c>
      <c r="B4447" t="s">
        <v>22</v>
      </c>
      <c r="C4447" t="str">
        <f t="shared" si="140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si="139"/>
        <v>1</v>
      </c>
    </row>
    <row r="4448" spans="1:8" x14ac:dyDescent="0.2">
      <c r="A4448" t="s">
        <v>7</v>
      </c>
      <c r="B4448" t="s">
        <v>22</v>
      </c>
      <c r="C4448" t="str">
        <f t="shared" si="140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39"/>
        <v>1</v>
      </c>
    </row>
    <row r="4449" spans="1:8" x14ac:dyDescent="0.2">
      <c r="A4449" t="s">
        <v>7</v>
      </c>
      <c r="B4449" t="s">
        <v>22</v>
      </c>
      <c r="C4449" t="str">
        <f t="shared" si="140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39"/>
        <v>1</v>
      </c>
    </row>
    <row r="4450" spans="1:8" x14ac:dyDescent="0.2">
      <c r="A4450" t="s">
        <v>7</v>
      </c>
      <c r="B4450" t="s">
        <v>22</v>
      </c>
      <c r="C4450" t="str">
        <f t="shared" si="140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39"/>
        <v>1</v>
      </c>
    </row>
    <row r="4451" spans="1:8" x14ac:dyDescent="0.2">
      <c r="A4451" t="s">
        <v>7</v>
      </c>
      <c r="B4451" t="s">
        <v>22</v>
      </c>
      <c r="C4451" t="str">
        <f t="shared" si="140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39"/>
        <v>1</v>
      </c>
    </row>
    <row r="4452" spans="1:8" x14ac:dyDescent="0.2">
      <c r="A4452" t="s">
        <v>7</v>
      </c>
      <c r="B4452" t="s">
        <v>22</v>
      </c>
      <c r="C4452" t="str">
        <f t="shared" si="140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39"/>
        <v>1</v>
      </c>
    </row>
    <row r="4453" spans="1:8" x14ac:dyDescent="0.2">
      <c r="A4453" t="s">
        <v>7</v>
      </c>
      <c r="B4453" t="s">
        <v>22</v>
      </c>
      <c r="C4453" t="str">
        <f t="shared" si="140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39"/>
        <v>1</v>
      </c>
    </row>
    <row r="4454" spans="1:8" x14ac:dyDescent="0.2">
      <c r="A4454" t="s">
        <v>7</v>
      </c>
      <c r="B4454" t="s">
        <v>22</v>
      </c>
      <c r="C4454" t="str">
        <f t="shared" si="140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39"/>
        <v>1</v>
      </c>
    </row>
    <row r="4455" spans="1:8" x14ac:dyDescent="0.2">
      <c r="A4455" t="s">
        <v>7</v>
      </c>
      <c r="B4455" t="s">
        <v>22</v>
      </c>
      <c r="C4455" t="str">
        <f t="shared" si="140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39"/>
        <v>1</v>
      </c>
    </row>
    <row r="4456" spans="1:8" x14ac:dyDescent="0.2">
      <c r="A4456" t="s">
        <v>7</v>
      </c>
      <c r="B4456" t="s">
        <v>22</v>
      </c>
      <c r="C4456" t="str">
        <f t="shared" si="140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39"/>
        <v>1</v>
      </c>
    </row>
    <row r="4457" spans="1:8" x14ac:dyDescent="0.2">
      <c r="A4457" t="s">
        <v>7</v>
      </c>
      <c r="B4457" t="s">
        <v>22</v>
      </c>
      <c r="C4457" t="str">
        <f t="shared" si="140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39"/>
        <v>1</v>
      </c>
    </row>
    <row r="4458" spans="1:8" x14ac:dyDescent="0.2">
      <c r="A4458" t="s">
        <v>7</v>
      </c>
      <c r="B4458" t="s">
        <v>22</v>
      </c>
      <c r="C4458" t="str">
        <f t="shared" si="140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39"/>
        <v>1</v>
      </c>
    </row>
    <row r="4459" spans="1:8" x14ac:dyDescent="0.2">
      <c r="A4459" t="s">
        <v>7</v>
      </c>
      <c r="B4459" t="s">
        <v>22</v>
      </c>
      <c r="C4459" t="str">
        <f t="shared" si="140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39"/>
        <v>1</v>
      </c>
    </row>
    <row r="4460" spans="1:8" x14ac:dyDescent="0.2">
      <c r="A4460" t="s">
        <v>7</v>
      </c>
      <c r="B4460" t="s">
        <v>22</v>
      </c>
      <c r="C4460" t="str">
        <f t="shared" si="140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39"/>
        <v>1</v>
      </c>
    </row>
    <row r="4461" spans="1:8" x14ac:dyDescent="0.2">
      <c r="A4461" t="s">
        <v>7</v>
      </c>
      <c r="B4461" t="s">
        <v>22</v>
      </c>
      <c r="C4461" t="str">
        <f t="shared" si="140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39"/>
        <v>1</v>
      </c>
    </row>
    <row r="4462" spans="1:8" x14ac:dyDescent="0.2">
      <c r="A4462" t="s">
        <v>7</v>
      </c>
      <c r="B4462" t="s">
        <v>22</v>
      </c>
      <c r="C4462" t="str">
        <f t="shared" si="140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39"/>
        <v>1</v>
      </c>
    </row>
    <row r="4463" spans="1:8" x14ac:dyDescent="0.2">
      <c r="A4463" t="s">
        <v>7</v>
      </c>
      <c r="B4463" t="s">
        <v>22</v>
      </c>
      <c r="C4463" t="str">
        <f t="shared" si="140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39"/>
        <v>1</v>
      </c>
    </row>
    <row r="4464" spans="1:8" x14ac:dyDescent="0.2">
      <c r="A4464" t="s">
        <v>7</v>
      </c>
      <c r="B4464" t="s">
        <v>22</v>
      </c>
      <c r="C4464" t="str">
        <f t="shared" si="140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39"/>
        <v>1</v>
      </c>
    </row>
    <row r="4465" spans="1:8" x14ac:dyDescent="0.2">
      <c r="A4465" t="s">
        <v>7</v>
      </c>
      <c r="B4465" t="s">
        <v>22</v>
      </c>
      <c r="C4465" t="str">
        <f t="shared" si="140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39"/>
        <v>1</v>
      </c>
    </row>
    <row r="4466" spans="1:8" x14ac:dyDescent="0.2">
      <c r="A4466" t="s">
        <v>7</v>
      </c>
      <c r="B4466" t="s">
        <v>22</v>
      </c>
      <c r="C4466" t="str">
        <f t="shared" si="140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39"/>
        <v>1</v>
      </c>
    </row>
    <row r="4467" spans="1:8" x14ac:dyDescent="0.2">
      <c r="A4467" t="s">
        <v>7</v>
      </c>
      <c r="B4467" t="s">
        <v>22</v>
      </c>
      <c r="C4467" t="str">
        <f t="shared" si="140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39"/>
        <v>1</v>
      </c>
    </row>
    <row r="4468" spans="1:8" x14ac:dyDescent="0.2">
      <c r="A4468" t="s">
        <v>7</v>
      </c>
      <c r="B4468" t="s">
        <v>22</v>
      </c>
      <c r="C4468" t="str">
        <f t="shared" si="140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39"/>
        <v>1</v>
      </c>
    </row>
    <row r="4469" spans="1:8" x14ac:dyDescent="0.2">
      <c r="A4469" t="s">
        <v>7</v>
      </c>
      <c r="B4469" t="s">
        <v>22</v>
      </c>
      <c r="C4469" t="str">
        <f t="shared" si="140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39"/>
        <v>1</v>
      </c>
    </row>
    <row r="4470" spans="1:8" x14ac:dyDescent="0.2">
      <c r="A4470" t="s">
        <v>7</v>
      </c>
      <c r="B4470" t="s">
        <v>22</v>
      </c>
      <c r="C4470" t="str">
        <f t="shared" si="140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39"/>
        <v>1</v>
      </c>
    </row>
    <row r="4471" spans="1:8" x14ac:dyDescent="0.2">
      <c r="A4471" t="s">
        <v>7</v>
      </c>
      <c r="B4471" t="s">
        <v>22</v>
      </c>
      <c r="C4471" t="str">
        <f t="shared" si="140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39"/>
        <v>0</v>
      </c>
    </row>
    <row r="4472" spans="1:8" x14ac:dyDescent="0.2">
      <c r="A4472" t="s">
        <v>7</v>
      </c>
      <c r="B4472" t="s">
        <v>22</v>
      </c>
      <c r="C4472" t="str">
        <f t="shared" si="140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39"/>
        <v>0</v>
      </c>
    </row>
    <row r="4473" spans="1:8" x14ac:dyDescent="0.2">
      <c r="A4473" t="s">
        <v>7</v>
      </c>
      <c r="B4473" t="s">
        <v>22</v>
      </c>
      <c r="C4473" t="str">
        <f t="shared" si="140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39"/>
        <v>0</v>
      </c>
    </row>
    <row r="4474" spans="1:8" x14ac:dyDescent="0.2">
      <c r="A4474" t="s">
        <v>7</v>
      </c>
      <c r="B4474" t="s">
        <v>22</v>
      </c>
      <c r="C4474" t="str">
        <f t="shared" si="140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39"/>
        <v>0</v>
      </c>
    </row>
    <row r="4475" spans="1:8" x14ac:dyDescent="0.2">
      <c r="A4475" t="s">
        <v>7</v>
      </c>
      <c r="B4475" t="s">
        <v>22</v>
      </c>
      <c r="C4475" t="str">
        <f t="shared" si="140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39"/>
        <v>0</v>
      </c>
    </row>
    <row r="4476" spans="1:8" x14ac:dyDescent="0.2">
      <c r="A4476" t="s">
        <v>7</v>
      </c>
      <c r="B4476" t="s">
        <v>22</v>
      </c>
      <c r="C4476" t="str">
        <f t="shared" si="140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39"/>
        <v>0</v>
      </c>
    </row>
    <row r="4477" spans="1:8" x14ac:dyDescent="0.2">
      <c r="A4477" t="s">
        <v>7</v>
      </c>
      <c r="B4477" t="s">
        <v>22</v>
      </c>
      <c r="C4477" t="str">
        <f t="shared" si="140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39"/>
        <v>0</v>
      </c>
    </row>
    <row r="4478" spans="1:8" x14ac:dyDescent="0.2">
      <c r="A4478" t="s">
        <v>7</v>
      </c>
      <c r="B4478" t="s">
        <v>22</v>
      </c>
      <c r="C4478" t="str">
        <f t="shared" si="140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39"/>
        <v>0</v>
      </c>
    </row>
    <row r="4479" spans="1:8" x14ac:dyDescent="0.2">
      <c r="A4479" t="s">
        <v>7</v>
      </c>
      <c r="B4479" t="s">
        <v>22</v>
      </c>
      <c r="C4479" t="str">
        <f t="shared" si="140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39"/>
        <v>0</v>
      </c>
    </row>
    <row r="4480" spans="1:8" x14ac:dyDescent="0.2">
      <c r="A4480" t="s">
        <v>7</v>
      </c>
      <c r="B4480" t="s">
        <v>22</v>
      </c>
      <c r="C4480" t="str">
        <f t="shared" si="140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39"/>
        <v>0</v>
      </c>
    </row>
    <row r="4481" spans="1:8" x14ac:dyDescent="0.2">
      <c r="A4481" t="s">
        <v>7</v>
      </c>
      <c r="B4481" t="s">
        <v>22</v>
      </c>
      <c r="C4481" t="str">
        <f t="shared" si="140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39"/>
        <v>0</v>
      </c>
    </row>
    <row r="4482" spans="1:8" x14ac:dyDescent="0.2">
      <c r="A4482" t="s">
        <v>7</v>
      </c>
      <c r="B4482" t="s">
        <v>22</v>
      </c>
      <c r="C4482" t="str">
        <f t="shared" si="140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39"/>
        <v>0</v>
      </c>
    </row>
    <row r="4483" spans="1:8" x14ac:dyDescent="0.2">
      <c r="A4483" t="s">
        <v>7</v>
      </c>
      <c r="B4483" t="s">
        <v>22</v>
      </c>
      <c r="C4483" t="str">
        <f t="shared" si="140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ref="H4483:H4546" si="141">F4483-G4483</f>
        <v>0</v>
      </c>
    </row>
    <row r="4484" spans="1:8" x14ac:dyDescent="0.2">
      <c r="A4484" t="s">
        <v>7</v>
      </c>
      <c r="B4484" t="s">
        <v>22</v>
      </c>
      <c r="C4484" t="str">
        <f t="shared" ref="C4484:C4547" si="142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1"/>
        <v>0</v>
      </c>
    </row>
    <row r="4485" spans="1:8" x14ac:dyDescent="0.2">
      <c r="A4485" t="s">
        <v>7</v>
      </c>
      <c r="B4485" t="s">
        <v>22</v>
      </c>
      <c r="C4485" t="str">
        <f t="shared" si="142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1"/>
        <v>0</v>
      </c>
    </row>
    <row r="4486" spans="1:8" x14ac:dyDescent="0.2">
      <c r="A4486" t="s">
        <v>7</v>
      </c>
      <c r="B4486" t="s">
        <v>22</v>
      </c>
      <c r="C4486" t="str">
        <f t="shared" si="142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1"/>
        <v>0</v>
      </c>
    </row>
    <row r="4487" spans="1:8" x14ac:dyDescent="0.2">
      <c r="A4487" t="s">
        <v>7</v>
      </c>
      <c r="B4487" t="s">
        <v>22</v>
      </c>
      <c r="C4487" t="str">
        <f t="shared" si="142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1"/>
        <v>0</v>
      </c>
    </row>
    <row r="4488" spans="1:8" x14ac:dyDescent="0.2">
      <c r="A4488" t="s">
        <v>7</v>
      </c>
      <c r="B4488" t="s">
        <v>22</v>
      </c>
      <c r="C4488" t="str">
        <f t="shared" si="142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1"/>
        <v>0</v>
      </c>
    </row>
    <row r="4489" spans="1:8" x14ac:dyDescent="0.2">
      <c r="A4489" t="s">
        <v>7</v>
      </c>
      <c r="B4489" t="s">
        <v>22</v>
      </c>
      <c r="C4489" t="str">
        <f t="shared" si="142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1"/>
        <v>0</v>
      </c>
    </row>
    <row r="4490" spans="1:8" x14ac:dyDescent="0.2">
      <c r="A4490" t="s">
        <v>7</v>
      </c>
      <c r="B4490" t="s">
        <v>22</v>
      </c>
      <c r="C4490" t="str">
        <f t="shared" si="142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1"/>
        <v>0</v>
      </c>
    </row>
    <row r="4491" spans="1:8" x14ac:dyDescent="0.2">
      <c r="A4491" t="s">
        <v>7</v>
      </c>
      <c r="B4491" t="s">
        <v>22</v>
      </c>
      <c r="C4491" t="str">
        <f t="shared" si="142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1"/>
        <v>0</v>
      </c>
    </row>
    <row r="4492" spans="1:8" x14ac:dyDescent="0.2">
      <c r="A4492" t="s">
        <v>7</v>
      </c>
      <c r="B4492" t="s">
        <v>22</v>
      </c>
      <c r="C4492" t="str">
        <f t="shared" si="142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1"/>
        <v>0</v>
      </c>
    </row>
    <row r="4493" spans="1:8" x14ac:dyDescent="0.2">
      <c r="A4493" t="s">
        <v>7</v>
      </c>
      <c r="B4493" t="s">
        <v>22</v>
      </c>
      <c r="C4493" t="str">
        <f t="shared" si="142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1"/>
        <v>0</v>
      </c>
    </row>
    <row r="4494" spans="1:8" x14ac:dyDescent="0.2">
      <c r="A4494" t="s">
        <v>7</v>
      </c>
      <c r="B4494" t="s">
        <v>22</v>
      </c>
      <c r="C4494" t="str">
        <f t="shared" si="142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1"/>
        <v>0</v>
      </c>
    </row>
    <row r="4495" spans="1:8" x14ac:dyDescent="0.2">
      <c r="A4495" t="s">
        <v>7</v>
      </c>
      <c r="B4495" t="s">
        <v>22</v>
      </c>
      <c r="C4495" t="str">
        <f t="shared" si="142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1"/>
        <v>0</v>
      </c>
    </row>
    <row r="4496" spans="1:8" x14ac:dyDescent="0.2">
      <c r="A4496" t="s">
        <v>7</v>
      </c>
      <c r="B4496" t="s">
        <v>22</v>
      </c>
      <c r="C4496" t="str">
        <f t="shared" si="142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1"/>
        <v>0</v>
      </c>
    </row>
    <row r="4497" spans="1:8" x14ac:dyDescent="0.2">
      <c r="A4497" t="s">
        <v>7</v>
      </c>
      <c r="B4497" t="s">
        <v>22</v>
      </c>
      <c r="C4497" t="str">
        <f t="shared" si="142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1"/>
        <v>0</v>
      </c>
    </row>
    <row r="4498" spans="1:8" x14ac:dyDescent="0.2">
      <c r="A4498" t="s">
        <v>7</v>
      </c>
      <c r="B4498" t="s">
        <v>22</v>
      </c>
      <c r="C4498" t="str">
        <f t="shared" si="142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1"/>
        <v>0</v>
      </c>
    </row>
    <row r="4499" spans="1:8" x14ac:dyDescent="0.2">
      <c r="A4499" t="s">
        <v>7</v>
      </c>
      <c r="B4499" t="s">
        <v>22</v>
      </c>
      <c r="C4499" t="str">
        <f t="shared" si="142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1"/>
        <v>0</v>
      </c>
    </row>
    <row r="4500" spans="1:8" x14ac:dyDescent="0.2">
      <c r="A4500" t="s">
        <v>7</v>
      </c>
      <c r="B4500" t="s">
        <v>22</v>
      </c>
      <c r="C4500" t="str">
        <f t="shared" si="142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1"/>
        <v>0</v>
      </c>
    </row>
    <row r="4501" spans="1:8" x14ac:dyDescent="0.2">
      <c r="A4501" t="s">
        <v>7</v>
      </c>
      <c r="B4501" t="s">
        <v>22</v>
      </c>
      <c r="C4501" t="str">
        <f t="shared" si="142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1"/>
        <v>0</v>
      </c>
    </row>
    <row r="4502" spans="1:8" x14ac:dyDescent="0.2">
      <c r="A4502" t="s">
        <v>7</v>
      </c>
      <c r="B4502" t="s">
        <v>22</v>
      </c>
      <c r="C4502" t="str">
        <f t="shared" si="142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1"/>
        <v>0</v>
      </c>
    </row>
    <row r="4503" spans="1:8" x14ac:dyDescent="0.2">
      <c r="A4503" t="s">
        <v>7</v>
      </c>
      <c r="B4503" t="s">
        <v>22</v>
      </c>
      <c r="C4503" t="str">
        <f t="shared" si="142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1"/>
        <v>0</v>
      </c>
    </row>
    <row r="4504" spans="1:8" x14ac:dyDescent="0.2">
      <c r="A4504" t="s">
        <v>7</v>
      </c>
      <c r="B4504" t="s">
        <v>22</v>
      </c>
      <c r="C4504" t="str">
        <f t="shared" si="142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1"/>
        <v>-1</v>
      </c>
    </row>
    <row r="4505" spans="1:8" x14ac:dyDescent="0.2">
      <c r="A4505" t="s">
        <v>7</v>
      </c>
      <c r="B4505" t="s">
        <v>22</v>
      </c>
      <c r="C4505" t="str">
        <f t="shared" si="142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1"/>
        <v>-1</v>
      </c>
    </row>
    <row r="4506" spans="1:8" x14ac:dyDescent="0.2">
      <c r="A4506" t="s">
        <v>7</v>
      </c>
      <c r="B4506" t="s">
        <v>22</v>
      </c>
      <c r="C4506" t="str">
        <f t="shared" si="142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1"/>
        <v>-1</v>
      </c>
    </row>
    <row r="4507" spans="1:8" x14ac:dyDescent="0.2">
      <c r="A4507" t="s">
        <v>7</v>
      </c>
      <c r="B4507" t="s">
        <v>22</v>
      </c>
      <c r="C4507" t="str">
        <f t="shared" si="142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1"/>
        <v>-1</v>
      </c>
    </row>
    <row r="4508" spans="1:8" x14ac:dyDescent="0.2">
      <c r="A4508" t="s">
        <v>7</v>
      </c>
      <c r="B4508" t="s">
        <v>22</v>
      </c>
      <c r="C4508" t="str">
        <f t="shared" si="142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1"/>
        <v>-1</v>
      </c>
    </row>
    <row r="4509" spans="1:8" x14ac:dyDescent="0.2">
      <c r="A4509" t="s">
        <v>7</v>
      </c>
      <c r="B4509" t="s">
        <v>22</v>
      </c>
      <c r="C4509" t="str">
        <f t="shared" si="142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1"/>
        <v>0</v>
      </c>
    </row>
    <row r="4510" spans="1:8" x14ac:dyDescent="0.2">
      <c r="A4510" t="s">
        <v>7</v>
      </c>
      <c r="B4510" t="s">
        <v>22</v>
      </c>
      <c r="C4510" t="str">
        <f t="shared" si="142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1"/>
        <v>-1</v>
      </c>
    </row>
    <row r="4511" spans="1:8" x14ac:dyDescent="0.2">
      <c r="A4511" t="s">
        <v>7</v>
      </c>
      <c r="B4511" t="s">
        <v>22</v>
      </c>
      <c r="C4511" t="str">
        <f t="shared" si="142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si="141"/>
        <v>0</v>
      </c>
    </row>
    <row r="4512" spans="1:8" x14ac:dyDescent="0.2">
      <c r="A4512" t="s">
        <v>7</v>
      </c>
      <c r="B4512" t="s">
        <v>22</v>
      </c>
      <c r="C4512" t="str">
        <f t="shared" si="142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1"/>
        <v>-1</v>
      </c>
    </row>
    <row r="4513" spans="1:8" x14ac:dyDescent="0.2">
      <c r="A4513" t="s">
        <v>7</v>
      </c>
      <c r="B4513" t="s">
        <v>22</v>
      </c>
      <c r="C4513" t="str">
        <f t="shared" si="142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1"/>
        <v>-1</v>
      </c>
    </row>
    <row r="4514" spans="1:8" x14ac:dyDescent="0.2">
      <c r="A4514" t="s">
        <v>7</v>
      </c>
      <c r="B4514" t="s">
        <v>22</v>
      </c>
      <c r="C4514" t="str">
        <f t="shared" si="142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1"/>
        <v>0</v>
      </c>
    </row>
    <row r="4515" spans="1:8" x14ac:dyDescent="0.2">
      <c r="A4515" t="s">
        <v>7</v>
      </c>
      <c r="B4515" t="s">
        <v>22</v>
      </c>
      <c r="C4515" t="str">
        <f t="shared" si="142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1"/>
        <v>-1</v>
      </c>
    </row>
    <row r="4516" spans="1:8" x14ac:dyDescent="0.2">
      <c r="A4516" t="s">
        <v>7</v>
      </c>
      <c r="B4516" t="s">
        <v>22</v>
      </c>
      <c r="C4516" t="str">
        <f t="shared" si="142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1"/>
        <v>-1</v>
      </c>
    </row>
    <row r="4517" spans="1:8" x14ac:dyDescent="0.2">
      <c r="A4517" t="s">
        <v>7</v>
      </c>
      <c r="B4517" t="s">
        <v>22</v>
      </c>
      <c r="C4517" t="str">
        <f t="shared" si="142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1"/>
        <v>-1</v>
      </c>
    </row>
    <row r="4518" spans="1:8" x14ac:dyDescent="0.2">
      <c r="A4518" t="s">
        <v>7</v>
      </c>
      <c r="B4518" t="s">
        <v>22</v>
      </c>
      <c r="C4518" t="str">
        <f t="shared" si="142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1"/>
        <v>-1</v>
      </c>
    </row>
    <row r="4519" spans="1:8" x14ac:dyDescent="0.2">
      <c r="A4519" t="s">
        <v>7</v>
      </c>
      <c r="B4519" t="s">
        <v>22</v>
      </c>
      <c r="C4519" t="str">
        <f t="shared" si="142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1"/>
        <v>0</v>
      </c>
    </row>
    <row r="4520" spans="1:8" x14ac:dyDescent="0.2">
      <c r="A4520" t="s">
        <v>7</v>
      </c>
      <c r="B4520" t="s">
        <v>22</v>
      </c>
      <c r="C4520" t="str">
        <f t="shared" si="142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1"/>
        <v>-1</v>
      </c>
    </row>
    <row r="4521" spans="1:8" x14ac:dyDescent="0.2">
      <c r="A4521" t="s">
        <v>7</v>
      </c>
      <c r="B4521" t="s">
        <v>22</v>
      </c>
      <c r="C4521" t="str">
        <f t="shared" si="142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1"/>
        <v>0</v>
      </c>
    </row>
    <row r="4522" spans="1:8" x14ac:dyDescent="0.2">
      <c r="A4522" t="s">
        <v>7</v>
      </c>
      <c r="B4522" t="s">
        <v>22</v>
      </c>
      <c r="C4522" t="str">
        <f t="shared" si="142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1"/>
        <v>-1</v>
      </c>
    </row>
    <row r="4523" spans="1:8" x14ac:dyDescent="0.2">
      <c r="A4523" t="s">
        <v>7</v>
      </c>
      <c r="B4523" t="s">
        <v>22</v>
      </c>
      <c r="C4523" t="str">
        <f t="shared" si="142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1"/>
        <v>0</v>
      </c>
    </row>
    <row r="4524" spans="1:8" x14ac:dyDescent="0.2">
      <c r="A4524" t="s">
        <v>7</v>
      </c>
      <c r="B4524" t="s">
        <v>22</v>
      </c>
      <c r="C4524" t="str">
        <f t="shared" si="142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1"/>
        <v>-1</v>
      </c>
    </row>
    <row r="4525" spans="1:8" x14ac:dyDescent="0.2">
      <c r="A4525" t="s">
        <v>7</v>
      </c>
      <c r="B4525" t="s">
        <v>22</v>
      </c>
      <c r="C4525" t="str">
        <f t="shared" si="142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1"/>
        <v>-1</v>
      </c>
    </row>
    <row r="4526" spans="1:8" x14ac:dyDescent="0.2">
      <c r="A4526" t="s">
        <v>7</v>
      </c>
      <c r="B4526" t="s">
        <v>22</v>
      </c>
      <c r="C4526" t="str">
        <f t="shared" si="142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1"/>
        <v>-1</v>
      </c>
    </row>
    <row r="4527" spans="1:8" x14ac:dyDescent="0.2">
      <c r="A4527" t="s">
        <v>7</v>
      </c>
      <c r="B4527" t="s">
        <v>22</v>
      </c>
      <c r="C4527" t="str">
        <f t="shared" si="142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1"/>
        <v>0</v>
      </c>
    </row>
    <row r="4528" spans="1:8" x14ac:dyDescent="0.2">
      <c r="A4528" t="s">
        <v>7</v>
      </c>
      <c r="B4528" t="s">
        <v>22</v>
      </c>
      <c r="C4528" t="str">
        <f t="shared" si="142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1"/>
        <v>0</v>
      </c>
    </row>
    <row r="4529" spans="1:8" x14ac:dyDescent="0.2">
      <c r="A4529" t="s">
        <v>7</v>
      </c>
      <c r="B4529" t="s">
        <v>22</v>
      </c>
      <c r="C4529" t="str">
        <f t="shared" si="142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1"/>
        <v>0</v>
      </c>
    </row>
    <row r="4530" spans="1:8" x14ac:dyDescent="0.2">
      <c r="A4530" t="s">
        <v>7</v>
      </c>
      <c r="B4530" t="s">
        <v>22</v>
      </c>
      <c r="C4530" t="str">
        <f t="shared" si="142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1"/>
        <v>0</v>
      </c>
    </row>
    <row r="4531" spans="1:8" x14ac:dyDescent="0.2">
      <c r="A4531" t="s">
        <v>7</v>
      </c>
      <c r="B4531" t="s">
        <v>22</v>
      </c>
      <c r="C4531" t="str">
        <f t="shared" si="142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1"/>
        <v>-1</v>
      </c>
    </row>
    <row r="4532" spans="1:8" x14ac:dyDescent="0.2">
      <c r="A4532" t="s">
        <v>7</v>
      </c>
      <c r="B4532" t="s">
        <v>22</v>
      </c>
      <c r="C4532" t="str">
        <f t="shared" si="142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1"/>
        <v>-1</v>
      </c>
    </row>
    <row r="4533" spans="1:8" x14ac:dyDescent="0.2">
      <c r="A4533" t="s">
        <v>7</v>
      </c>
      <c r="B4533" t="s">
        <v>22</v>
      </c>
      <c r="C4533" t="str">
        <f t="shared" si="142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1"/>
        <v>-2</v>
      </c>
    </row>
    <row r="4534" spans="1:8" x14ac:dyDescent="0.2">
      <c r="A4534" t="s">
        <v>7</v>
      </c>
      <c r="B4534" t="s">
        <v>22</v>
      </c>
      <c r="C4534" t="str">
        <f t="shared" si="142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1"/>
        <v>-2</v>
      </c>
    </row>
    <row r="4535" spans="1:8" x14ac:dyDescent="0.2">
      <c r="A4535" t="s">
        <v>7</v>
      </c>
      <c r="B4535" t="s">
        <v>22</v>
      </c>
      <c r="C4535" t="str">
        <f t="shared" si="142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1"/>
        <v>-2</v>
      </c>
    </row>
    <row r="4536" spans="1:8" x14ac:dyDescent="0.2">
      <c r="A4536" t="s">
        <v>7</v>
      </c>
      <c r="B4536" t="s">
        <v>22</v>
      </c>
      <c r="C4536" t="str">
        <f t="shared" si="142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1"/>
        <v>-2</v>
      </c>
    </row>
    <row r="4537" spans="1:8" x14ac:dyDescent="0.2">
      <c r="A4537" t="s">
        <v>7</v>
      </c>
      <c r="B4537" t="s">
        <v>22</v>
      </c>
      <c r="C4537" t="str">
        <f t="shared" si="142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1"/>
        <v>0</v>
      </c>
    </row>
    <row r="4538" spans="1:8" x14ac:dyDescent="0.2">
      <c r="A4538" t="s">
        <v>7</v>
      </c>
      <c r="B4538" t="s">
        <v>22</v>
      </c>
      <c r="C4538" t="str">
        <f t="shared" si="142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1"/>
        <v>-2</v>
      </c>
    </row>
    <row r="4539" spans="1:8" x14ac:dyDescent="0.2">
      <c r="A4539" t="s">
        <v>7</v>
      </c>
      <c r="B4539" t="s">
        <v>22</v>
      </c>
      <c r="C4539" t="str">
        <f t="shared" si="142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1"/>
        <v>-2</v>
      </c>
    </row>
    <row r="4540" spans="1:8" x14ac:dyDescent="0.2">
      <c r="A4540" t="s">
        <v>7</v>
      </c>
      <c r="B4540" t="s">
        <v>22</v>
      </c>
      <c r="C4540" t="str">
        <f t="shared" si="142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1"/>
        <v>-2</v>
      </c>
    </row>
    <row r="4541" spans="1:8" x14ac:dyDescent="0.2">
      <c r="A4541" t="s">
        <v>7</v>
      </c>
      <c r="B4541" t="s">
        <v>22</v>
      </c>
      <c r="C4541" t="str">
        <f t="shared" si="142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1"/>
        <v>-2</v>
      </c>
    </row>
    <row r="4542" spans="1:8" x14ac:dyDescent="0.2">
      <c r="A4542" t="s">
        <v>7</v>
      </c>
      <c r="B4542" t="s">
        <v>22</v>
      </c>
      <c r="C4542" t="str">
        <f t="shared" si="142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1"/>
        <v>-2</v>
      </c>
    </row>
    <row r="4543" spans="1:8" x14ac:dyDescent="0.2">
      <c r="A4543" t="s">
        <v>7</v>
      </c>
      <c r="B4543" t="s">
        <v>22</v>
      </c>
      <c r="C4543" t="str">
        <f t="shared" si="142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1"/>
        <v>0</v>
      </c>
    </row>
    <row r="4544" spans="1:8" x14ac:dyDescent="0.2">
      <c r="A4544" t="s">
        <v>7</v>
      </c>
      <c r="B4544" t="s">
        <v>22</v>
      </c>
      <c r="C4544" t="str">
        <f t="shared" si="142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1"/>
        <v>-2</v>
      </c>
    </row>
    <row r="4545" spans="1:8" x14ac:dyDescent="0.2">
      <c r="A4545" t="s">
        <v>7</v>
      </c>
      <c r="B4545" t="s">
        <v>22</v>
      </c>
      <c r="C4545" t="str">
        <f t="shared" si="142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1"/>
        <v>-2</v>
      </c>
    </row>
    <row r="4546" spans="1:8" x14ac:dyDescent="0.2">
      <c r="A4546" t="s">
        <v>7</v>
      </c>
      <c r="B4546" t="s">
        <v>22</v>
      </c>
      <c r="C4546" t="str">
        <f t="shared" si="142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1"/>
        <v>-2</v>
      </c>
    </row>
    <row r="4547" spans="1:8" x14ac:dyDescent="0.2">
      <c r="A4547" t="s">
        <v>7</v>
      </c>
      <c r="B4547" t="s">
        <v>22</v>
      </c>
      <c r="C4547" t="str">
        <f t="shared" si="142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ref="H4547:H4610" si="143">F4547-G4547</f>
        <v>-2</v>
      </c>
    </row>
    <row r="4548" spans="1:8" x14ac:dyDescent="0.2">
      <c r="A4548" t="s">
        <v>7</v>
      </c>
      <c r="B4548" t="s">
        <v>22</v>
      </c>
      <c r="C4548" t="str">
        <f t="shared" ref="C4548:C4611" si="144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3"/>
        <v>-2</v>
      </c>
    </row>
    <row r="4549" spans="1:8" x14ac:dyDescent="0.2">
      <c r="A4549" t="s">
        <v>7</v>
      </c>
      <c r="B4549" t="s">
        <v>22</v>
      </c>
      <c r="C4549" t="str">
        <f t="shared" si="144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3"/>
        <v>-2</v>
      </c>
    </row>
    <row r="4550" spans="1:8" x14ac:dyDescent="0.2">
      <c r="A4550" t="s">
        <v>7</v>
      </c>
      <c r="B4550" t="s">
        <v>22</v>
      </c>
      <c r="C4550" t="str">
        <f t="shared" si="144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3"/>
        <v>-2</v>
      </c>
    </row>
    <row r="4551" spans="1:8" x14ac:dyDescent="0.2">
      <c r="A4551" t="s">
        <v>7</v>
      </c>
      <c r="B4551" t="s">
        <v>22</v>
      </c>
      <c r="C4551" t="str">
        <f t="shared" si="144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3"/>
        <v>-2</v>
      </c>
    </row>
    <row r="4552" spans="1:8" x14ac:dyDescent="0.2">
      <c r="A4552" t="s">
        <v>7</v>
      </c>
      <c r="B4552" t="s">
        <v>22</v>
      </c>
      <c r="C4552" t="str">
        <f t="shared" si="144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3"/>
        <v>0</v>
      </c>
    </row>
    <row r="4553" spans="1:8" x14ac:dyDescent="0.2">
      <c r="A4553" t="s">
        <v>7</v>
      </c>
      <c r="B4553" t="s">
        <v>22</v>
      </c>
      <c r="C4553" t="str">
        <f t="shared" si="144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3"/>
        <v>0</v>
      </c>
    </row>
    <row r="4554" spans="1:8" x14ac:dyDescent="0.2">
      <c r="A4554" t="s">
        <v>7</v>
      </c>
      <c r="B4554" t="s">
        <v>22</v>
      </c>
      <c r="C4554" t="str">
        <f t="shared" si="144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3"/>
        <v>-2</v>
      </c>
    </row>
    <row r="4555" spans="1:8" x14ac:dyDescent="0.2">
      <c r="A4555" t="s">
        <v>7</v>
      </c>
      <c r="B4555" t="s">
        <v>22</v>
      </c>
      <c r="C4555" t="str">
        <f t="shared" si="144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3"/>
        <v>-2</v>
      </c>
    </row>
    <row r="4556" spans="1:8" x14ac:dyDescent="0.2">
      <c r="A4556" t="s">
        <v>7</v>
      </c>
      <c r="B4556" t="s">
        <v>22</v>
      </c>
      <c r="C4556" t="str">
        <f t="shared" si="144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3"/>
        <v>-2</v>
      </c>
    </row>
    <row r="4557" spans="1:8" x14ac:dyDescent="0.2">
      <c r="A4557" t="s">
        <v>7</v>
      </c>
      <c r="B4557" t="s">
        <v>22</v>
      </c>
      <c r="C4557" t="str">
        <f t="shared" si="144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3"/>
        <v>-2</v>
      </c>
    </row>
    <row r="4558" spans="1:8" x14ac:dyDescent="0.2">
      <c r="A4558" t="s">
        <v>7</v>
      </c>
      <c r="B4558" t="s">
        <v>22</v>
      </c>
      <c r="C4558" t="str">
        <f t="shared" si="144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3"/>
        <v>0</v>
      </c>
    </row>
    <row r="4559" spans="1:8" x14ac:dyDescent="0.2">
      <c r="A4559" t="s">
        <v>7</v>
      </c>
      <c r="B4559" t="s">
        <v>22</v>
      </c>
      <c r="C4559" t="str">
        <f t="shared" si="144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3"/>
        <v>-2</v>
      </c>
    </row>
    <row r="4560" spans="1:8" x14ac:dyDescent="0.2">
      <c r="A4560" t="s">
        <v>7</v>
      </c>
      <c r="B4560" t="s">
        <v>22</v>
      </c>
      <c r="C4560" t="str">
        <f t="shared" si="144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3"/>
        <v>-2</v>
      </c>
    </row>
    <row r="4561" spans="1:8" x14ac:dyDescent="0.2">
      <c r="A4561" t="s">
        <v>7</v>
      </c>
      <c r="B4561" t="s">
        <v>22</v>
      </c>
      <c r="C4561" t="str">
        <f t="shared" si="144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3"/>
        <v>-2</v>
      </c>
    </row>
    <row r="4562" spans="1:8" x14ac:dyDescent="0.2">
      <c r="A4562" t="s">
        <v>7</v>
      </c>
      <c r="B4562" t="s">
        <v>22</v>
      </c>
      <c r="C4562" t="str">
        <f t="shared" si="144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3"/>
        <v>-2</v>
      </c>
    </row>
    <row r="4563" spans="1:8" x14ac:dyDescent="0.2">
      <c r="A4563" t="s">
        <v>7</v>
      </c>
      <c r="B4563" t="s">
        <v>22</v>
      </c>
      <c r="C4563" t="str">
        <f t="shared" si="144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3"/>
        <v>-2</v>
      </c>
    </row>
    <row r="4564" spans="1:8" x14ac:dyDescent="0.2">
      <c r="A4564" t="s">
        <v>7</v>
      </c>
      <c r="B4564" t="s">
        <v>22</v>
      </c>
      <c r="C4564" t="str">
        <f t="shared" si="144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3"/>
        <v>-3</v>
      </c>
    </row>
    <row r="4565" spans="1:8" x14ac:dyDescent="0.2">
      <c r="A4565" t="s">
        <v>7</v>
      </c>
      <c r="B4565" t="s">
        <v>22</v>
      </c>
      <c r="C4565" t="str">
        <f t="shared" si="144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3"/>
        <v>-3</v>
      </c>
    </row>
    <row r="4566" spans="1:8" x14ac:dyDescent="0.2">
      <c r="A4566" t="s">
        <v>7</v>
      </c>
      <c r="B4566" t="s">
        <v>22</v>
      </c>
      <c r="C4566" t="str">
        <f t="shared" si="144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3"/>
        <v>0</v>
      </c>
    </row>
    <row r="4567" spans="1:8" x14ac:dyDescent="0.2">
      <c r="A4567" t="s">
        <v>7</v>
      </c>
      <c r="B4567" t="s">
        <v>22</v>
      </c>
      <c r="C4567" t="str">
        <f t="shared" si="144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3"/>
        <v>-3</v>
      </c>
    </row>
    <row r="4568" spans="1:8" x14ac:dyDescent="0.2">
      <c r="A4568" t="s">
        <v>7</v>
      </c>
      <c r="B4568" t="s">
        <v>22</v>
      </c>
      <c r="C4568" t="str">
        <f t="shared" si="144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3"/>
        <v>0</v>
      </c>
    </row>
    <row r="4569" spans="1:8" x14ac:dyDescent="0.2">
      <c r="A4569" t="s">
        <v>7</v>
      </c>
      <c r="B4569" t="s">
        <v>22</v>
      </c>
      <c r="C4569" t="str">
        <f t="shared" si="144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3"/>
        <v>-3</v>
      </c>
    </row>
    <row r="4570" spans="1:8" x14ac:dyDescent="0.2">
      <c r="A4570" t="s">
        <v>7</v>
      </c>
      <c r="B4570" t="s">
        <v>22</v>
      </c>
      <c r="C4570" t="str">
        <f t="shared" si="144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3"/>
        <v>-3</v>
      </c>
    </row>
    <row r="4571" spans="1:8" x14ac:dyDescent="0.2">
      <c r="A4571" t="s">
        <v>7</v>
      </c>
      <c r="B4571" t="s">
        <v>22</v>
      </c>
      <c r="C4571" t="str">
        <f t="shared" si="144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3"/>
        <v>-3</v>
      </c>
    </row>
    <row r="4572" spans="1:8" x14ac:dyDescent="0.2">
      <c r="A4572" t="s">
        <v>7</v>
      </c>
      <c r="B4572" t="s">
        <v>22</v>
      </c>
      <c r="C4572" t="str">
        <f t="shared" si="144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3"/>
        <v>-3</v>
      </c>
    </row>
    <row r="4573" spans="1:8" x14ac:dyDescent="0.2">
      <c r="A4573" t="s">
        <v>7</v>
      </c>
      <c r="B4573" t="s">
        <v>22</v>
      </c>
      <c r="C4573" t="str">
        <f t="shared" si="144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3"/>
        <v>-3</v>
      </c>
    </row>
    <row r="4574" spans="1:8" x14ac:dyDescent="0.2">
      <c r="A4574" t="s">
        <v>7</v>
      </c>
      <c r="B4574" t="s">
        <v>22</v>
      </c>
      <c r="C4574" t="str">
        <f t="shared" si="144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3"/>
        <v>-3</v>
      </c>
    </row>
    <row r="4575" spans="1:8" x14ac:dyDescent="0.2">
      <c r="A4575" t="s">
        <v>7</v>
      </c>
      <c r="B4575" t="s">
        <v>22</v>
      </c>
      <c r="C4575" t="str">
        <f t="shared" si="144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si="143"/>
        <v>-3</v>
      </c>
    </row>
    <row r="4576" spans="1:8" x14ac:dyDescent="0.2">
      <c r="A4576" t="s">
        <v>7</v>
      </c>
      <c r="B4576" t="s">
        <v>22</v>
      </c>
      <c r="C4576" t="str">
        <f t="shared" si="144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43"/>
        <v>-3</v>
      </c>
    </row>
    <row r="4577" spans="1:8" x14ac:dyDescent="0.2">
      <c r="A4577" t="s">
        <v>7</v>
      </c>
      <c r="B4577" t="s">
        <v>22</v>
      </c>
      <c r="C4577" t="str">
        <f t="shared" si="144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43"/>
        <v>-3</v>
      </c>
    </row>
    <row r="4578" spans="1:8" x14ac:dyDescent="0.2">
      <c r="A4578" t="s">
        <v>7</v>
      </c>
      <c r="B4578" t="s">
        <v>22</v>
      </c>
      <c r="C4578" t="str">
        <f t="shared" si="144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43"/>
        <v>-3</v>
      </c>
    </row>
    <row r="4579" spans="1:8" x14ac:dyDescent="0.2">
      <c r="A4579" t="s">
        <v>7</v>
      </c>
      <c r="B4579" t="s">
        <v>22</v>
      </c>
      <c r="C4579" t="str">
        <f t="shared" si="144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43"/>
        <v>-3</v>
      </c>
    </row>
    <row r="4580" spans="1:8" x14ac:dyDescent="0.2">
      <c r="A4580" t="s">
        <v>7</v>
      </c>
      <c r="B4580" t="s">
        <v>22</v>
      </c>
      <c r="C4580" t="str">
        <f t="shared" si="144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43"/>
        <v>-3</v>
      </c>
    </row>
    <row r="4581" spans="1:8" x14ac:dyDescent="0.2">
      <c r="A4581" t="s">
        <v>7</v>
      </c>
      <c r="B4581" t="s">
        <v>22</v>
      </c>
      <c r="C4581" t="str">
        <f t="shared" si="144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43"/>
        <v>-3</v>
      </c>
    </row>
    <row r="4582" spans="1:8" x14ac:dyDescent="0.2">
      <c r="A4582" t="s">
        <v>7</v>
      </c>
      <c r="B4582" t="s">
        <v>22</v>
      </c>
      <c r="C4582" t="str">
        <f t="shared" si="144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43"/>
        <v>-3</v>
      </c>
    </row>
    <row r="4583" spans="1:8" x14ac:dyDescent="0.2">
      <c r="A4583" t="s">
        <v>7</v>
      </c>
      <c r="B4583" t="s">
        <v>22</v>
      </c>
      <c r="C4583" t="str">
        <f t="shared" si="144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43"/>
        <v>-3</v>
      </c>
    </row>
    <row r="4584" spans="1:8" x14ac:dyDescent="0.2">
      <c r="A4584" t="s">
        <v>7</v>
      </c>
      <c r="B4584" t="s">
        <v>22</v>
      </c>
      <c r="C4584" t="str">
        <f t="shared" si="144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43"/>
        <v>-3</v>
      </c>
    </row>
    <row r="4585" spans="1:8" x14ac:dyDescent="0.2">
      <c r="A4585" t="s">
        <v>7</v>
      </c>
      <c r="B4585" t="s">
        <v>22</v>
      </c>
      <c r="C4585" t="str">
        <f t="shared" si="144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43"/>
        <v>-3</v>
      </c>
    </row>
    <row r="4586" spans="1:8" x14ac:dyDescent="0.2">
      <c r="A4586" t="s">
        <v>7</v>
      </c>
      <c r="B4586" t="s">
        <v>22</v>
      </c>
      <c r="C4586" t="str">
        <f t="shared" si="144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43"/>
        <v>0</v>
      </c>
    </row>
    <row r="4587" spans="1:8" x14ac:dyDescent="0.2">
      <c r="A4587" t="s">
        <v>7</v>
      </c>
      <c r="B4587" t="s">
        <v>22</v>
      </c>
      <c r="C4587" t="str">
        <f t="shared" si="144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43"/>
        <v>0</v>
      </c>
    </row>
    <row r="4588" spans="1:8" x14ac:dyDescent="0.2">
      <c r="A4588" t="s">
        <v>7</v>
      </c>
      <c r="B4588" t="s">
        <v>22</v>
      </c>
      <c r="C4588" t="str">
        <f t="shared" si="144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43"/>
        <v>0</v>
      </c>
    </row>
    <row r="4589" spans="1:8" x14ac:dyDescent="0.2">
      <c r="A4589" t="s">
        <v>7</v>
      </c>
      <c r="B4589" t="s">
        <v>22</v>
      </c>
      <c r="C4589" t="str">
        <f t="shared" si="144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43"/>
        <v>-3</v>
      </c>
    </row>
    <row r="4590" spans="1:8" x14ac:dyDescent="0.2">
      <c r="A4590" t="s">
        <v>7</v>
      </c>
      <c r="B4590" t="s">
        <v>22</v>
      </c>
      <c r="C4590" t="str">
        <f t="shared" si="144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43"/>
        <v>-3</v>
      </c>
    </row>
    <row r="4591" spans="1:8" x14ac:dyDescent="0.2">
      <c r="A4591" t="s">
        <v>7</v>
      </c>
      <c r="B4591" t="s">
        <v>22</v>
      </c>
      <c r="C4591" t="str">
        <f t="shared" si="144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43"/>
        <v>-3</v>
      </c>
    </row>
    <row r="4592" spans="1:8" x14ac:dyDescent="0.2">
      <c r="A4592" t="s">
        <v>7</v>
      </c>
      <c r="B4592" t="s">
        <v>22</v>
      </c>
      <c r="C4592" t="str">
        <f t="shared" si="144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43"/>
        <v>-3</v>
      </c>
    </row>
    <row r="4593" spans="1:8" x14ac:dyDescent="0.2">
      <c r="A4593" t="s">
        <v>7</v>
      </c>
      <c r="B4593" t="s">
        <v>22</v>
      </c>
      <c r="C4593" t="str">
        <f t="shared" si="144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43"/>
        <v>-3</v>
      </c>
    </row>
    <row r="4594" spans="1:8" x14ac:dyDescent="0.2">
      <c r="A4594" t="s">
        <v>7</v>
      </c>
      <c r="B4594" t="s">
        <v>22</v>
      </c>
      <c r="C4594" t="str">
        <f t="shared" si="144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43"/>
        <v>-3</v>
      </c>
    </row>
    <row r="4595" spans="1:8" x14ac:dyDescent="0.2">
      <c r="A4595" t="s">
        <v>7</v>
      </c>
      <c r="B4595" t="s">
        <v>22</v>
      </c>
      <c r="C4595" t="str">
        <f t="shared" si="144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43"/>
        <v>-3</v>
      </c>
    </row>
    <row r="4596" spans="1:8" x14ac:dyDescent="0.2">
      <c r="A4596" t="s">
        <v>7</v>
      </c>
      <c r="B4596" t="s">
        <v>22</v>
      </c>
      <c r="C4596" t="str">
        <f t="shared" si="144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43"/>
        <v>-3</v>
      </c>
    </row>
    <row r="4597" spans="1:8" x14ac:dyDescent="0.2">
      <c r="A4597" t="s">
        <v>7</v>
      </c>
      <c r="B4597" t="s">
        <v>22</v>
      </c>
      <c r="C4597" t="str">
        <f t="shared" si="144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43"/>
        <v>0</v>
      </c>
    </row>
    <row r="4598" spans="1:8" x14ac:dyDescent="0.2">
      <c r="A4598" t="s">
        <v>7</v>
      </c>
      <c r="B4598" t="s">
        <v>22</v>
      </c>
      <c r="C4598" t="str">
        <f t="shared" si="144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43"/>
        <v>-3</v>
      </c>
    </row>
    <row r="4599" spans="1:8" x14ac:dyDescent="0.2">
      <c r="A4599" t="s">
        <v>7</v>
      </c>
      <c r="B4599" t="s">
        <v>22</v>
      </c>
      <c r="C4599" t="str">
        <f t="shared" si="144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43"/>
        <v>-3</v>
      </c>
    </row>
    <row r="4600" spans="1:8" x14ac:dyDescent="0.2">
      <c r="A4600" t="s">
        <v>7</v>
      </c>
      <c r="B4600" t="s">
        <v>22</v>
      </c>
      <c r="C4600" t="str">
        <f t="shared" si="144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43"/>
        <v>-3</v>
      </c>
    </row>
    <row r="4601" spans="1:8" x14ac:dyDescent="0.2">
      <c r="A4601" t="s">
        <v>7</v>
      </c>
      <c r="B4601" t="s">
        <v>22</v>
      </c>
      <c r="C4601" t="str">
        <f t="shared" si="144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43"/>
        <v>-3</v>
      </c>
    </row>
    <row r="4602" spans="1:8" x14ac:dyDescent="0.2">
      <c r="A4602" t="s">
        <v>7</v>
      </c>
      <c r="B4602" t="s">
        <v>22</v>
      </c>
      <c r="C4602" t="str">
        <f t="shared" si="144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43"/>
        <v>-3</v>
      </c>
    </row>
    <row r="4603" spans="1:8" x14ac:dyDescent="0.2">
      <c r="A4603" t="s">
        <v>7</v>
      </c>
      <c r="B4603" t="s">
        <v>22</v>
      </c>
      <c r="C4603" t="str">
        <f t="shared" si="144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43"/>
        <v>-3</v>
      </c>
    </row>
    <row r="4604" spans="1:8" x14ac:dyDescent="0.2">
      <c r="A4604" t="s">
        <v>7</v>
      </c>
      <c r="B4604" t="s">
        <v>22</v>
      </c>
      <c r="C4604" t="str">
        <f t="shared" si="144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43"/>
        <v>0</v>
      </c>
    </row>
    <row r="4605" spans="1:8" x14ac:dyDescent="0.2">
      <c r="A4605" t="s">
        <v>7</v>
      </c>
      <c r="B4605" t="s">
        <v>22</v>
      </c>
      <c r="C4605" t="str">
        <f t="shared" si="144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43"/>
        <v>-4</v>
      </c>
    </row>
    <row r="4606" spans="1:8" x14ac:dyDescent="0.2">
      <c r="A4606" t="s">
        <v>7</v>
      </c>
      <c r="B4606" t="s">
        <v>22</v>
      </c>
      <c r="C4606" t="str">
        <f t="shared" si="144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43"/>
        <v>-4</v>
      </c>
    </row>
    <row r="4607" spans="1:8" x14ac:dyDescent="0.2">
      <c r="A4607" t="s">
        <v>7</v>
      </c>
      <c r="B4607" t="s">
        <v>22</v>
      </c>
      <c r="C4607" t="str">
        <f t="shared" si="144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43"/>
        <v>-4</v>
      </c>
    </row>
    <row r="4608" spans="1:8" x14ac:dyDescent="0.2">
      <c r="A4608" t="s">
        <v>7</v>
      </c>
      <c r="B4608" t="s">
        <v>22</v>
      </c>
      <c r="C4608" t="str">
        <f t="shared" si="144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43"/>
        <v>-4</v>
      </c>
    </row>
    <row r="4609" spans="1:8" x14ac:dyDescent="0.2">
      <c r="A4609" t="s">
        <v>7</v>
      </c>
      <c r="B4609" t="s">
        <v>22</v>
      </c>
      <c r="C4609" t="str">
        <f t="shared" si="144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43"/>
        <v>-4</v>
      </c>
    </row>
    <row r="4610" spans="1:8" x14ac:dyDescent="0.2">
      <c r="A4610" t="s">
        <v>7</v>
      </c>
      <c r="B4610" t="s">
        <v>22</v>
      </c>
      <c r="C4610" t="str">
        <f t="shared" si="144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43"/>
        <v>-4</v>
      </c>
    </row>
    <row r="4611" spans="1:8" x14ac:dyDescent="0.2">
      <c r="A4611" t="s">
        <v>7</v>
      </c>
      <c r="B4611" t="s">
        <v>22</v>
      </c>
      <c r="C4611" t="str">
        <f t="shared" si="144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ref="H4611:H4674" si="145">F4611-G4611</f>
        <v>-4</v>
      </c>
    </row>
    <row r="4612" spans="1:8" x14ac:dyDescent="0.2">
      <c r="A4612" t="s">
        <v>7</v>
      </c>
      <c r="B4612" t="s">
        <v>22</v>
      </c>
      <c r="C4612" t="str">
        <f t="shared" ref="C4612:C4675" si="146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45"/>
        <v>-4</v>
      </c>
    </row>
    <row r="4613" spans="1:8" x14ac:dyDescent="0.2">
      <c r="A4613" t="s">
        <v>7</v>
      </c>
      <c r="B4613" t="s">
        <v>22</v>
      </c>
      <c r="C4613" t="str">
        <f t="shared" si="146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45"/>
        <v>-4</v>
      </c>
    </row>
    <row r="4614" spans="1:8" x14ac:dyDescent="0.2">
      <c r="A4614" t="s">
        <v>7</v>
      </c>
      <c r="B4614" t="s">
        <v>22</v>
      </c>
      <c r="C4614" t="str">
        <f t="shared" si="146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45"/>
        <v>-4</v>
      </c>
    </row>
    <row r="4615" spans="1:8" x14ac:dyDescent="0.2">
      <c r="A4615" t="s">
        <v>7</v>
      </c>
      <c r="B4615" t="s">
        <v>22</v>
      </c>
      <c r="C4615" t="str">
        <f t="shared" si="146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45"/>
        <v>0</v>
      </c>
    </row>
    <row r="4616" spans="1:8" x14ac:dyDescent="0.2">
      <c r="A4616" t="s">
        <v>7</v>
      </c>
      <c r="B4616" t="s">
        <v>22</v>
      </c>
      <c r="C4616" t="str">
        <f t="shared" si="146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45"/>
        <v>-4</v>
      </c>
    </row>
    <row r="4617" spans="1:8" x14ac:dyDescent="0.2">
      <c r="A4617" t="s">
        <v>7</v>
      </c>
      <c r="B4617" t="s">
        <v>22</v>
      </c>
      <c r="C4617" t="str">
        <f t="shared" si="146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45"/>
        <v>-4</v>
      </c>
    </row>
    <row r="4618" spans="1:8" x14ac:dyDescent="0.2">
      <c r="A4618" t="s">
        <v>7</v>
      </c>
      <c r="B4618" t="s">
        <v>22</v>
      </c>
      <c r="C4618" t="str">
        <f t="shared" si="146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45"/>
        <v>-4</v>
      </c>
    </row>
    <row r="4619" spans="1:8" x14ac:dyDescent="0.2">
      <c r="A4619" t="s">
        <v>7</v>
      </c>
      <c r="B4619" t="s">
        <v>22</v>
      </c>
      <c r="C4619" t="str">
        <f t="shared" si="146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45"/>
        <v>-4</v>
      </c>
    </row>
    <row r="4620" spans="1:8" x14ac:dyDescent="0.2">
      <c r="A4620" t="s">
        <v>7</v>
      </c>
      <c r="B4620" t="s">
        <v>22</v>
      </c>
      <c r="C4620" t="str">
        <f t="shared" si="146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45"/>
        <v>-4</v>
      </c>
    </row>
    <row r="4621" spans="1:8" x14ac:dyDescent="0.2">
      <c r="A4621" t="s">
        <v>7</v>
      </c>
      <c r="B4621" t="s">
        <v>22</v>
      </c>
      <c r="C4621" t="str">
        <f t="shared" si="146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45"/>
        <v>-4</v>
      </c>
    </row>
    <row r="4622" spans="1:8" x14ac:dyDescent="0.2">
      <c r="A4622" t="s">
        <v>7</v>
      </c>
      <c r="B4622" t="s">
        <v>22</v>
      </c>
      <c r="C4622" t="str">
        <f t="shared" si="146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45"/>
        <v>-4</v>
      </c>
    </row>
    <row r="4623" spans="1:8" x14ac:dyDescent="0.2">
      <c r="A4623" t="s">
        <v>7</v>
      </c>
      <c r="B4623" t="s">
        <v>22</v>
      </c>
      <c r="C4623" t="str">
        <f t="shared" si="146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45"/>
        <v>-4</v>
      </c>
    </row>
    <row r="4624" spans="1:8" x14ac:dyDescent="0.2">
      <c r="A4624" t="s">
        <v>7</v>
      </c>
      <c r="B4624" t="s">
        <v>22</v>
      </c>
      <c r="C4624" t="str">
        <f t="shared" si="146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45"/>
        <v>-4</v>
      </c>
    </row>
    <row r="4625" spans="1:8" x14ac:dyDescent="0.2">
      <c r="A4625" t="s">
        <v>7</v>
      </c>
      <c r="B4625" t="s">
        <v>22</v>
      </c>
      <c r="C4625" t="str">
        <f t="shared" si="146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45"/>
        <v>-4</v>
      </c>
    </row>
    <row r="4626" spans="1:8" x14ac:dyDescent="0.2">
      <c r="A4626" t="s">
        <v>7</v>
      </c>
      <c r="B4626" t="s">
        <v>22</v>
      </c>
      <c r="C4626" t="str">
        <f t="shared" si="146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45"/>
        <v>-4</v>
      </c>
    </row>
    <row r="4627" spans="1:8" x14ac:dyDescent="0.2">
      <c r="A4627" t="s">
        <v>7</v>
      </c>
      <c r="B4627" t="s">
        <v>22</v>
      </c>
      <c r="C4627" t="str">
        <f t="shared" si="146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45"/>
        <v>-4</v>
      </c>
    </row>
    <row r="4628" spans="1:8" x14ac:dyDescent="0.2">
      <c r="A4628" t="s">
        <v>7</v>
      </c>
      <c r="B4628" t="s">
        <v>22</v>
      </c>
      <c r="C4628" t="str">
        <f t="shared" si="146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45"/>
        <v>-4</v>
      </c>
    </row>
    <row r="4629" spans="1:8" x14ac:dyDescent="0.2">
      <c r="A4629" t="s">
        <v>7</v>
      </c>
      <c r="B4629" t="s">
        <v>22</v>
      </c>
      <c r="C4629" t="str">
        <f t="shared" si="146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45"/>
        <v>-4</v>
      </c>
    </row>
    <row r="4630" spans="1:8" x14ac:dyDescent="0.2">
      <c r="A4630" t="s">
        <v>7</v>
      </c>
      <c r="B4630" t="s">
        <v>22</v>
      </c>
      <c r="C4630" t="str">
        <f t="shared" si="146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45"/>
        <v>0</v>
      </c>
    </row>
    <row r="4631" spans="1:8" x14ac:dyDescent="0.2">
      <c r="A4631" t="s">
        <v>7</v>
      </c>
      <c r="B4631" t="s">
        <v>22</v>
      </c>
      <c r="C4631" t="str">
        <f t="shared" si="146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45"/>
        <v>-5</v>
      </c>
    </row>
    <row r="4632" spans="1:8" x14ac:dyDescent="0.2">
      <c r="A4632" t="s">
        <v>7</v>
      </c>
      <c r="B4632" t="s">
        <v>22</v>
      </c>
      <c r="C4632" t="str">
        <f t="shared" si="146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45"/>
        <v>-5</v>
      </c>
    </row>
    <row r="4633" spans="1:8" x14ac:dyDescent="0.2">
      <c r="A4633" t="s">
        <v>7</v>
      </c>
      <c r="B4633" t="s">
        <v>22</v>
      </c>
      <c r="C4633" t="str">
        <f t="shared" si="146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45"/>
        <v>-5</v>
      </c>
    </row>
    <row r="4634" spans="1:8" x14ac:dyDescent="0.2">
      <c r="A4634" t="s">
        <v>7</v>
      </c>
      <c r="B4634" t="s">
        <v>22</v>
      </c>
      <c r="C4634" t="str">
        <f t="shared" si="146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45"/>
        <v>-5</v>
      </c>
    </row>
    <row r="4635" spans="1:8" x14ac:dyDescent="0.2">
      <c r="A4635" t="s">
        <v>7</v>
      </c>
      <c r="B4635" t="s">
        <v>22</v>
      </c>
      <c r="C4635" t="str">
        <f t="shared" si="146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45"/>
        <v>-5</v>
      </c>
    </row>
    <row r="4636" spans="1:8" x14ac:dyDescent="0.2">
      <c r="A4636" t="s">
        <v>7</v>
      </c>
      <c r="B4636" t="s">
        <v>22</v>
      </c>
      <c r="C4636" t="str">
        <f t="shared" si="146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45"/>
        <v>-5</v>
      </c>
    </row>
    <row r="4637" spans="1:8" x14ac:dyDescent="0.2">
      <c r="A4637" t="s">
        <v>7</v>
      </c>
      <c r="B4637" t="s">
        <v>22</v>
      </c>
      <c r="C4637" t="str">
        <f t="shared" si="146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45"/>
        <v>-5</v>
      </c>
    </row>
    <row r="4638" spans="1:8" x14ac:dyDescent="0.2">
      <c r="A4638" t="s">
        <v>7</v>
      </c>
      <c r="B4638" t="s">
        <v>22</v>
      </c>
      <c r="C4638" t="str">
        <f t="shared" si="146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45"/>
        <v>-5</v>
      </c>
    </row>
    <row r="4639" spans="1:8" x14ac:dyDescent="0.2">
      <c r="A4639" t="s">
        <v>7</v>
      </c>
      <c r="B4639" t="s">
        <v>22</v>
      </c>
      <c r="C4639" t="str">
        <f t="shared" si="146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si="145"/>
        <v>-5</v>
      </c>
    </row>
    <row r="4640" spans="1:8" x14ac:dyDescent="0.2">
      <c r="A4640" t="s">
        <v>7</v>
      </c>
      <c r="B4640" t="s">
        <v>22</v>
      </c>
      <c r="C4640" t="str">
        <f t="shared" si="146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45"/>
        <v>-5</v>
      </c>
    </row>
    <row r="4641" spans="1:8" x14ac:dyDescent="0.2">
      <c r="A4641" t="s">
        <v>7</v>
      </c>
      <c r="B4641" t="s">
        <v>22</v>
      </c>
      <c r="C4641" t="str">
        <f t="shared" si="146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45"/>
        <v>-5</v>
      </c>
    </row>
    <row r="4642" spans="1:8" x14ac:dyDescent="0.2">
      <c r="A4642" t="s">
        <v>7</v>
      </c>
      <c r="B4642" t="s">
        <v>22</v>
      </c>
      <c r="C4642" t="str">
        <f t="shared" si="146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45"/>
        <v>-5</v>
      </c>
    </row>
    <row r="4643" spans="1:8" x14ac:dyDescent="0.2">
      <c r="A4643" t="s">
        <v>7</v>
      </c>
      <c r="B4643" t="s">
        <v>22</v>
      </c>
      <c r="C4643" t="str">
        <f t="shared" si="146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45"/>
        <v>0</v>
      </c>
    </row>
    <row r="4644" spans="1:8" x14ac:dyDescent="0.2">
      <c r="A4644" t="s">
        <v>7</v>
      </c>
      <c r="B4644" t="s">
        <v>22</v>
      </c>
      <c r="C4644" t="str">
        <f t="shared" si="146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45"/>
        <v>-5</v>
      </c>
    </row>
    <row r="4645" spans="1:8" x14ac:dyDescent="0.2">
      <c r="A4645" t="s">
        <v>7</v>
      </c>
      <c r="B4645" t="s">
        <v>22</v>
      </c>
      <c r="C4645" t="str">
        <f t="shared" si="146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45"/>
        <v>-5</v>
      </c>
    </row>
    <row r="4646" spans="1:8" x14ac:dyDescent="0.2">
      <c r="A4646" t="s">
        <v>7</v>
      </c>
      <c r="B4646" t="s">
        <v>22</v>
      </c>
      <c r="C4646" t="str">
        <f t="shared" si="146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45"/>
        <v>-5</v>
      </c>
    </row>
    <row r="4647" spans="1:8" x14ac:dyDescent="0.2">
      <c r="A4647" t="s">
        <v>7</v>
      </c>
      <c r="B4647" t="s">
        <v>22</v>
      </c>
      <c r="C4647" t="str">
        <f t="shared" si="146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45"/>
        <v>-5</v>
      </c>
    </row>
    <row r="4648" spans="1:8" x14ac:dyDescent="0.2">
      <c r="A4648" t="s">
        <v>7</v>
      </c>
      <c r="B4648" t="s">
        <v>22</v>
      </c>
      <c r="C4648" t="str">
        <f t="shared" si="146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45"/>
        <v>-5</v>
      </c>
    </row>
    <row r="4649" spans="1:8" x14ac:dyDescent="0.2">
      <c r="A4649" t="s">
        <v>7</v>
      </c>
      <c r="B4649" t="s">
        <v>22</v>
      </c>
      <c r="C4649" t="str">
        <f t="shared" si="146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45"/>
        <v>-5</v>
      </c>
    </row>
    <row r="4650" spans="1:8" x14ac:dyDescent="0.2">
      <c r="A4650" t="s">
        <v>7</v>
      </c>
      <c r="B4650" t="s">
        <v>22</v>
      </c>
      <c r="C4650" t="str">
        <f t="shared" si="146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45"/>
        <v>-5</v>
      </c>
    </row>
    <row r="4651" spans="1:8" x14ac:dyDescent="0.2">
      <c r="A4651" t="s">
        <v>7</v>
      </c>
      <c r="B4651" t="s">
        <v>22</v>
      </c>
      <c r="C4651" t="str">
        <f t="shared" si="146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45"/>
        <v>-5</v>
      </c>
    </row>
    <row r="4652" spans="1:8" x14ac:dyDescent="0.2">
      <c r="A4652" t="s">
        <v>7</v>
      </c>
      <c r="B4652" t="s">
        <v>22</v>
      </c>
      <c r="C4652" t="str">
        <f t="shared" si="146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45"/>
        <v>-5</v>
      </c>
    </row>
    <row r="4653" spans="1:8" x14ac:dyDescent="0.2">
      <c r="A4653" t="s">
        <v>7</v>
      </c>
      <c r="B4653" t="s">
        <v>22</v>
      </c>
      <c r="C4653" t="str">
        <f t="shared" si="146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45"/>
        <v>-5</v>
      </c>
    </row>
    <row r="4654" spans="1:8" x14ac:dyDescent="0.2">
      <c r="A4654" t="s">
        <v>18</v>
      </c>
      <c r="B4654" t="s">
        <v>22</v>
      </c>
      <c r="C4654" t="str">
        <f t="shared" si="146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45"/>
        <v>-6</v>
      </c>
    </row>
    <row r="4655" spans="1:8" x14ac:dyDescent="0.2">
      <c r="A4655" t="s">
        <v>7</v>
      </c>
      <c r="B4655" t="s">
        <v>22</v>
      </c>
      <c r="C4655" t="str">
        <f t="shared" si="146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45"/>
        <v>-6</v>
      </c>
    </row>
    <row r="4656" spans="1:8" x14ac:dyDescent="0.2">
      <c r="A4656" t="s">
        <v>7</v>
      </c>
      <c r="B4656" t="s">
        <v>22</v>
      </c>
      <c r="C4656" t="str">
        <f t="shared" si="146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45"/>
        <v>-6</v>
      </c>
    </row>
    <row r="4657" spans="1:8" x14ac:dyDescent="0.2">
      <c r="A4657" t="s">
        <v>7</v>
      </c>
      <c r="B4657" t="s">
        <v>22</v>
      </c>
      <c r="C4657" t="str">
        <f t="shared" si="146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45"/>
        <v>-6</v>
      </c>
    </row>
    <row r="4658" spans="1:8" x14ac:dyDescent="0.2">
      <c r="A4658" t="s">
        <v>18</v>
      </c>
      <c r="B4658" t="s">
        <v>22</v>
      </c>
      <c r="C4658" t="str">
        <f t="shared" si="146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45"/>
        <v>-6</v>
      </c>
    </row>
    <row r="4659" spans="1:8" x14ac:dyDescent="0.2">
      <c r="A4659" t="s">
        <v>7</v>
      </c>
      <c r="B4659" t="s">
        <v>22</v>
      </c>
      <c r="C4659" t="str">
        <f t="shared" si="146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45"/>
        <v>-6</v>
      </c>
    </row>
    <row r="4660" spans="1:8" x14ac:dyDescent="0.2">
      <c r="A4660" t="s">
        <v>18</v>
      </c>
      <c r="B4660" t="s">
        <v>22</v>
      </c>
      <c r="C4660" t="str">
        <f t="shared" si="146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45"/>
        <v>-6</v>
      </c>
    </row>
    <row r="4661" spans="1:8" x14ac:dyDescent="0.2">
      <c r="A4661" t="s">
        <v>7</v>
      </c>
      <c r="B4661" t="s">
        <v>22</v>
      </c>
      <c r="C4661" t="str">
        <f t="shared" si="146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45"/>
        <v>-6</v>
      </c>
    </row>
    <row r="4662" spans="1:8" x14ac:dyDescent="0.2">
      <c r="A4662" t="s">
        <v>7</v>
      </c>
      <c r="B4662" t="s">
        <v>22</v>
      </c>
      <c r="C4662" t="str">
        <f t="shared" si="146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45"/>
        <v>-6</v>
      </c>
    </row>
    <row r="4663" spans="1:8" x14ac:dyDescent="0.2">
      <c r="A4663" t="s">
        <v>7</v>
      </c>
      <c r="B4663" t="s">
        <v>22</v>
      </c>
      <c r="C4663" t="str">
        <f t="shared" si="146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45"/>
        <v>-6</v>
      </c>
    </row>
    <row r="4664" spans="1:8" x14ac:dyDescent="0.2">
      <c r="A4664" t="s">
        <v>18</v>
      </c>
      <c r="B4664" t="s">
        <v>22</v>
      </c>
      <c r="C4664" t="str">
        <f t="shared" si="146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45"/>
        <v>-6</v>
      </c>
    </row>
    <row r="4665" spans="1:8" x14ac:dyDescent="0.2">
      <c r="A4665" t="s">
        <v>19</v>
      </c>
      <c r="B4665" t="s">
        <v>22</v>
      </c>
      <c r="C4665" t="str">
        <f t="shared" si="146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45"/>
        <v>-6</v>
      </c>
    </row>
    <row r="4666" spans="1:8" x14ac:dyDescent="0.2">
      <c r="A4666" t="s">
        <v>7</v>
      </c>
      <c r="B4666" t="s">
        <v>22</v>
      </c>
      <c r="C4666" t="str">
        <f t="shared" si="146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45"/>
        <v>-6</v>
      </c>
    </row>
    <row r="4667" spans="1:8" x14ac:dyDescent="0.2">
      <c r="A4667" t="s">
        <v>18</v>
      </c>
      <c r="B4667" t="s">
        <v>22</v>
      </c>
      <c r="C4667" t="str">
        <f t="shared" si="146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45"/>
        <v>-6</v>
      </c>
    </row>
    <row r="4668" spans="1:8" x14ac:dyDescent="0.2">
      <c r="A4668" t="s">
        <v>7</v>
      </c>
      <c r="B4668" t="s">
        <v>22</v>
      </c>
      <c r="C4668" t="str">
        <f t="shared" si="146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45"/>
        <v>-6</v>
      </c>
    </row>
    <row r="4669" spans="1:8" x14ac:dyDescent="0.2">
      <c r="A4669" t="s">
        <v>7</v>
      </c>
      <c r="B4669" t="s">
        <v>22</v>
      </c>
      <c r="C4669" t="str">
        <f t="shared" si="146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45"/>
        <v>0</v>
      </c>
    </row>
    <row r="4670" spans="1:8" x14ac:dyDescent="0.2">
      <c r="A4670" t="s">
        <v>7</v>
      </c>
      <c r="B4670" t="s">
        <v>22</v>
      </c>
      <c r="C4670" t="str">
        <f t="shared" si="146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45"/>
        <v>-6</v>
      </c>
    </row>
    <row r="4671" spans="1:8" x14ac:dyDescent="0.2">
      <c r="A4671" t="s">
        <v>7</v>
      </c>
      <c r="B4671" t="s">
        <v>22</v>
      </c>
      <c r="C4671" t="str">
        <f t="shared" si="146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45"/>
        <v>-6</v>
      </c>
    </row>
    <row r="4672" spans="1:8" x14ac:dyDescent="0.2">
      <c r="A4672" t="s">
        <v>7</v>
      </c>
      <c r="B4672" t="s">
        <v>22</v>
      </c>
      <c r="C4672" t="str">
        <f t="shared" si="146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45"/>
        <v>-6</v>
      </c>
    </row>
    <row r="4673" spans="1:8" x14ac:dyDescent="0.2">
      <c r="A4673" t="s">
        <v>7</v>
      </c>
      <c r="B4673" t="s">
        <v>22</v>
      </c>
      <c r="C4673" t="str">
        <f t="shared" si="146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45"/>
        <v>-6</v>
      </c>
    </row>
    <row r="4674" spans="1:8" x14ac:dyDescent="0.2">
      <c r="A4674" t="s">
        <v>7</v>
      </c>
      <c r="B4674" t="s">
        <v>22</v>
      </c>
      <c r="C4674" t="str">
        <f t="shared" si="146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45"/>
        <v>-6</v>
      </c>
    </row>
    <row r="4675" spans="1:8" x14ac:dyDescent="0.2">
      <c r="A4675" t="s">
        <v>18</v>
      </c>
      <c r="B4675" t="s">
        <v>22</v>
      </c>
      <c r="C4675" t="str">
        <f t="shared" si="146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ref="H4675:H4738" si="147">F4675-G4675</f>
        <v>-6</v>
      </c>
    </row>
    <row r="4676" spans="1:8" x14ac:dyDescent="0.2">
      <c r="A4676" t="s">
        <v>7</v>
      </c>
      <c r="B4676" t="s">
        <v>22</v>
      </c>
      <c r="C4676" t="str">
        <f t="shared" ref="C4676:C4739" si="148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47"/>
        <v>-6</v>
      </c>
    </row>
    <row r="4677" spans="1:8" x14ac:dyDescent="0.2">
      <c r="A4677" t="s">
        <v>7</v>
      </c>
      <c r="B4677" t="s">
        <v>22</v>
      </c>
      <c r="C4677" t="str">
        <f t="shared" si="148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47"/>
        <v>-6</v>
      </c>
    </row>
    <row r="4678" spans="1:8" x14ac:dyDescent="0.2">
      <c r="A4678" t="s">
        <v>18</v>
      </c>
      <c r="B4678" t="s">
        <v>22</v>
      </c>
      <c r="C4678" t="str">
        <f t="shared" si="148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47"/>
        <v>-6</v>
      </c>
    </row>
    <row r="4679" spans="1:8" x14ac:dyDescent="0.2">
      <c r="A4679" t="s">
        <v>19</v>
      </c>
      <c r="B4679" t="s">
        <v>22</v>
      </c>
      <c r="C4679" t="str">
        <f t="shared" si="148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47"/>
        <v>-6</v>
      </c>
    </row>
    <row r="4680" spans="1:8" x14ac:dyDescent="0.2">
      <c r="A4680" t="s">
        <v>7</v>
      </c>
      <c r="B4680" t="s">
        <v>22</v>
      </c>
      <c r="C4680" t="str">
        <f t="shared" si="148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47"/>
        <v>-6</v>
      </c>
    </row>
    <row r="4681" spans="1:8" x14ac:dyDescent="0.2">
      <c r="A4681" t="s">
        <v>7</v>
      </c>
      <c r="B4681" t="s">
        <v>22</v>
      </c>
      <c r="C4681" t="str">
        <f t="shared" si="148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47"/>
        <v>-6</v>
      </c>
    </row>
    <row r="4682" spans="1:8" x14ac:dyDescent="0.2">
      <c r="A4682" t="s">
        <v>19</v>
      </c>
      <c r="B4682" t="s">
        <v>22</v>
      </c>
      <c r="C4682" t="str">
        <f t="shared" si="148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47"/>
        <v>-6</v>
      </c>
    </row>
    <row r="4683" spans="1:8" x14ac:dyDescent="0.2">
      <c r="A4683" t="s">
        <v>19</v>
      </c>
      <c r="B4683" t="s">
        <v>22</v>
      </c>
      <c r="C4683" t="str">
        <f t="shared" si="148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47"/>
        <v>-6</v>
      </c>
    </row>
    <row r="4684" spans="1:8" x14ac:dyDescent="0.2">
      <c r="A4684" t="s">
        <v>21</v>
      </c>
      <c r="B4684" t="s">
        <v>22</v>
      </c>
      <c r="C4684" t="str">
        <f t="shared" si="148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47"/>
        <v>-6</v>
      </c>
    </row>
    <row r="4685" spans="1:8" x14ac:dyDescent="0.2">
      <c r="A4685" t="s">
        <v>21</v>
      </c>
      <c r="B4685" t="s">
        <v>22</v>
      </c>
      <c r="C4685" t="str">
        <f t="shared" si="148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47"/>
        <v>-6</v>
      </c>
    </row>
    <row r="4686" spans="1:8" x14ac:dyDescent="0.2">
      <c r="A4686" t="s">
        <v>21</v>
      </c>
      <c r="B4686" t="s">
        <v>22</v>
      </c>
      <c r="C4686" t="str">
        <f t="shared" si="148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47"/>
        <v>-6</v>
      </c>
    </row>
    <row r="4687" spans="1:8" x14ac:dyDescent="0.2">
      <c r="A4687" t="s">
        <v>21</v>
      </c>
      <c r="B4687" t="s">
        <v>22</v>
      </c>
      <c r="C4687" t="str">
        <f t="shared" si="148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47"/>
        <v>-6</v>
      </c>
    </row>
    <row r="4688" spans="1:8" x14ac:dyDescent="0.2">
      <c r="A4688" t="s">
        <v>21</v>
      </c>
      <c r="B4688" t="s">
        <v>22</v>
      </c>
      <c r="C4688" t="str">
        <f t="shared" si="148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47"/>
        <v>-6</v>
      </c>
    </row>
    <row r="4689" spans="1:8" x14ac:dyDescent="0.2">
      <c r="A4689" t="s">
        <v>21</v>
      </c>
      <c r="B4689" t="s">
        <v>22</v>
      </c>
      <c r="C4689" t="str">
        <f t="shared" si="148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47"/>
        <v>-6</v>
      </c>
    </row>
    <row r="4690" spans="1:8" x14ac:dyDescent="0.2">
      <c r="A4690" t="s">
        <v>21</v>
      </c>
      <c r="B4690" t="s">
        <v>22</v>
      </c>
      <c r="C4690" t="str">
        <f t="shared" si="148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47"/>
        <v>-6</v>
      </c>
    </row>
    <row r="4691" spans="1:8" x14ac:dyDescent="0.2">
      <c r="A4691" t="s">
        <v>21</v>
      </c>
      <c r="B4691" t="s">
        <v>22</v>
      </c>
      <c r="C4691" t="str">
        <f t="shared" si="148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47"/>
        <v>-6</v>
      </c>
    </row>
    <row r="4692" spans="1:8" x14ac:dyDescent="0.2">
      <c r="A4692" t="s">
        <v>21</v>
      </c>
      <c r="B4692" t="s">
        <v>22</v>
      </c>
      <c r="C4692" t="str">
        <f t="shared" si="148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47"/>
        <v>-6</v>
      </c>
    </row>
    <row r="4693" spans="1:8" x14ac:dyDescent="0.2">
      <c r="A4693" t="s">
        <v>21</v>
      </c>
      <c r="B4693" t="s">
        <v>22</v>
      </c>
      <c r="C4693" t="str">
        <f t="shared" si="148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47"/>
        <v>-6</v>
      </c>
    </row>
    <row r="4694" spans="1:8" x14ac:dyDescent="0.2">
      <c r="A4694" t="s">
        <v>21</v>
      </c>
      <c r="B4694" t="s">
        <v>22</v>
      </c>
      <c r="C4694" t="str">
        <f t="shared" si="148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47"/>
        <v>-6</v>
      </c>
    </row>
    <row r="4695" spans="1:8" x14ac:dyDescent="0.2">
      <c r="A4695" t="s">
        <v>21</v>
      </c>
      <c r="B4695" t="s">
        <v>22</v>
      </c>
      <c r="C4695" t="str">
        <f t="shared" si="148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47"/>
        <v>-6</v>
      </c>
    </row>
    <row r="4696" spans="1:8" x14ac:dyDescent="0.2">
      <c r="A4696" t="s">
        <v>21</v>
      </c>
      <c r="B4696" t="s">
        <v>22</v>
      </c>
      <c r="C4696" t="str">
        <f t="shared" si="148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47"/>
        <v>-6</v>
      </c>
    </row>
    <row r="4697" spans="1:8" x14ac:dyDescent="0.2">
      <c r="A4697" t="s">
        <v>21</v>
      </c>
      <c r="B4697" t="s">
        <v>22</v>
      </c>
      <c r="C4697" t="str">
        <f t="shared" si="148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47"/>
        <v>-6</v>
      </c>
    </row>
    <row r="4698" spans="1:8" x14ac:dyDescent="0.2">
      <c r="A4698" t="s">
        <v>21</v>
      </c>
      <c r="B4698" t="s">
        <v>22</v>
      </c>
      <c r="C4698" t="str">
        <f t="shared" si="148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47"/>
        <v>-6</v>
      </c>
    </row>
    <row r="4699" spans="1:8" x14ac:dyDescent="0.2">
      <c r="A4699" t="s">
        <v>21</v>
      </c>
      <c r="B4699" t="s">
        <v>22</v>
      </c>
      <c r="C4699" t="str">
        <f t="shared" si="148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47"/>
        <v>-6</v>
      </c>
    </row>
    <row r="4700" spans="1:8" x14ac:dyDescent="0.2">
      <c r="A4700" t="s">
        <v>21</v>
      </c>
      <c r="B4700" t="s">
        <v>22</v>
      </c>
      <c r="C4700" t="str">
        <f t="shared" si="148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47"/>
        <v>-6</v>
      </c>
    </row>
    <row r="4701" spans="1:8" x14ac:dyDescent="0.2">
      <c r="A4701" t="s">
        <v>21</v>
      </c>
      <c r="B4701" t="s">
        <v>22</v>
      </c>
      <c r="C4701" t="str">
        <f t="shared" si="148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47"/>
        <v>-6</v>
      </c>
    </row>
    <row r="4702" spans="1:8" x14ac:dyDescent="0.2">
      <c r="A4702" t="s">
        <v>21</v>
      </c>
      <c r="B4702" t="s">
        <v>22</v>
      </c>
      <c r="C4702" t="str">
        <f t="shared" si="148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47"/>
        <v>-6</v>
      </c>
    </row>
    <row r="4703" spans="1:8" x14ac:dyDescent="0.2">
      <c r="A4703" t="s">
        <v>21</v>
      </c>
      <c r="B4703" t="s">
        <v>22</v>
      </c>
      <c r="C4703" t="str">
        <f t="shared" si="148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si="147"/>
        <v>-6</v>
      </c>
    </row>
    <row r="4704" spans="1:8" x14ac:dyDescent="0.2">
      <c r="A4704" t="s">
        <v>21</v>
      </c>
      <c r="B4704" t="s">
        <v>22</v>
      </c>
      <c r="C4704" t="str">
        <f t="shared" si="148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47"/>
        <v>-6</v>
      </c>
    </row>
    <row r="4705" spans="1:8" x14ac:dyDescent="0.2">
      <c r="A4705" t="s">
        <v>21</v>
      </c>
      <c r="B4705" t="s">
        <v>22</v>
      </c>
      <c r="C4705" t="str">
        <f t="shared" si="148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47"/>
        <v>-6</v>
      </c>
    </row>
    <row r="4706" spans="1:8" x14ac:dyDescent="0.2">
      <c r="A4706" t="s">
        <v>21</v>
      </c>
      <c r="B4706" t="s">
        <v>22</v>
      </c>
      <c r="C4706" t="str">
        <f t="shared" si="148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47"/>
        <v>-6</v>
      </c>
    </row>
    <row r="4707" spans="1:8" x14ac:dyDescent="0.2">
      <c r="A4707" t="s">
        <v>21</v>
      </c>
      <c r="B4707" t="s">
        <v>22</v>
      </c>
      <c r="C4707" t="str">
        <f t="shared" si="148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47"/>
        <v>-6</v>
      </c>
    </row>
    <row r="4708" spans="1:8" x14ac:dyDescent="0.2">
      <c r="A4708" t="s">
        <v>21</v>
      </c>
      <c r="B4708" t="s">
        <v>22</v>
      </c>
      <c r="C4708" t="str">
        <f t="shared" si="148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47"/>
        <v>-6</v>
      </c>
    </row>
    <row r="4709" spans="1:8" x14ac:dyDescent="0.2">
      <c r="A4709" t="s">
        <v>18</v>
      </c>
      <c r="B4709" t="s">
        <v>22</v>
      </c>
      <c r="C4709" t="str">
        <f t="shared" si="148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47"/>
        <v>-6</v>
      </c>
    </row>
    <row r="4710" spans="1:8" x14ac:dyDescent="0.2">
      <c r="A4710" t="s">
        <v>7</v>
      </c>
      <c r="B4710" t="s">
        <v>22</v>
      </c>
      <c r="C4710" t="str">
        <f t="shared" si="148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47"/>
        <v>-6</v>
      </c>
    </row>
    <row r="4711" spans="1:8" x14ac:dyDescent="0.2">
      <c r="A4711" t="s">
        <v>7</v>
      </c>
      <c r="B4711" t="s">
        <v>22</v>
      </c>
      <c r="C4711" t="str">
        <f t="shared" si="148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47"/>
        <v>-6</v>
      </c>
    </row>
    <row r="4712" spans="1:8" x14ac:dyDescent="0.2">
      <c r="A4712" t="s">
        <v>19</v>
      </c>
      <c r="B4712" t="s">
        <v>22</v>
      </c>
      <c r="C4712" t="str">
        <f t="shared" si="148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47"/>
        <v>-6</v>
      </c>
    </row>
    <row r="4713" spans="1:8" x14ac:dyDescent="0.2">
      <c r="A4713" t="s">
        <v>18</v>
      </c>
      <c r="B4713" t="s">
        <v>22</v>
      </c>
      <c r="C4713" t="str">
        <f t="shared" si="148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47"/>
        <v>-6</v>
      </c>
    </row>
    <row r="4714" spans="1:8" x14ac:dyDescent="0.2">
      <c r="A4714" t="s">
        <v>18</v>
      </c>
      <c r="B4714" t="s">
        <v>22</v>
      </c>
      <c r="C4714" t="str">
        <f t="shared" si="148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47"/>
        <v>-6</v>
      </c>
    </row>
    <row r="4715" spans="1:8" x14ac:dyDescent="0.2">
      <c r="A4715" t="s">
        <v>7</v>
      </c>
      <c r="B4715" t="s">
        <v>22</v>
      </c>
      <c r="C4715" t="str">
        <f t="shared" si="148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47"/>
        <v>-6</v>
      </c>
    </row>
    <row r="4716" spans="1:8" x14ac:dyDescent="0.2">
      <c r="A4716" t="s">
        <v>7</v>
      </c>
      <c r="B4716" t="s">
        <v>22</v>
      </c>
      <c r="C4716" t="str">
        <f t="shared" si="148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47"/>
        <v>0</v>
      </c>
    </row>
    <row r="4717" spans="1:8" x14ac:dyDescent="0.2">
      <c r="A4717" t="s">
        <v>18</v>
      </c>
      <c r="B4717" t="s">
        <v>22</v>
      </c>
      <c r="C4717" t="str">
        <f t="shared" si="148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47"/>
        <v>-6</v>
      </c>
    </row>
    <row r="4718" spans="1:8" x14ac:dyDescent="0.2">
      <c r="A4718" t="s">
        <v>7</v>
      </c>
      <c r="B4718" t="s">
        <v>22</v>
      </c>
      <c r="C4718" t="str">
        <f t="shared" si="148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47"/>
        <v>-6</v>
      </c>
    </row>
    <row r="4719" spans="1:8" x14ac:dyDescent="0.2">
      <c r="A4719" t="s">
        <v>19</v>
      </c>
      <c r="B4719" t="s">
        <v>22</v>
      </c>
      <c r="C4719" t="str">
        <f t="shared" si="148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47"/>
        <v>-6</v>
      </c>
    </row>
    <row r="4720" spans="1:8" x14ac:dyDescent="0.2">
      <c r="A4720" t="s">
        <v>7</v>
      </c>
      <c r="B4720" t="s">
        <v>22</v>
      </c>
      <c r="C4720" t="str">
        <f t="shared" si="148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47"/>
        <v>-6</v>
      </c>
    </row>
    <row r="4721" spans="1:8" x14ac:dyDescent="0.2">
      <c r="A4721" t="s">
        <v>19</v>
      </c>
      <c r="B4721" t="s">
        <v>22</v>
      </c>
      <c r="C4721" t="str">
        <f t="shared" si="148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47"/>
        <v>-6</v>
      </c>
    </row>
    <row r="4722" spans="1:8" x14ac:dyDescent="0.2">
      <c r="A4722" t="s">
        <v>19</v>
      </c>
      <c r="B4722" t="s">
        <v>22</v>
      </c>
      <c r="C4722" t="str">
        <f t="shared" si="148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47"/>
        <v>-6</v>
      </c>
    </row>
    <row r="4723" spans="1:8" x14ac:dyDescent="0.2">
      <c r="A4723" t="s">
        <v>18</v>
      </c>
      <c r="B4723" t="s">
        <v>22</v>
      </c>
      <c r="C4723" t="str">
        <f t="shared" si="148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47"/>
        <v>0</v>
      </c>
    </row>
    <row r="4724" spans="1:8" x14ac:dyDescent="0.2">
      <c r="A4724" t="s">
        <v>19</v>
      </c>
      <c r="B4724" t="s">
        <v>22</v>
      </c>
      <c r="C4724" t="str">
        <f t="shared" si="148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47"/>
        <v>-6</v>
      </c>
    </row>
    <row r="4725" spans="1:8" x14ac:dyDescent="0.2">
      <c r="A4725" t="s">
        <v>7</v>
      </c>
      <c r="B4725" t="s">
        <v>22</v>
      </c>
      <c r="C4725" t="str">
        <f t="shared" si="148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47"/>
        <v>-6</v>
      </c>
    </row>
    <row r="4726" spans="1:8" x14ac:dyDescent="0.2">
      <c r="A4726" t="s">
        <v>18</v>
      </c>
      <c r="B4726" t="s">
        <v>22</v>
      </c>
      <c r="C4726" t="str">
        <f t="shared" si="148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47"/>
        <v>-6</v>
      </c>
    </row>
    <row r="4727" spans="1:8" x14ac:dyDescent="0.2">
      <c r="A4727" t="s">
        <v>18</v>
      </c>
      <c r="B4727" t="s">
        <v>22</v>
      </c>
      <c r="C4727" t="str">
        <f t="shared" si="148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47"/>
        <v>-6</v>
      </c>
    </row>
    <row r="4728" spans="1:8" x14ac:dyDescent="0.2">
      <c r="A4728" t="s">
        <v>7</v>
      </c>
      <c r="B4728" t="s">
        <v>22</v>
      </c>
      <c r="C4728" t="str">
        <f t="shared" si="148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47"/>
        <v>-6</v>
      </c>
    </row>
    <row r="4729" spans="1:8" x14ac:dyDescent="0.2">
      <c r="A4729" t="s">
        <v>7</v>
      </c>
      <c r="B4729" t="s">
        <v>22</v>
      </c>
      <c r="C4729" t="str">
        <f t="shared" si="148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47"/>
        <v>-6</v>
      </c>
    </row>
    <row r="4730" spans="1:8" x14ac:dyDescent="0.2">
      <c r="A4730" t="s">
        <v>7</v>
      </c>
      <c r="B4730" t="s">
        <v>22</v>
      </c>
      <c r="C4730" t="str">
        <f t="shared" si="148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47"/>
        <v>-6</v>
      </c>
    </row>
    <row r="4731" spans="1:8" x14ac:dyDescent="0.2">
      <c r="A4731" t="s">
        <v>7</v>
      </c>
      <c r="B4731" t="s">
        <v>22</v>
      </c>
      <c r="C4731" t="str">
        <f t="shared" si="148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47"/>
        <v>-6</v>
      </c>
    </row>
    <row r="4732" spans="1:8" x14ac:dyDescent="0.2">
      <c r="A4732" t="s">
        <v>7</v>
      </c>
      <c r="B4732" t="s">
        <v>22</v>
      </c>
      <c r="C4732" t="str">
        <f t="shared" si="148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47"/>
        <v>-6</v>
      </c>
    </row>
    <row r="4733" spans="1:8" x14ac:dyDescent="0.2">
      <c r="A4733" t="s">
        <v>7</v>
      </c>
      <c r="B4733" t="s">
        <v>22</v>
      </c>
      <c r="C4733" t="str">
        <f t="shared" si="148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47"/>
        <v>-6</v>
      </c>
    </row>
    <row r="4734" spans="1:8" x14ac:dyDescent="0.2">
      <c r="A4734" t="s">
        <v>18</v>
      </c>
      <c r="B4734" t="s">
        <v>22</v>
      </c>
      <c r="C4734" t="str">
        <f t="shared" si="148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47"/>
        <v>-6</v>
      </c>
    </row>
    <row r="4735" spans="1:8" x14ac:dyDescent="0.2">
      <c r="A4735" t="s">
        <v>7</v>
      </c>
      <c r="B4735" t="s">
        <v>22</v>
      </c>
      <c r="C4735" t="str">
        <f t="shared" si="148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47"/>
        <v>-6</v>
      </c>
    </row>
    <row r="4736" spans="1:8" x14ac:dyDescent="0.2">
      <c r="A4736" t="s">
        <v>18</v>
      </c>
      <c r="B4736" t="s">
        <v>22</v>
      </c>
      <c r="C4736" t="str">
        <f t="shared" si="148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47"/>
        <v>-6</v>
      </c>
    </row>
    <row r="4737" spans="1:8" x14ac:dyDescent="0.2">
      <c r="A4737" t="s">
        <v>18</v>
      </c>
      <c r="B4737" t="s">
        <v>22</v>
      </c>
      <c r="C4737" t="str">
        <f t="shared" si="148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47"/>
        <v>-6</v>
      </c>
    </row>
    <row r="4738" spans="1:8" x14ac:dyDescent="0.2">
      <c r="A4738" t="s">
        <v>18</v>
      </c>
      <c r="B4738" t="s">
        <v>22</v>
      </c>
      <c r="C4738" t="str">
        <f t="shared" si="148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47"/>
        <v>-6</v>
      </c>
    </row>
    <row r="4739" spans="1:8" x14ac:dyDescent="0.2">
      <c r="A4739" t="s">
        <v>19</v>
      </c>
      <c r="B4739" t="s">
        <v>22</v>
      </c>
      <c r="C4739" t="str">
        <f t="shared" si="148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ref="H4739:H4802" si="149">F4739-G4739</f>
        <v>-6</v>
      </c>
    </row>
    <row r="4740" spans="1:8" x14ac:dyDescent="0.2">
      <c r="A4740" t="s">
        <v>19</v>
      </c>
      <c r="B4740" t="s">
        <v>22</v>
      </c>
      <c r="C4740" t="str">
        <f t="shared" ref="C4740:C4803" si="150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49"/>
        <v>-6</v>
      </c>
    </row>
    <row r="4741" spans="1:8" x14ac:dyDescent="0.2">
      <c r="A4741" t="s">
        <v>7</v>
      </c>
      <c r="B4741" t="s">
        <v>22</v>
      </c>
      <c r="C4741" t="str">
        <f t="shared" si="150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 t="shared" si="149"/>
        <v>28</v>
      </c>
    </row>
    <row r="4742" spans="1:8" x14ac:dyDescent="0.2">
      <c r="A4742" t="s">
        <v>7</v>
      </c>
      <c r="B4742" t="s">
        <v>22</v>
      </c>
      <c r="C4742" t="str">
        <f t="shared" si="150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si="149"/>
        <v>22</v>
      </c>
    </row>
    <row r="4743" spans="1:8" x14ac:dyDescent="0.2">
      <c r="A4743" t="s">
        <v>7</v>
      </c>
      <c r="B4743" t="s">
        <v>22</v>
      </c>
      <c r="C4743" t="str">
        <f t="shared" si="150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49"/>
        <v>17</v>
      </c>
    </row>
    <row r="4744" spans="1:8" x14ac:dyDescent="0.2">
      <c r="A4744" t="s">
        <v>7</v>
      </c>
      <c r="B4744" t="s">
        <v>22</v>
      </c>
      <c r="C4744" t="str">
        <f t="shared" si="150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49"/>
        <v>15</v>
      </c>
    </row>
    <row r="4745" spans="1:8" x14ac:dyDescent="0.2">
      <c r="A4745" t="s">
        <v>7</v>
      </c>
      <c r="B4745" t="s">
        <v>22</v>
      </c>
      <c r="C4745" t="str">
        <f t="shared" si="150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49"/>
        <v>13</v>
      </c>
    </row>
    <row r="4746" spans="1:8" x14ac:dyDescent="0.2">
      <c r="A4746" t="s">
        <v>7</v>
      </c>
      <c r="B4746" t="s">
        <v>22</v>
      </c>
      <c r="C4746" t="str">
        <f t="shared" si="150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49"/>
        <v>9</v>
      </c>
    </row>
    <row r="4747" spans="1:8" x14ac:dyDescent="0.2">
      <c r="A4747" t="s">
        <v>7</v>
      </c>
      <c r="B4747" t="s">
        <v>22</v>
      </c>
      <c r="C4747" t="str">
        <f t="shared" si="150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49"/>
        <v>8</v>
      </c>
    </row>
    <row r="4748" spans="1:8" x14ac:dyDescent="0.2">
      <c r="A4748" t="s">
        <v>7</v>
      </c>
      <c r="B4748" t="s">
        <v>22</v>
      </c>
      <c r="C4748" t="str">
        <f t="shared" si="150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49"/>
        <v>8</v>
      </c>
    </row>
    <row r="4749" spans="1:8" x14ac:dyDescent="0.2">
      <c r="A4749" t="s">
        <v>7</v>
      </c>
      <c r="B4749" t="s">
        <v>22</v>
      </c>
      <c r="C4749" t="str">
        <f t="shared" si="150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49"/>
        <v>7</v>
      </c>
    </row>
    <row r="4750" spans="1:8" x14ac:dyDescent="0.2">
      <c r="A4750" t="s">
        <v>7</v>
      </c>
      <c r="B4750" t="s">
        <v>22</v>
      </c>
      <c r="C4750" t="str">
        <f t="shared" si="150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49"/>
        <v>6</v>
      </c>
    </row>
    <row r="4751" spans="1:8" x14ac:dyDescent="0.2">
      <c r="A4751" t="s">
        <v>7</v>
      </c>
      <c r="B4751" t="s">
        <v>22</v>
      </c>
      <c r="C4751" t="str">
        <f t="shared" si="150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49"/>
        <v>5</v>
      </c>
    </row>
    <row r="4752" spans="1:8" x14ac:dyDescent="0.2">
      <c r="A4752" t="s">
        <v>7</v>
      </c>
      <c r="B4752" t="s">
        <v>22</v>
      </c>
      <c r="C4752" t="str">
        <f t="shared" si="150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49"/>
        <v>5</v>
      </c>
    </row>
    <row r="4753" spans="1:8" x14ac:dyDescent="0.2">
      <c r="A4753" t="s">
        <v>7</v>
      </c>
      <c r="B4753" t="s">
        <v>22</v>
      </c>
      <c r="C4753" t="str">
        <f t="shared" si="150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49"/>
        <v>5</v>
      </c>
    </row>
    <row r="4754" spans="1:8" x14ac:dyDescent="0.2">
      <c r="A4754" t="s">
        <v>7</v>
      </c>
      <c r="B4754" t="s">
        <v>22</v>
      </c>
      <c r="C4754" t="str">
        <f t="shared" si="150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49"/>
        <v>4</v>
      </c>
    </row>
    <row r="4755" spans="1:8" x14ac:dyDescent="0.2">
      <c r="A4755" t="s">
        <v>7</v>
      </c>
      <c r="B4755" t="s">
        <v>22</v>
      </c>
      <c r="C4755" t="str">
        <f t="shared" si="150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49"/>
        <v>4</v>
      </c>
    </row>
    <row r="4756" spans="1:8" x14ac:dyDescent="0.2">
      <c r="A4756" t="s">
        <v>7</v>
      </c>
      <c r="B4756" t="s">
        <v>22</v>
      </c>
      <c r="C4756" t="str">
        <f t="shared" si="150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49"/>
        <v>4</v>
      </c>
    </row>
    <row r="4757" spans="1:8" x14ac:dyDescent="0.2">
      <c r="A4757" t="s">
        <v>7</v>
      </c>
      <c r="B4757" t="s">
        <v>22</v>
      </c>
      <c r="C4757" t="str">
        <f t="shared" si="150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49"/>
        <v>3</v>
      </c>
    </row>
    <row r="4758" spans="1:8" x14ac:dyDescent="0.2">
      <c r="A4758" t="s">
        <v>7</v>
      </c>
      <c r="B4758" t="s">
        <v>22</v>
      </c>
      <c r="C4758" t="str">
        <f t="shared" si="150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49"/>
        <v>3</v>
      </c>
    </row>
    <row r="4759" spans="1:8" x14ac:dyDescent="0.2">
      <c r="A4759" t="s">
        <v>7</v>
      </c>
      <c r="B4759" t="s">
        <v>22</v>
      </c>
      <c r="C4759" t="str">
        <f t="shared" si="150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49"/>
        <v>3</v>
      </c>
    </row>
    <row r="4760" spans="1:8" x14ac:dyDescent="0.2">
      <c r="A4760" t="s">
        <v>7</v>
      </c>
      <c r="B4760" t="s">
        <v>22</v>
      </c>
      <c r="C4760" t="str">
        <f t="shared" si="150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49"/>
        <v>2</v>
      </c>
    </row>
    <row r="4761" spans="1:8" x14ac:dyDescent="0.2">
      <c r="A4761" t="s">
        <v>7</v>
      </c>
      <c r="B4761" t="s">
        <v>22</v>
      </c>
      <c r="C4761" t="str">
        <f t="shared" si="150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49"/>
        <v>1</v>
      </c>
    </row>
    <row r="4762" spans="1:8" x14ac:dyDescent="0.2">
      <c r="A4762" t="s">
        <v>7</v>
      </c>
      <c r="B4762" t="s">
        <v>22</v>
      </c>
      <c r="C4762" t="str">
        <f t="shared" si="150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49"/>
        <v>1</v>
      </c>
    </row>
    <row r="4763" spans="1:8" x14ac:dyDescent="0.2">
      <c r="A4763" t="s">
        <v>7</v>
      </c>
      <c r="B4763" t="s">
        <v>22</v>
      </c>
      <c r="C4763" t="str">
        <f t="shared" si="150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49"/>
        <v>0</v>
      </c>
    </row>
    <row r="4764" spans="1:8" x14ac:dyDescent="0.2">
      <c r="A4764" t="s">
        <v>7</v>
      </c>
      <c r="B4764" t="s">
        <v>22</v>
      </c>
      <c r="C4764" t="str">
        <f t="shared" si="150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49"/>
        <v>0</v>
      </c>
    </row>
    <row r="4765" spans="1:8" x14ac:dyDescent="0.2">
      <c r="A4765" t="s">
        <v>7</v>
      </c>
      <c r="B4765" t="s">
        <v>22</v>
      </c>
      <c r="C4765" t="str">
        <f t="shared" si="150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49"/>
        <v>0</v>
      </c>
    </row>
    <row r="4766" spans="1:8" x14ac:dyDescent="0.2">
      <c r="A4766" t="s">
        <v>7</v>
      </c>
      <c r="B4766" t="s">
        <v>22</v>
      </c>
      <c r="C4766" t="str">
        <f t="shared" si="150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49"/>
        <v>-1</v>
      </c>
    </row>
    <row r="4767" spans="1:8" x14ac:dyDescent="0.2">
      <c r="A4767" t="s">
        <v>7</v>
      </c>
      <c r="B4767" t="s">
        <v>22</v>
      </c>
      <c r="C4767" t="str">
        <f t="shared" si="150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49"/>
        <v>-1</v>
      </c>
    </row>
    <row r="4768" spans="1:8" x14ac:dyDescent="0.2">
      <c r="A4768" t="s">
        <v>7</v>
      </c>
      <c r="B4768" t="s">
        <v>22</v>
      </c>
      <c r="C4768" t="str">
        <f t="shared" si="150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49"/>
        <v>-1</v>
      </c>
    </row>
    <row r="4769" spans="1:8" x14ac:dyDescent="0.2">
      <c r="A4769" t="s">
        <v>7</v>
      </c>
      <c r="B4769" t="s">
        <v>22</v>
      </c>
      <c r="C4769" t="str">
        <f t="shared" si="150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49"/>
        <v>-1</v>
      </c>
    </row>
    <row r="4770" spans="1:8" x14ac:dyDescent="0.2">
      <c r="A4770" t="s">
        <v>7</v>
      </c>
      <c r="B4770" t="s">
        <v>22</v>
      </c>
      <c r="C4770" t="str">
        <f t="shared" si="150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49"/>
        <v>-2</v>
      </c>
    </row>
    <row r="4771" spans="1:8" x14ac:dyDescent="0.2">
      <c r="A4771" t="s">
        <v>7</v>
      </c>
      <c r="B4771" t="s">
        <v>22</v>
      </c>
      <c r="C4771" t="str">
        <f t="shared" si="150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49"/>
        <v>-2</v>
      </c>
    </row>
    <row r="4772" spans="1:8" x14ac:dyDescent="0.2">
      <c r="A4772" t="s">
        <v>7</v>
      </c>
      <c r="B4772" t="s">
        <v>22</v>
      </c>
      <c r="C4772" t="str">
        <f t="shared" si="150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49"/>
        <v>-3</v>
      </c>
    </row>
    <row r="4773" spans="1:8" x14ac:dyDescent="0.2">
      <c r="A4773" t="s">
        <v>7</v>
      </c>
      <c r="B4773" t="s">
        <v>22</v>
      </c>
      <c r="C4773" t="str">
        <f t="shared" si="150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49"/>
        <v>-3</v>
      </c>
    </row>
    <row r="4774" spans="1:8" x14ac:dyDescent="0.2">
      <c r="A4774" t="s">
        <v>7</v>
      </c>
      <c r="B4774" t="s">
        <v>22</v>
      </c>
      <c r="C4774" t="str">
        <f t="shared" si="150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49"/>
        <v>-3</v>
      </c>
    </row>
    <row r="4775" spans="1:8" x14ac:dyDescent="0.2">
      <c r="A4775" t="s">
        <v>7</v>
      </c>
      <c r="B4775" t="s">
        <v>22</v>
      </c>
      <c r="C4775" t="str">
        <f t="shared" si="150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49"/>
        <v>-3</v>
      </c>
    </row>
    <row r="4776" spans="1:8" x14ac:dyDescent="0.2">
      <c r="A4776" t="s">
        <v>7</v>
      </c>
      <c r="B4776" t="s">
        <v>22</v>
      </c>
      <c r="C4776" t="str">
        <f t="shared" si="150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49"/>
        <v>-3</v>
      </c>
    </row>
    <row r="4777" spans="1:8" x14ac:dyDescent="0.2">
      <c r="A4777" t="s">
        <v>7</v>
      </c>
      <c r="B4777" t="s">
        <v>22</v>
      </c>
      <c r="C4777" t="str">
        <f t="shared" si="150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49"/>
        <v>-3</v>
      </c>
    </row>
    <row r="4778" spans="1:8" x14ac:dyDescent="0.2">
      <c r="A4778" t="s">
        <v>7</v>
      </c>
      <c r="B4778" t="s">
        <v>22</v>
      </c>
      <c r="C4778" t="str">
        <f t="shared" si="150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49"/>
        <v>-3</v>
      </c>
    </row>
    <row r="4779" spans="1:8" x14ac:dyDescent="0.2">
      <c r="A4779" t="s">
        <v>7</v>
      </c>
      <c r="B4779" t="s">
        <v>22</v>
      </c>
      <c r="C4779" t="str">
        <f t="shared" si="150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49"/>
        <v>-3</v>
      </c>
    </row>
    <row r="4780" spans="1:8" x14ac:dyDescent="0.2">
      <c r="A4780" t="s">
        <v>7</v>
      </c>
      <c r="B4780" t="s">
        <v>22</v>
      </c>
      <c r="C4780" t="str">
        <f t="shared" si="150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49"/>
        <v>-3</v>
      </c>
    </row>
    <row r="4781" spans="1:8" x14ac:dyDescent="0.2">
      <c r="A4781" t="s">
        <v>7</v>
      </c>
      <c r="B4781" t="s">
        <v>22</v>
      </c>
      <c r="C4781" t="str">
        <f t="shared" si="150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49"/>
        <v>-4</v>
      </c>
    </row>
    <row r="4782" spans="1:8" x14ac:dyDescent="0.2">
      <c r="A4782" t="s">
        <v>7</v>
      </c>
      <c r="B4782" t="s">
        <v>22</v>
      </c>
      <c r="C4782" t="str">
        <f t="shared" si="150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49"/>
        <v>-4</v>
      </c>
    </row>
    <row r="4783" spans="1:8" x14ac:dyDescent="0.2">
      <c r="A4783" t="s">
        <v>7</v>
      </c>
      <c r="B4783" t="s">
        <v>22</v>
      </c>
      <c r="C4783" t="str">
        <f t="shared" si="150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49"/>
        <v>-4</v>
      </c>
    </row>
    <row r="4784" spans="1:8" x14ac:dyDescent="0.2">
      <c r="A4784" t="s">
        <v>7</v>
      </c>
      <c r="B4784" t="s">
        <v>22</v>
      </c>
      <c r="C4784" t="str">
        <f t="shared" si="150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49"/>
        <v>-4</v>
      </c>
    </row>
    <row r="4785" spans="1:8" x14ac:dyDescent="0.2">
      <c r="A4785" t="s">
        <v>7</v>
      </c>
      <c r="B4785" t="s">
        <v>22</v>
      </c>
      <c r="C4785" t="str">
        <f t="shared" si="150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49"/>
        <v>-4</v>
      </c>
    </row>
    <row r="4786" spans="1:8" x14ac:dyDescent="0.2">
      <c r="A4786" t="s">
        <v>7</v>
      </c>
      <c r="B4786" t="s">
        <v>22</v>
      </c>
      <c r="C4786" t="str">
        <f t="shared" si="150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49"/>
        <v>-4</v>
      </c>
    </row>
    <row r="4787" spans="1:8" x14ac:dyDescent="0.2">
      <c r="A4787" t="s">
        <v>7</v>
      </c>
      <c r="B4787" t="s">
        <v>22</v>
      </c>
      <c r="C4787" t="str">
        <f t="shared" si="150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49"/>
        <v>-4</v>
      </c>
    </row>
    <row r="4788" spans="1:8" x14ac:dyDescent="0.2">
      <c r="A4788" t="s">
        <v>7</v>
      </c>
      <c r="B4788" t="s">
        <v>22</v>
      </c>
      <c r="C4788" t="str">
        <f t="shared" si="150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49"/>
        <v>-5</v>
      </c>
    </row>
    <row r="4789" spans="1:8" x14ac:dyDescent="0.2">
      <c r="A4789" t="s">
        <v>7</v>
      </c>
      <c r="B4789" t="s">
        <v>22</v>
      </c>
      <c r="C4789" t="str">
        <f t="shared" si="150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49"/>
        <v>-5</v>
      </c>
    </row>
    <row r="4790" spans="1:8" x14ac:dyDescent="0.2">
      <c r="A4790" t="s">
        <v>7</v>
      </c>
      <c r="B4790" t="s">
        <v>22</v>
      </c>
      <c r="C4790" t="str">
        <f t="shared" si="150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49"/>
        <v>-5</v>
      </c>
    </row>
    <row r="4791" spans="1:8" x14ac:dyDescent="0.2">
      <c r="A4791" t="s">
        <v>7</v>
      </c>
      <c r="B4791" t="s">
        <v>22</v>
      </c>
      <c r="C4791" t="str">
        <f t="shared" si="150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49"/>
        <v>-5</v>
      </c>
    </row>
    <row r="4792" spans="1:8" x14ac:dyDescent="0.2">
      <c r="A4792" t="s">
        <v>7</v>
      </c>
      <c r="B4792" t="s">
        <v>22</v>
      </c>
      <c r="C4792" t="str">
        <f t="shared" si="150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49"/>
        <v>-5</v>
      </c>
    </row>
    <row r="4793" spans="1:8" x14ac:dyDescent="0.2">
      <c r="A4793" t="s">
        <v>7</v>
      </c>
      <c r="B4793" t="s">
        <v>22</v>
      </c>
      <c r="C4793" t="str">
        <f t="shared" si="150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49"/>
        <v>-5</v>
      </c>
    </row>
    <row r="4794" spans="1:8" x14ac:dyDescent="0.2">
      <c r="A4794" t="s">
        <v>7</v>
      </c>
      <c r="B4794" t="s">
        <v>22</v>
      </c>
      <c r="C4794" t="str">
        <f t="shared" si="150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49"/>
        <v>-5</v>
      </c>
    </row>
    <row r="4795" spans="1:8" x14ac:dyDescent="0.2">
      <c r="A4795" t="s">
        <v>7</v>
      </c>
      <c r="B4795" t="s">
        <v>22</v>
      </c>
      <c r="C4795" t="str">
        <f t="shared" si="150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49"/>
        <v>-5</v>
      </c>
    </row>
    <row r="4796" spans="1:8" x14ac:dyDescent="0.2">
      <c r="A4796" t="s">
        <v>7</v>
      </c>
      <c r="B4796" t="s">
        <v>22</v>
      </c>
      <c r="C4796" t="str">
        <f t="shared" si="150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49"/>
        <v>-5</v>
      </c>
    </row>
    <row r="4797" spans="1:8" x14ac:dyDescent="0.2">
      <c r="A4797" t="s">
        <v>7</v>
      </c>
      <c r="B4797" t="s">
        <v>22</v>
      </c>
      <c r="C4797" t="str">
        <f t="shared" si="150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49"/>
        <v>-5</v>
      </c>
    </row>
    <row r="4798" spans="1:8" x14ac:dyDescent="0.2">
      <c r="A4798" t="s">
        <v>7</v>
      </c>
      <c r="B4798" t="s">
        <v>22</v>
      </c>
      <c r="C4798" t="str">
        <f t="shared" si="150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49"/>
        <v>-6</v>
      </c>
    </row>
    <row r="4799" spans="1:8" x14ac:dyDescent="0.2">
      <c r="A4799" t="s">
        <v>7</v>
      </c>
      <c r="B4799" t="s">
        <v>22</v>
      </c>
      <c r="C4799" t="str">
        <f t="shared" si="150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49"/>
        <v>-6</v>
      </c>
    </row>
    <row r="4800" spans="1:8" x14ac:dyDescent="0.2">
      <c r="A4800" t="s">
        <v>7</v>
      </c>
      <c r="B4800" t="s">
        <v>22</v>
      </c>
      <c r="C4800" t="str">
        <f t="shared" si="150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49"/>
        <v>-6</v>
      </c>
    </row>
    <row r="4801" spans="1:8" x14ac:dyDescent="0.2">
      <c r="A4801" t="s">
        <v>7</v>
      </c>
      <c r="B4801" t="s">
        <v>22</v>
      </c>
      <c r="C4801" t="str">
        <f t="shared" si="150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49"/>
        <v>-6</v>
      </c>
    </row>
    <row r="4802" spans="1:8" x14ac:dyDescent="0.2">
      <c r="A4802" t="s">
        <v>7</v>
      </c>
      <c r="B4802" t="s">
        <v>22</v>
      </c>
      <c r="C4802" t="str">
        <f t="shared" si="150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49"/>
        <v>-6</v>
      </c>
    </row>
    <row r="4803" spans="1:8" x14ac:dyDescent="0.2">
      <c r="A4803" t="s">
        <v>7</v>
      </c>
      <c r="B4803" t="s">
        <v>22</v>
      </c>
      <c r="C4803" t="str">
        <f t="shared" si="150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ref="H4803:H4866" si="151">F4803-G4803</f>
        <v>-6</v>
      </c>
    </row>
    <row r="4804" spans="1:8" x14ac:dyDescent="0.2">
      <c r="A4804" t="s">
        <v>7</v>
      </c>
      <c r="B4804" t="s">
        <v>22</v>
      </c>
      <c r="C4804" t="str">
        <f t="shared" ref="C4804:C4867" si="152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1"/>
        <v>-6</v>
      </c>
    </row>
    <row r="4805" spans="1:8" x14ac:dyDescent="0.2">
      <c r="A4805" t="s">
        <v>7</v>
      </c>
      <c r="B4805" t="s">
        <v>22</v>
      </c>
      <c r="C4805" t="str">
        <f t="shared" si="152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1"/>
        <v>-6</v>
      </c>
    </row>
    <row r="4806" spans="1:8" x14ac:dyDescent="0.2">
      <c r="A4806" t="s">
        <v>7</v>
      </c>
      <c r="B4806" t="s">
        <v>22</v>
      </c>
      <c r="C4806" t="str">
        <f t="shared" si="152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si="151"/>
        <v>-6</v>
      </c>
    </row>
    <row r="4807" spans="1:8" x14ac:dyDescent="0.2">
      <c r="A4807" t="s">
        <v>7</v>
      </c>
      <c r="B4807" t="s">
        <v>22</v>
      </c>
      <c r="C4807" t="str">
        <f t="shared" si="152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1"/>
        <v>-6</v>
      </c>
    </row>
    <row r="4808" spans="1:8" x14ac:dyDescent="0.2">
      <c r="A4808" t="s">
        <v>7</v>
      </c>
      <c r="B4808" t="s">
        <v>22</v>
      </c>
      <c r="C4808" t="str">
        <f t="shared" si="152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1"/>
        <v>-6</v>
      </c>
    </row>
    <row r="4809" spans="1:8" x14ac:dyDescent="0.2">
      <c r="A4809" t="s">
        <v>7</v>
      </c>
      <c r="B4809" t="s">
        <v>22</v>
      </c>
      <c r="C4809" t="str">
        <f t="shared" si="152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1"/>
        <v>-6</v>
      </c>
    </row>
    <row r="4810" spans="1:8" x14ac:dyDescent="0.2">
      <c r="A4810" t="s">
        <v>7</v>
      </c>
      <c r="B4810" t="s">
        <v>22</v>
      </c>
      <c r="C4810" t="str">
        <f t="shared" si="152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1"/>
        <v>-6</v>
      </c>
    </row>
    <row r="4811" spans="1:8" x14ac:dyDescent="0.2">
      <c r="A4811" t="s">
        <v>7</v>
      </c>
      <c r="B4811" t="s">
        <v>22</v>
      </c>
      <c r="C4811" t="str">
        <f t="shared" si="152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1"/>
        <v>-6</v>
      </c>
    </row>
    <row r="4812" spans="1:8" x14ac:dyDescent="0.2">
      <c r="A4812" t="s">
        <v>7</v>
      </c>
      <c r="B4812" t="s">
        <v>22</v>
      </c>
      <c r="C4812" t="str">
        <f t="shared" si="152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1"/>
        <v>-6</v>
      </c>
    </row>
    <row r="4813" spans="1:8" x14ac:dyDescent="0.2">
      <c r="A4813" t="s">
        <v>7</v>
      </c>
      <c r="B4813" t="s">
        <v>22</v>
      </c>
      <c r="C4813" t="str">
        <f t="shared" si="152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1"/>
        <v>-6</v>
      </c>
    </row>
    <row r="4814" spans="1:8" x14ac:dyDescent="0.2">
      <c r="A4814" t="s">
        <v>7</v>
      </c>
      <c r="B4814" t="s">
        <v>22</v>
      </c>
      <c r="C4814" t="str">
        <f t="shared" si="152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1"/>
        <v>-6</v>
      </c>
    </row>
    <row r="4815" spans="1:8" x14ac:dyDescent="0.2">
      <c r="A4815" t="s">
        <v>7</v>
      </c>
      <c r="B4815" t="s">
        <v>22</v>
      </c>
      <c r="C4815" t="str">
        <f t="shared" si="152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1"/>
        <v>-6</v>
      </c>
    </row>
    <row r="4816" spans="1:8" x14ac:dyDescent="0.2">
      <c r="A4816" t="s">
        <v>7</v>
      </c>
      <c r="B4816" t="s">
        <v>22</v>
      </c>
      <c r="C4816" t="str">
        <f t="shared" si="152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1"/>
        <v>-6</v>
      </c>
    </row>
    <row r="4817" spans="1:8" x14ac:dyDescent="0.2">
      <c r="A4817" t="s">
        <v>7</v>
      </c>
      <c r="B4817" t="s">
        <v>22</v>
      </c>
      <c r="C4817" t="str">
        <f t="shared" si="152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1"/>
        <v>-6</v>
      </c>
    </row>
    <row r="4818" spans="1:8" x14ac:dyDescent="0.2">
      <c r="A4818" t="s">
        <v>7</v>
      </c>
      <c r="B4818" t="s">
        <v>22</v>
      </c>
      <c r="C4818" t="str">
        <f t="shared" si="152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1"/>
        <v>-6</v>
      </c>
    </row>
    <row r="4819" spans="1:8" x14ac:dyDescent="0.2">
      <c r="A4819" t="s">
        <v>7</v>
      </c>
      <c r="B4819" t="s">
        <v>22</v>
      </c>
      <c r="C4819" t="str">
        <f t="shared" si="152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1"/>
        <v>-6</v>
      </c>
    </row>
    <row r="4820" spans="1:8" x14ac:dyDescent="0.2">
      <c r="A4820" t="s">
        <v>7</v>
      </c>
      <c r="B4820" t="s">
        <v>22</v>
      </c>
      <c r="C4820" t="str">
        <f t="shared" si="152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1"/>
        <v>-6</v>
      </c>
    </row>
    <row r="4821" spans="1:8" x14ac:dyDescent="0.2">
      <c r="A4821" t="s">
        <v>7</v>
      </c>
      <c r="B4821" t="s">
        <v>22</v>
      </c>
      <c r="C4821" t="str">
        <f t="shared" si="152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1"/>
        <v>-6</v>
      </c>
    </row>
    <row r="4822" spans="1:8" x14ac:dyDescent="0.2">
      <c r="A4822" t="s">
        <v>7</v>
      </c>
      <c r="B4822" t="s">
        <v>22</v>
      </c>
      <c r="C4822" t="str">
        <f t="shared" si="152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1"/>
        <v>-6</v>
      </c>
    </row>
    <row r="4823" spans="1:8" x14ac:dyDescent="0.2">
      <c r="A4823" t="s">
        <v>7</v>
      </c>
      <c r="B4823" t="s">
        <v>22</v>
      </c>
      <c r="C4823" t="str">
        <f t="shared" si="152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1"/>
        <v>-6</v>
      </c>
    </row>
    <row r="4824" spans="1:8" x14ac:dyDescent="0.2">
      <c r="A4824" t="s">
        <v>7</v>
      </c>
      <c r="B4824" t="s">
        <v>22</v>
      </c>
      <c r="C4824" t="str">
        <f t="shared" si="152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1"/>
        <v>-6</v>
      </c>
    </row>
    <row r="4825" spans="1:8" x14ac:dyDescent="0.2">
      <c r="A4825" t="s">
        <v>7</v>
      </c>
      <c r="B4825" t="s">
        <v>22</v>
      </c>
      <c r="C4825" t="str">
        <f t="shared" si="152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1"/>
        <v>-6</v>
      </c>
    </row>
    <row r="4826" spans="1:8" x14ac:dyDescent="0.2">
      <c r="A4826" t="s">
        <v>7</v>
      </c>
      <c r="B4826" t="s">
        <v>22</v>
      </c>
      <c r="C4826" t="str">
        <f t="shared" si="152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1"/>
        <v>-6</v>
      </c>
    </row>
    <row r="4827" spans="1:8" x14ac:dyDescent="0.2">
      <c r="A4827" t="s">
        <v>7</v>
      </c>
      <c r="B4827" t="s">
        <v>22</v>
      </c>
      <c r="C4827" t="str">
        <f t="shared" si="152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1"/>
        <v>-6</v>
      </c>
    </row>
    <row r="4828" spans="1:8" x14ac:dyDescent="0.2">
      <c r="A4828" t="s">
        <v>7</v>
      </c>
      <c r="B4828" t="s">
        <v>22</v>
      </c>
      <c r="C4828" t="str">
        <f t="shared" si="152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1"/>
        <v>-6</v>
      </c>
    </row>
    <row r="4829" spans="1:8" x14ac:dyDescent="0.2">
      <c r="A4829" t="s">
        <v>7</v>
      </c>
      <c r="B4829" t="s">
        <v>22</v>
      </c>
      <c r="C4829" t="str">
        <f t="shared" si="152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1"/>
        <v>-6</v>
      </c>
    </row>
    <row r="4830" spans="1:8" x14ac:dyDescent="0.2">
      <c r="A4830" t="s">
        <v>7</v>
      </c>
      <c r="B4830" t="s">
        <v>22</v>
      </c>
      <c r="C4830" t="str">
        <f t="shared" si="152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1"/>
        <v>-6</v>
      </c>
    </row>
    <row r="4831" spans="1:8" x14ac:dyDescent="0.2">
      <c r="A4831" t="s">
        <v>7</v>
      </c>
      <c r="B4831" t="s">
        <v>22</v>
      </c>
      <c r="C4831" t="str">
        <f t="shared" si="152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1"/>
        <v>-6</v>
      </c>
    </row>
    <row r="4832" spans="1:8" x14ac:dyDescent="0.2">
      <c r="A4832" t="s">
        <v>7</v>
      </c>
      <c r="B4832" t="s">
        <v>22</v>
      </c>
      <c r="C4832" t="str">
        <f t="shared" si="152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1"/>
        <v>-6</v>
      </c>
    </row>
    <row r="4833" spans="1:8" x14ac:dyDescent="0.2">
      <c r="A4833" t="s">
        <v>7</v>
      </c>
      <c r="B4833" t="s">
        <v>22</v>
      </c>
      <c r="C4833" t="str">
        <f t="shared" si="152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1"/>
        <v>-6</v>
      </c>
    </row>
    <row r="4834" spans="1:8" x14ac:dyDescent="0.2">
      <c r="A4834" t="s">
        <v>7</v>
      </c>
      <c r="B4834" t="s">
        <v>22</v>
      </c>
      <c r="C4834" t="str">
        <f t="shared" si="152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1"/>
        <v>-6</v>
      </c>
    </row>
    <row r="4835" spans="1:8" x14ac:dyDescent="0.2">
      <c r="A4835" t="s">
        <v>7</v>
      </c>
      <c r="B4835" t="s">
        <v>22</v>
      </c>
      <c r="C4835" t="str">
        <f t="shared" si="152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1"/>
        <v>-6</v>
      </c>
    </row>
    <row r="4836" spans="1:8" x14ac:dyDescent="0.2">
      <c r="A4836" t="s">
        <v>19</v>
      </c>
      <c r="B4836" t="s">
        <v>22</v>
      </c>
      <c r="C4836" t="str">
        <f t="shared" si="152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1"/>
        <v>-6</v>
      </c>
    </row>
    <row r="4837" spans="1:8" x14ac:dyDescent="0.2">
      <c r="A4837" t="s">
        <v>7</v>
      </c>
      <c r="B4837" t="s">
        <v>22</v>
      </c>
      <c r="C4837" t="str">
        <f t="shared" si="152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1"/>
        <v>-6</v>
      </c>
    </row>
    <row r="4838" spans="1:8" x14ac:dyDescent="0.2">
      <c r="A4838" t="s">
        <v>7</v>
      </c>
      <c r="B4838" t="s">
        <v>22</v>
      </c>
      <c r="C4838" t="str">
        <f t="shared" si="152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1"/>
        <v>-6</v>
      </c>
    </row>
    <row r="4839" spans="1:8" x14ac:dyDescent="0.2">
      <c r="A4839" t="s">
        <v>7</v>
      </c>
      <c r="B4839" t="s">
        <v>22</v>
      </c>
      <c r="C4839" t="str">
        <f t="shared" si="152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1"/>
        <v>-6</v>
      </c>
    </row>
    <row r="4840" spans="1:8" x14ac:dyDescent="0.2">
      <c r="A4840" t="s">
        <v>7</v>
      </c>
      <c r="B4840" t="s">
        <v>22</v>
      </c>
      <c r="C4840" t="str">
        <f t="shared" si="152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1"/>
        <v>-6</v>
      </c>
    </row>
    <row r="4841" spans="1:8" x14ac:dyDescent="0.2">
      <c r="A4841" t="s">
        <v>7</v>
      </c>
      <c r="B4841" t="s">
        <v>22</v>
      </c>
      <c r="C4841" t="str">
        <f t="shared" si="152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1"/>
        <v>-6</v>
      </c>
    </row>
    <row r="4842" spans="1:8" x14ac:dyDescent="0.2">
      <c r="A4842" t="s">
        <v>7</v>
      </c>
      <c r="B4842" t="s">
        <v>22</v>
      </c>
      <c r="C4842" t="str">
        <f t="shared" si="152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1"/>
        <v>-6</v>
      </c>
    </row>
    <row r="4843" spans="1:8" x14ac:dyDescent="0.2">
      <c r="A4843" t="s">
        <v>7</v>
      </c>
      <c r="B4843" t="s">
        <v>22</v>
      </c>
      <c r="C4843" t="str">
        <f t="shared" si="152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1"/>
        <v>-6</v>
      </c>
    </row>
    <row r="4844" spans="1:8" x14ac:dyDescent="0.2">
      <c r="A4844" t="s">
        <v>7</v>
      </c>
      <c r="B4844" t="s">
        <v>22</v>
      </c>
      <c r="C4844" t="str">
        <f t="shared" si="152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1"/>
        <v>-6</v>
      </c>
    </row>
    <row r="4845" spans="1:8" x14ac:dyDescent="0.2">
      <c r="A4845" t="s">
        <v>7</v>
      </c>
      <c r="B4845" t="s">
        <v>22</v>
      </c>
      <c r="C4845" t="str">
        <f t="shared" si="152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1"/>
        <v>-6</v>
      </c>
    </row>
    <row r="4846" spans="1:8" x14ac:dyDescent="0.2">
      <c r="A4846" t="s">
        <v>7</v>
      </c>
      <c r="B4846" t="s">
        <v>22</v>
      </c>
      <c r="C4846" t="str">
        <f t="shared" si="152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1"/>
        <v>-6</v>
      </c>
    </row>
    <row r="4847" spans="1:8" x14ac:dyDescent="0.2">
      <c r="A4847" t="s">
        <v>7</v>
      </c>
      <c r="B4847" t="s">
        <v>22</v>
      </c>
      <c r="C4847" t="str">
        <f t="shared" si="152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1"/>
        <v>-6</v>
      </c>
    </row>
    <row r="4848" spans="1:8" x14ac:dyDescent="0.2">
      <c r="A4848" t="s">
        <v>7</v>
      </c>
      <c r="B4848" t="s">
        <v>22</v>
      </c>
      <c r="C4848" t="str">
        <f t="shared" si="152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1"/>
        <v>-6</v>
      </c>
    </row>
    <row r="4849" spans="1:8" x14ac:dyDescent="0.2">
      <c r="A4849" t="s">
        <v>7</v>
      </c>
      <c r="B4849" t="s">
        <v>22</v>
      </c>
      <c r="C4849" t="str">
        <f t="shared" si="152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1"/>
        <v>-6</v>
      </c>
    </row>
    <row r="4850" spans="1:8" x14ac:dyDescent="0.2">
      <c r="A4850" t="s">
        <v>19</v>
      </c>
      <c r="B4850" t="s">
        <v>22</v>
      </c>
      <c r="C4850" t="str">
        <f t="shared" si="152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1"/>
        <v>-6</v>
      </c>
    </row>
    <row r="4851" spans="1:8" x14ac:dyDescent="0.2">
      <c r="A4851" t="s">
        <v>7</v>
      </c>
      <c r="B4851" t="s">
        <v>22</v>
      </c>
      <c r="C4851" t="str">
        <f t="shared" si="152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1"/>
        <v>-6</v>
      </c>
    </row>
    <row r="4852" spans="1:8" x14ac:dyDescent="0.2">
      <c r="A4852" t="s">
        <v>7</v>
      </c>
      <c r="B4852" t="s">
        <v>22</v>
      </c>
      <c r="C4852" t="str">
        <f t="shared" si="152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1"/>
        <v>-6</v>
      </c>
    </row>
    <row r="4853" spans="1:8" x14ac:dyDescent="0.2">
      <c r="A4853" t="s">
        <v>7</v>
      </c>
      <c r="B4853" t="s">
        <v>22</v>
      </c>
      <c r="C4853" t="str">
        <f t="shared" si="152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1"/>
        <v>-6</v>
      </c>
    </row>
    <row r="4854" spans="1:8" x14ac:dyDescent="0.2">
      <c r="A4854" t="s">
        <v>7</v>
      </c>
      <c r="B4854" t="s">
        <v>22</v>
      </c>
      <c r="C4854" t="str">
        <f t="shared" si="152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1"/>
        <v>-6</v>
      </c>
    </row>
    <row r="4855" spans="1:8" x14ac:dyDescent="0.2">
      <c r="A4855" t="s">
        <v>7</v>
      </c>
      <c r="B4855" t="s">
        <v>22</v>
      </c>
      <c r="C4855" t="str">
        <f t="shared" si="152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1"/>
        <v>-6</v>
      </c>
    </row>
    <row r="4856" spans="1:8" x14ac:dyDescent="0.2">
      <c r="A4856" t="s">
        <v>7</v>
      </c>
      <c r="B4856" t="s">
        <v>23</v>
      </c>
      <c r="C4856" t="str">
        <f t="shared" si="152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 t="shared" si="151"/>
        <v>12</v>
      </c>
    </row>
    <row r="4857" spans="1:8" x14ac:dyDescent="0.2">
      <c r="A4857" t="s">
        <v>7</v>
      </c>
      <c r="B4857" t="s">
        <v>23</v>
      </c>
      <c r="C4857" t="str">
        <f t="shared" si="152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si="151"/>
        <v>11</v>
      </c>
    </row>
    <row r="4858" spans="1:8" x14ac:dyDescent="0.2">
      <c r="A4858" t="s">
        <v>7</v>
      </c>
      <c r="B4858" t="s">
        <v>23</v>
      </c>
      <c r="C4858" t="str">
        <f t="shared" si="152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51"/>
        <v>10</v>
      </c>
    </row>
    <row r="4859" spans="1:8" x14ac:dyDescent="0.2">
      <c r="A4859" t="s">
        <v>7</v>
      </c>
      <c r="B4859" t="s">
        <v>23</v>
      </c>
      <c r="C4859" t="str">
        <f t="shared" si="152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51"/>
        <v>10</v>
      </c>
    </row>
    <row r="4860" spans="1:8" x14ac:dyDescent="0.2">
      <c r="A4860" t="s">
        <v>7</v>
      </c>
      <c r="B4860" t="s">
        <v>23</v>
      </c>
      <c r="C4860" t="str">
        <f t="shared" si="152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51"/>
        <v>9</v>
      </c>
    </row>
    <row r="4861" spans="1:8" x14ac:dyDescent="0.2">
      <c r="A4861" t="s">
        <v>7</v>
      </c>
      <c r="B4861" t="s">
        <v>23</v>
      </c>
      <c r="C4861" t="str">
        <f t="shared" si="152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51"/>
        <v>8</v>
      </c>
    </row>
    <row r="4862" spans="1:8" x14ac:dyDescent="0.2">
      <c r="A4862" t="s">
        <v>7</v>
      </c>
      <c r="B4862" t="s">
        <v>23</v>
      </c>
      <c r="C4862" t="str">
        <f t="shared" si="152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51"/>
        <v>7</v>
      </c>
    </row>
    <row r="4863" spans="1:8" x14ac:dyDescent="0.2">
      <c r="A4863" t="s">
        <v>7</v>
      </c>
      <c r="B4863" t="s">
        <v>23</v>
      </c>
      <c r="C4863" t="str">
        <f t="shared" si="152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51"/>
        <v>7</v>
      </c>
    </row>
    <row r="4864" spans="1:8" x14ac:dyDescent="0.2">
      <c r="A4864" t="s">
        <v>7</v>
      </c>
      <c r="B4864" t="s">
        <v>23</v>
      </c>
      <c r="C4864" t="str">
        <f t="shared" si="152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51"/>
        <v>7</v>
      </c>
    </row>
    <row r="4865" spans="1:8" x14ac:dyDescent="0.2">
      <c r="A4865" t="s">
        <v>7</v>
      </c>
      <c r="B4865" t="s">
        <v>23</v>
      </c>
      <c r="C4865" t="str">
        <f t="shared" si="152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51"/>
        <v>7</v>
      </c>
    </row>
    <row r="4866" spans="1:8" x14ac:dyDescent="0.2">
      <c r="A4866" t="s">
        <v>7</v>
      </c>
      <c r="B4866" t="s">
        <v>23</v>
      </c>
      <c r="C4866" t="str">
        <f t="shared" si="152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51"/>
        <v>6</v>
      </c>
    </row>
    <row r="4867" spans="1:8" x14ac:dyDescent="0.2">
      <c r="A4867" t="s">
        <v>7</v>
      </c>
      <c r="B4867" t="s">
        <v>23</v>
      </c>
      <c r="C4867" t="str">
        <f t="shared" si="152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ref="H4867:H4930" si="153">F4867-G4867</f>
        <v>6</v>
      </c>
    </row>
    <row r="4868" spans="1:8" x14ac:dyDescent="0.2">
      <c r="A4868" t="s">
        <v>7</v>
      </c>
      <c r="B4868" t="s">
        <v>23</v>
      </c>
      <c r="C4868" t="str">
        <f t="shared" ref="C4868:C4931" si="154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53"/>
        <v>5</v>
      </c>
    </row>
    <row r="4869" spans="1:8" x14ac:dyDescent="0.2">
      <c r="A4869" t="s">
        <v>7</v>
      </c>
      <c r="B4869" t="s">
        <v>23</v>
      </c>
      <c r="C4869" t="str">
        <f t="shared" si="154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53"/>
        <v>5</v>
      </c>
    </row>
    <row r="4870" spans="1:8" x14ac:dyDescent="0.2">
      <c r="A4870" t="s">
        <v>7</v>
      </c>
      <c r="B4870" t="s">
        <v>23</v>
      </c>
      <c r="C4870" t="str">
        <f t="shared" si="154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53"/>
        <v>4</v>
      </c>
    </row>
    <row r="4871" spans="1:8" x14ac:dyDescent="0.2">
      <c r="A4871" t="s">
        <v>7</v>
      </c>
      <c r="B4871" t="s">
        <v>23</v>
      </c>
      <c r="C4871" t="str">
        <f t="shared" si="154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53"/>
        <v>4</v>
      </c>
    </row>
    <row r="4872" spans="1:8" x14ac:dyDescent="0.2">
      <c r="A4872" t="s">
        <v>7</v>
      </c>
      <c r="B4872" t="s">
        <v>23</v>
      </c>
      <c r="C4872" t="str">
        <f t="shared" si="154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53"/>
        <v>4</v>
      </c>
    </row>
    <row r="4873" spans="1:8" x14ac:dyDescent="0.2">
      <c r="A4873" t="s">
        <v>7</v>
      </c>
      <c r="B4873" t="s">
        <v>23</v>
      </c>
      <c r="C4873" t="str">
        <f t="shared" si="154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53"/>
        <v>3</v>
      </c>
    </row>
    <row r="4874" spans="1:8" x14ac:dyDescent="0.2">
      <c r="A4874" t="s">
        <v>7</v>
      </c>
      <c r="B4874" t="s">
        <v>23</v>
      </c>
      <c r="C4874" t="str">
        <f t="shared" si="154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53"/>
        <v>3</v>
      </c>
    </row>
    <row r="4875" spans="1:8" x14ac:dyDescent="0.2">
      <c r="A4875" t="s">
        <v>7</v>
      </c>
      <c r="B4875" t="s">
        <v>23</v>
      </c>
      <c r="C4875" t="str">
        <f t="shared" si="154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53"/>
        <v>3</v>
      </c>
    </row>
    <row r="4876" spans="1:8" x14ac:dyDescent="0.2">
      <c r="A4876" t="s">
        <v>7</v>
      </c>
      <c r="B4876" t="s">
        <v>23</v>
      </c>
      <c r="C4876" t="str">
        <f t="shared" si="154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53"/>
        <v>3</v>
      </c>
    </row>
    <row r="4877" spans="1:8" x14ac:dyDescent="0.2">
      <c r="A4877" t="s">
        <v>7</v>
      </c>
      <c r="B4877" t="s">
        <v>23</v>
      </c>
      <c r="C4877" t="str">
        <f t="shared" si="154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53"/>
        <v>3</v>
      </c>
    </row>
    <row r="4878" spans="1:8" x14ac:dyDescent="0.2">
      <c r="A4878" t="s">
        <v>7</v>
      </c>
      <c r="B4878" t="s">
        <v>23</v>
      </c>
      <c r="C4878" t="str">
        <f t="shared" si="154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53"/>
        <v>2</v>
      </c>
    </row>
    <row r="4879" spans="1:8" x14ac:dyDescent="0.2">
      <c r="A4879" t="s">
        <v>7</v>
      </c>
      <c r="B4879" t="s">
        <v>23</v>
      </c>
      <c r="C4879" t="str">
        <f t="shared" si="154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53"/>
        <v>2</v>
      </c>
    </row>
    <row r="4880" spans="1:8" x14ac:dyDescent="0.2">
      <c r="A4880" t="s">
        <v>7</v>
      </c>
      <c r="B4880" t="s">
        <v>23</v>
      </c>
      <c r="C4880" t="str">
        <f t="shared" si="154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53"/>
        <v>2</v>
      </c>
    </row>
    <row r="4881" spans="1:8" x14ac:dyDescent="0.2">
      <c r="A4881" t="s">
        <v>7</v>
      </c>
      <c r="B4881" t="s">
        <v>23</v>
      </c>
      <c r="C4881" t="str">
        <f t="shared" si="154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53"/>
        <v>2</v>
      </c>
    </row>
    <row r="4882" spans="1:8" x14ac:dyDescent="0.2">
      <c r="A4882" t="s">
        <v>7</v>
      </c>
      <c r="B4882" t="s">
        <v>23</v>
      </c>
      <c r="C4882" t="str">
        <f t="shared" si="154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53"/>
        <v>2</v>
      </c>
    </row>
    <row r="4883" spans="1:8" x14ac:dyDescent="0.2">
      <c r="A4883" t="s">
        <v>7</v>
      </c>
      <c r="B4883" t="s">
        <v>23</v>
      </c>
      <c r="C4883" t="str">
        <f t="shared" si="154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53"/>
        <v>2</v>
      </c>
    </row>
    <row r="4884" spans="1:8" x14ac:dyDescent="0.2">
      <c r="A4884" t="s">
        <v>7</v>
      </c>
      <c r="B4884" t="s">
        <v>23</v>
      </c>
      <c r="C4884" t="str">
        <f t="shared" si="154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53"/>
        <v>2</v>
      </c>
    </row>
    <row r="4885" spans="1:8" x14ac:dyDescent="0.2">
      <c r="A4885" t="s">
        <v>7</v>
      </c>
      <c r="B4885" t="s">
        <v>23</v>
      </c>
      <c r="C4885" t="str">
        <f t="shared" si="154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53"/>
        <v>2</v>
      </c>
    </row>
    <row r="4886" spans="1:8" x14ac:dyDescent="0.2">
      <c r="A4886" t="s">
        <v>7</v>
      </c>
      <c r="B4886" t="s">
        <v>23</v>
      </c>
      <c r="C4886" t="str">
        <f t="shared" si="154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53"/>
        <v>2</v>
      </c>
    </row>
    <row r="4887" spans="1:8" x14ac:dyDescent="0.2">
      <c r="A4887" t="s">
        <v>7</v>
      </c>
      <c r="B4887" t="s">
        <v>23</v>
      </c>
      <c r="C4887" t="str">
        <f t="shared" si="154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53"/>
        <v>2</v>
      </c>
    </row>
    <row r="4888" spans="1:8" x14ac:dyDescent="0.2">
      <c r="A4888" t="s">
        <v>7</v>
      </c>
      <c r="B4888" t="s">
        <v>23</v>
      </c>
      <c r="C4888" t="str">
        <f t="shared" si="154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53"/>
        <v>1</v>
      </c>
    </row>
    <row r="4889" spans="1:8" x14ac:dyDescent="0.2">
      <c r="A4889" t="s">
        <v>7</v>
      </c>
      <c r="B4889" t="s">
        <v>23</v>
      </c>
      <c r="C4889" t="str">
        <f t="shared" si="154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53"/>
        <v>1</v>
      </c>
    </row>
    <row r="4890" spans="1:8" x14ac:dyDescent="0.2">
      <c r="A4890" t="s">
        <v>7</v>
      </c>
      <c r="B4890" t="s">
        <v>23</v>
      </c>
      <c r="C4890" t="str">
        <f t="shared" si="154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53"/>
        <v>1</v>
      </c>
    </row>
    <row r="4891" spans="1:8" x14ac:dyDescent="0.2">
      <c r="A4891" t="s">
        <v>7</v>
      </c>
      <c r="B4891" t="s">
        <v>23</v>
      </c>
      <c r="C4891" t="str">
        <f t="shared" si="154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53"/>
        <v>1</v>
      </c>
    </row>
    <row r="4892" spans="1:8" x14ac:dyDescent="0.2">
      <c r="A4892" t="s">
        <v>7</v>
      </c>
      <c r="B4892" t="s">
        <v>23</v>
      </c>
      <c r="C4892" t="str">
        <f t="shared" si="154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53"/>
        <v>1</v>
      </c>
    </row>
    <row r="4893" spans="1:8" x14ac:dyDescent="0.2">
      <c r="A4893" t="s">
        <v>7</v>
      </c>
      <c r="B4893" t="s">
        <v>23</v>
      </c>
      <c r="C4893" t="str">
        <f t="shared" si="154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53"/>
        <v>1</v>
      </c>
    </row>
    <row r="4894" spans="1:8" x14ac:dyDescent="0.2">
      <c r="A4894" t="s">
        <v>7</v>
      </c>
      <c r="B4894" t="s">
        <v>23</v>
      </c>
      <c r="C4894" t="str">
        <f t="shared" si="154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53"/>
        <v>1</v>
      </c>
    </row>
    <row r="4895" spans="1:8" x14ac:dyDescent="0.2">
      <c r="A4895" t="s">
        <v>7</v>
      </c>
      <c r="B4895" t="s">
        <v>23</v>
      </c>
      <c r="C4895" t="str">
        <f t="shared" si="154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53"/>
        <v>1</v>
      </c>
    </row>
    <row r="4896" spans="1:8" x14ac:dyDescent="0.2">
      <c r="A4896" t="s">
        <v>7</v>
      </c>
      <c r="B4896" t="s">
        <v>23</v>
      </c>
      <c r="C4896" t="str">
        <f t="shared" si="154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53"/>
        <v>1</v>
      </c>
    </row>
    <row r="4897" spans="1:8" x14ac:dyDescent="0.2">
      <c r="A4897" t="s">
        <v>7</v>
      </c>
      <c r="B4897" t="s">
        <v>23</v>
      </c>
      <c r="C4897" t="str">
        <f t="shared" si="154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53"/>
        <v>1</v>
      </c>
    </row>
    <row r="4898" spans="1:8" x14ac:dyDescent="0.2">
      <c r="A4898" t="s">
        <v>7</v>
      </c>
      <c r="B4898" t="s">
        <v>23</v>
      </c>
      <c r="C4898" t="str">
        <f t="shared" si="154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53"/>
        <v>0</v>
      </c>
    </row>
    <row r="4899" spans="1:8" x14ac:dyDescent="0.2">
      <c r="A4899" t="s">
        <v>7</v>
      </c>
      <c r="B4899" t="s">
        <v>23</v>
      </c>
      <c r="C4899" t="str">
        <f t="shared" si="154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53"/>
        <v>0</v>
      </c>
    </row>
    <row r="4900" spans="1:8" x14ac:dyDescent="0.2">
      <c r="A4900" t="s">
        <v>7</v>
      </c>
      <c r="B4900" t="s">
        <v>23</v>
      </c>
      <c r="C4900" t="str">
        <f t="shared" si="154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53"/>
        <v>0</v>
      </c>
    </row>
    <row r="4901" spans="1:8" x14ac:dyDescent="0.2">
      <c r="A4901" t="s">
        <v>7</v>
      </c>
      <c r="B4901" t="s">
        <v>23</v>
      </c>
      <c r="C4901" t="str">
        <f t="shared" si="154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53"/>
        <v>0</v>
      </c>
    </row>
    <row r="4902" spans="1:8" x14ac:dyDescent="0.2">
      <c r="A4902" t="s">
        <v>7</v>
      </c>
      <c r="B4902" t="s">
        <v>23</v>
      </c>
      <c r="C4902" t="str">
        <f t="shared" si="154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53"/>
        <v>0</v>
      </c>
    </row>
    <row r="4903" spans="1:8" x14ac:dyDescent="0.2">
      <c r="A4903" t="s">
        <v>7</v>
      </c>
      <c r="B4903" t="s">
        <v>23</v>
      </c>
      <c r="C4903" t="str">
        <f t="shared" si="154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53"/>
        <v>0</v>
      </c>
    </row>
    <row r="4904" spans="1:8" x14ac:dyDescent="0.2">
      <c r="A4904" t="s">
        <v>7</v>
      </c>
      <c r="B4904" t="s">
        <v>23</v>
      </c>
      <c r="C4904" t="str">
        <f t="shared" si="154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53"/>
        <v>0</v>
      </c>
    </row>
    <row r="4905" spans="1:8" x14ac:dyDescent="0.2">
      <c r="A4905" t="s">
        <v>7</v>
      </c>
      <c r="B4905" t="s">
        <v>23</v>
      </c>
      <c r="C4905" t="str">
        <f t="shared" si="154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53"/>
        <v>0</v>
      </c>
    </row>
    <row r="4906" spans="1:8" x14ac:dyDescent="0.2">
      <c r="A4906" t="s">
        <v>7</v>
      </c>
      <c r="B4906" t="s">
        <v>23</v>
      </c>
      <c r="C4906" t="str">
        <f t="shared" si="154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53"/>
        <v>0</v>
      </c>
    </row>
    <row r="4907" spans="1:8" x14ac:dyDescent="0.2">
      <c r="A4907" t="s">
        <v>7</v>
      </c>
      <c r="B4907" t="s">
        <v>23</v>
      </c>
      <c r="C4907" t="str">
        <f t="shared" si="154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53"/>
        <v>0</v>
      </c>
    </row>
    <row r="4908" spans="1:8" x14ac:dyDescent="0.2">
      <c r="A4908" t="s">
        <v>7</v>
      </c>
      <c r="B4908" t="s">
        <v>23</v>
      </c>
      <c r="C4908" t="str">
        <f t="shared" si="154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53"/>
        <v>0</v>
      </c>
    </row>
    <row r="4909" spans="1:8" x14ac:dyDescent="0.2">
      <c r="A4909" t="s">
        <v>7</v>
      </c>
      <c r="B4909" t="s">
        <v>23</v>
      </c>
      <c r="C4909" t="str">
        <f t="shared" si="154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53"/>
        <v>0</v>
      </c>
    </row>
    <row r="4910" spans="1:8" x14ac:dyDescent="0.2">
      <c r="A4910" t="s">
        <v>7</v>
      </c>
      <c r="B4910" t="s">
        <v>23</v>
      </c>
      <c r="C4910" t="str">
        <f t="shared" si="154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53"/>
        <v>0</v>
      </c>
    </row>
    <row r="4911" spans="1:8" x14ac:dyDescent="0.2">
      <c r="A4911" t="s">
        <v>7</v>
      </c>
      <c r="B4911" t="s">
        <v>23</v>
      </c>
      <c r="C4911" t="str">
        <f t="shared" si="154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53"/>
        <v>0</v>
      </c>
    </row>
    <row r="4912" spans="1:8" x14ac:dyDescent="0.2">
      <c r="A4912" t="s">
        <v>7</v>
      </c>
      <c r="B4912" t="s">
        <v>23</v>
      </c>
      <c r="C4912" t="str">
        <f t="shared" si="154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53"/>
        <v>0</v>
      </c>
    </row>
    <row r="4913" spans="1:8" x14ac:dyDescent="0.2">
      <c r="A4913" t="s">
        <v>7</v>
      </c>
      <c r="B4913" t="s">
        <v>23</v>
      </c>
      <c r="C4913" t="str">
        <f t="shared" si="154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53"/>
        <v>0</v>
      </c>
    </row>
    <row r="4914" spans="1:8" x14ac:dyDescent="0.2">
      <c r="A4914" t="s">
        <v>7</v>
      </c>
      <c r="B4914" t="s">
        <v>23</v>
      </c>
      <c r="C4914" t="str">
        <f t="shared" si="154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53"/>
        <v>0</v>
      </c>
    </row>
    <row r="4915" spans="1:8" x14ac:dyDescent="0.2">
      <c r="A4915" t="s">
        <v>7</v>
      </c>
      <c r="B4915" t="s">
        <v>23</v>
      </c>
      <c r="C4915" t="str">
        <f t="shared" si="154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53"/>
        <v>0</v>
      </c>
    </row>
    <row r="4916" spans="1:8" x14ac:dyDescent="0.2">
      <c r="A4916" t="s">
        <v>7</v>
      </c>
      <c r="B4916" t="s">
        <v>23</v>
      </c>
      <c r="C4916" t="str">
        <f t="shared" si="154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53"/>
        <v>0</v>
      </c>
    </row>
    <row r="4917" spans="1:8" x14ac:dyDescent="0.2">
      <c r="A4917" t="s">
        <v>7</v>
      </c>
      <c r="B4917" t="s">
        <v>23</v>
      </c>
      <c r="C4917" t="str">
        <f t="shared" si="154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53"/>
        <v>-1</v>
      </c>
    </row>
    <row r="4918" spans="1:8" x14ac:dyDescent="0.2">
      <c r="A4918" t="s">
        <v>7</v>
      </c>
      <c r="B4918" t="s">
        <v>23</v>
      </c>
      <c r="C4918" t="str">
        <f t="shared" si="154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53"/>
        <v>-1</v>
      </c>
    </row>
    <row r="4919" spans="1:8" x14ac:dyDescent="0.2">
      <c r="A4919" t="s">
        <v>7</v>
      </c>
      <c r="B4919" t="s">
        <v>23</v>
      </c>
      <c r="C4919" t="str">
        <f t="shared" si="154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53"/>
        <v>-1</v>
      </c>
    </row>
    <row r="4920" spans="1:8" x14ac:dyDescent="0.2">
      <c r="A4920" t="s">
        <v>7</v>
      </c>
      <c r="B4920" t="s">
        <v>23</v>
      </c>
      <c r="C4920" t="str">
        <f t="shared" si="154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53"/>
        <v>-1</v>
      </c>
    </row>
    <row r="4921" spans="1:8" x14ac:dyDescent="0.2">
      <c r="A4921" t="s">
        <v>7</v>
      </c>
      <c r="B4921" t="s">
        <v>23</v>
      </c>
      <c r="C4921" t="str">
        <f t="shared" si="154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si="153"/>
        <v>-1</v>
      </c>
    </row>
    <row r="4922" spans="1:8" x14ac:dyDescent="0.2">
      <c r="A4922" t="s">
        <v>7</v>
      </c>
      <c r="B4922" t="s">
        <v>23</v>
      </c>
      <c r="C4922" t="str">
        <f t="shared" si="154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53"/>
        <v>-1</v>
      </c>
    </row>
    <row r="4923" spans="1:8" x14ac:dyDescent="0.2">
      <c r="A4923" t="s">
        <v>7</v>
      </c>
      <c r="B4923" t="s">
        <v>23</v>
      </c>
      <c r="C4923" t="str">
        <f t="shared" si="154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53"/>
        <v>-1</v>
      </c>
    </row>
    <row r="4924" spans="1:8" x14ac:dyDescent="0.2">
      <c r="A4924" t="s">
        <v>7</v>
      </c>
      <c r="B4924" t="s">
        <v>23</v>
      </c>
      <c r="C4924" t="str">
        <f t="shared" si="154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53"/>
        <v>0</v>
      </c>
    </row>
    <row r="4925" spans="1:8" x14ac:dyDescent="0.2">
      <c r="A4925" t="s">
        <v>7</v>
      </c>
      <c r="B4925" t="s">
        <v>23</v>
      </c>
      <c r="C4925" t="str">
        <f t="shared" si="154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53"/>
        <v>-1</v>
      </c>
    </row>
    <row r="4926" spans="1:8" x14ac:dyDescent="0.2">
      <c r="A4926" t="s">
        <v>7</v>
      </c>
      <c r="B4926" t="s">
        <v>23</v>
      </c>
      <c r="C4926" t="str">
        <f t="shared" si="154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53"/>
        <v>-1</v>
      </c>
    </row>
    <row r="4927" spans="1:8" x14ac:dyDescent="0.2">
      <c r="A4927" t="s">
        <v>7</v>
      </c>
      <c r="B4927" t="s">
        <v>23</v>
      </c>
      <c r="C4927" t="str">
        <f t="shared" si="154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53"/>
        <v>-1</v>
      </c>
    </row>
    <row r="4928" spans="1:8" x14ac:dyDescent="0.2">
      <c r="A4928" t="s">
        <v>7</v>
      </c>
      <c r="B4928" t="s">
        <v>23</v>
      </c>
      <c r="C4928" t="str">
        <f t="shared" si="154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53"/>
        <v>-1</v>
      </c>
    </row>
    <row r="4929" spans="1:8" x14ac:dyDescent="0.2">
      <c r="A4929" t="s">
        <v>7</v>
      </c>
      <c r="B4929" t="s">
        <v>23</v>
      </c>
      <c r="C4929" t="str">
        <f t="shared" si="154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53"/>
        <v>-1</v>
      </c>
    </row>
    <row r="4930" spans="1:8" x14ac:dyDescent="0.2">
      <c r="A4930" t="s">
        <v>7</v>
      </c>
      <c r="B4930" t="s">
        <v>23</v>
      </c>
      <c r="C4930" t="str">
        <f t="shared" si="154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53"/>
        <v>-1</v>
      </c>
    </row>
    <row r="4931" spans="1:8" x14ac:dyDescent="0.2">
      <c r="A4931" t="s">
        <v>7</v>
      </c>
      <c r="B4931" t="s">
        <v>23</v>
      </c>
      <c r="C4931" t="str">
        <f t="shared" si="154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ref="H4931:H4994" si="155">F4931-G4931</f>
        <v>-1</v>
      </c>
    </row>
    <row r="4932" spans="1:8" x14ac:dyDescent="0.2">
      <c r="A4932" t="s">
        <v>7</v>
      </c>
      <c r="B4932" t="s">
        <v>23</v>
      </c>
      <c r="C4932" t="str">
        <f t="shared" ref="C4932:C4995" si="156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55"/>
        <v>-1</v>
      </c>
    </row>
    <row r="4933" spans="1:8" x14ac:dyDescent="0.2">
      <c r="A4933" t="s">
        <v>7</v>
      </c>
      <c r="B4933" t="s">
        <v>23</v>
      </c>
      <c r="C4933" t="str">
        <f t="shared" si="156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55"/>
        <v>-2</v>
      </c>
    </row>
    <row r="4934" spans="1:8" x14ac:dyDescent="0.2">
      <c r="A4934" t="s">
        <v>7</v>
      </c>
      <c r="B4934" t="s">
        <v>23</v>
      </c>
      <c r="C4934" t="str">
        <f t="shared" si="156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55"/>
        <v>-2</v>
      </c>
    </row>
    <row r="4935" spans="1:8" x14ac:dyDescent="0.2">
      <c r="A4935" t="s">
        <v>7</v>
      </c>
      <c r="B4935" t="s">
        <v>23</v>
      </c>
      <c r="C4935" t="str">
        <f t="shared" si="156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55"/>
        <v>-2</v>
      </c>
    </row>
    <row r="4936" spans="1:8" x14ac:dyDescent="0.2">
      <c r="A4936" t="s">
        <v>7</v>
      </c>
      <c r="B4936" t="s">
        <v>23</v>
      </c>
      <c r="C4936" t="str">
        <f t="shared" si="156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55"/>
        <v>-2</v>
      </c>
    </row>
    <row r="4937" spans="1:8" x14ac:dyDescent="0.2">
      <c r="A4937" t="s">
        <v>7</v>
      </c>
      <c r="B4937" t="s">
        <v>23</v>
      </c>
      <c r="C4937" t="str">
        <f t="shared" si="156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55"/>
        <v>-2</v>
      </c>
    </row>
    <row r="4938" spans="1:8" x14ac:dyDescent="0.2">
      <c r="A4938" t="s">
        <v>7</v>
      </c>
      <c r="B4938" t="s">
        <v>23</v>
      </c>
      <c r="C4938" t="str">
        <f t="shared" si="156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55"/>
        <v>0</v>
      </c>
    </row>
    <row r="4939" spans="1:8" x14ac:dyDescent="0.2">
      <c r="A4939" t="s">
        <v>7</v>
      </c>
      <c r="B4939" t="s">
        <v>23</v>
      </c>
      <c r="C4939" t="str">
        <f t="shared" si="156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55"/>
        <v>0</v>
      </c>
    </row>
    <row r="4940" spans="1:8" x14ac:dyDescent="0.2">
      <c r="A4940" t="s">
        <v>7</v>
      </c>
      <c r="B4940" t="s">
        <v>23</v>
      </c>
      <c r="C4940" t="str">
        <f t="shared" si="156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55"/>
        <v>-2</v>
      </c>
    </row>
    <row r="4941" spans="1:8" x14ac:dyDescent="0.2">
      <c r="A4941" t="s">
        <v>7</v>
      </c>
      <c r="B4941" t="s">
        <v>23</v>
      </c>
      <c r="C4941" t="str">
        <f t="shared" si="156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55"/>
        <v>-2</v>
      </c>
    </row>
    <row r="4942" spans="1:8" x14ac:dyDescent="0.2">
      <c r="A4942" t="s">
        <v>7</v>
      </c>
      <c r="B4942" t="s">
        <v>23</v>
      </c>
      <c r="C4942" t="str">
        <f t="shared" si="156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55"/>
        <v>0</v>
      </c>
    </row>
    <row r="4943" spans="1:8" x14ac:dyDescent="0.2">
      <c r="A4943" t="s">
        <v>7</v>
      </c>
      <c r="B4943" t="s">
        <v>23</v>
      </c>
      <c r="C4943" t="str">
        <f t="shared" si="156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55"/>
        <v>-2</v>
      </c>
    </row>
    <row r="4944" spans="1:8" x14ac:dyDescent="0.2">
      <c r="A4944" t="s">
        <v>7</v>
      </c>
      <c r="B4944" t="s">
        <v>23</v>
      </c>
      <c r="C4944" t="str">
        <f t="shared" si="156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55"/>
        <v>-2</v>
      </c>
    </row>
    <row r="4945" spans="1:8" x14ac:dyDescent="0.2">
      <c r="A4945" t="s">
        <v>7</v>
      </c>
      <c r="B4945" t="s">
        <v>23</v>
      </c>
      <c r="C4945" t="str">
        <f t="shared" si="156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55"/>
        <v>-2</v>
      </c>
    </row>
    <row r="4946" spans="1:8" x14ac:dyDescent="0.2">
      <c r="A4946" t="s">
        <v>7</v>
      </c>
      <c r="B4946" t="s">
        <v>23</v>
      </c>
      <c r="C4946" t="str">
        <f t="shared" si="156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55"/>
        <v>-2</v>
      </c>
    </row>
    <row r="4947" spans="1:8" x14ac:dyDescent="0.2">
      <c r="A4947" t="s">
        <v>7</v>
      </c>
      <c r="B4947" t="s">
        <v>23</v>
      </c>
      <c r="C4947" t="str">
        <f t="shared" si="156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55"/>
        <v>-3</v>
      </c>
    </row>
    <row r="4948" spans="1:8" x14ac:dyDescent="0.2">
      <c r="A4948" t="s">
        <v>7</v>
      </c>
      <c r="B4948" t="s">
        <v>23</v>
      </c>
      <c r="C4948" t="str">
        <f t="shared" si="156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55"/>
        <v>-3</v>
      </c>
    </row>
    <row r="4949" spans="1:8" x14ac:dyDescent="0.2">
      <c r="A4949" t="s">
        <v>7</v>
      </c>
      <c r="B4949" t="s">
        <v>23</v>
      </c>
      <c r="C4949" t="str">
        <f t="shared" si="156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55"/>
        <v>-3</v>
      </c>
    </row>
    <row r="4950" spans="1:8" x14ac:dyDescent="0.2">
      <c r="A4950" t="s">
        <v>7</v>
      </c>
      <c r="B4950" t="s">
        <v>23</v>
      </c>
      <c r="C4950" t="str">
        <f t="shared" si="156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55"/>
        <v>-3</v>
      </c>
    </row>
    <row r="4951" spans="1:8" x14ac:dyDescent="0.2">
      <c r="A4951" t="s">
        <v>7</v>
      </c>
      <c r="B4951" t="s">
        <v>23</v>
      </c>
      <c r="C4951" t="str">
        <f t="shared" si="156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55"/>
        <v>-3</v>
      </c>
    </row>
    <row r="4952" spans="1:8" x14ac:dyDescent="0.2">
      <c r="A4952" t="s">
        <v>7</v>
      </c>
      <c r="B4952" t="s">
        <v>23</v>
      </c>
      <c r="C4952" t="str">
        <f t="shared" si="156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55"/>
        <v>0</v>
      </c>
    </row>
    <row r="4953" spans="1:8" x14ac:dyDescent="0.2">
      <c r="A4953" t="s">
        <v>7</v>
      </c>
      <c r="B4953" t="s">
        <v>23</v>
      </c>
      <c r="C4953" t="str">
        <f t="shared" si="156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55"/>
        <v>-3</v>
      </c>
    </row>
    <row r="4954" spans="1:8" x14ac:dyDescent="0.2">
      <c r="A4954" t="s">
        <v>7</v>
      </c>
      <c r="B4954" t="s">
        <v>23</v>
      </c>
      <c r="C4954" t="str">
        <f t="shared" si="156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55"/>
        <v>-3</v>
      </c>
    </row>
    <row r="4955" spans="1:8" x14ac:dyDescent="0.2">
      <c r="A4955" t="s">
        <v>7</v>
      </c>
      <c r="B4955" t="s">
        <v>23</v>
      </c>
      <c r="C4955" t="str">
        <f t="shared" si="156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55"/>
        <v>-3</v>
      </c>
    </row>
    <row r="4956" spans="1:8" x14ac:dyDescent="0.2">
      <c r="A4956" t="s">
        <v>7</v>
      </c>
      <c r="B4956" t="s">
        <v>23</v>
      </c>
      <c r="C4956" t="str">
        <f t="shared" si="156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55"/>
        <v>-3</v>
      </c>
    </row>
    <row r="4957" spans="1:8" x14ac:dyDescent="0.2">
      <c r="A4957" t="s">
        <v>7</v>
      </c>
      <c r="B4957" t="s">
        <v>23</v>
      </c>
      <c r="C4957" t="str">
        <f t="shared" si="156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55"/>
        <v>-3</v>
      </c>
    </row>
    <row r="4958" spans="1:8" x14ac:dyDescent="0.2">
      <c r="A4958" t="s">
        <v>7</v>
      </c>
      <c r="B4958" t="s">
        <v>23</v>
      </c>
      <c r="C4958" t="str">
        <f t="shared" si="156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55"/>
        <v>-3</v>
      </c>
    </row>
    <row r="4959" spans="1:8" x14ac:dyDescent="0.2">
      <c r="A4959" t="s">
        <v>7</v>
      </c>
      <c r="B4959" t="s">
        <v>23</v>
      </c>
      <c r="C4959" t="str">
        <f t="shared" si="156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55"/>
        <v>-3</v>
      </c>
    </row>
    <row r="4960" spans="1:8" x14ac:dyDescent="0.2">
      <c r="A4960" t="s">
        <v>7</v>
      </c>
      <c r="B4960" t="s">
        <v>23</v>
      </c>
      <c r="C4960" t="str">
        <f t="shared" si="156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55"/>
        <v>-3</v>
      </c>
    </row>
    <row r="4961" spans="1:8" x14ac:dyDescent="0.2">
      <c r="A4961" t="s">
        <v>7</v>
      </c>
      <c r="B4961" t="s">
        <v>23</v>
      </c>
      <c r="C4961" t="str">
        <f t="shared" si="156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55"/>
        <v>-3</v>
      </c>
    </row>
    <row r="4962" spans="1:8" x14ac:dyDescent="0.2">
      <c r="A4962" t="s">
        <v>7</v>
      </c>
      <c r="B4962" t="s">
        <v>23</v>
      </c>
      <c r="C4962" t="str">
        <f t="shared" si="156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55"/>
        <v>-4</v>
      </c>
    </row>
    <row r="4963" spans="1:8" x14ac:dyDescent="0.2">
      <c r="A4963" t="s">
        <v>7</v>
      </c>
      <c r="B4963" t="s">
        <v>23</v>
      </c>
      <c r="C4963" t="str">
        <f t="shared" si="156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55"/>
        <v>-4</v>
      </c>
    </row>
    <row r="4964" spans="1:8" x14ac:dyDescent="0.2">
      <c r="A4964" t="s">
        <v>7</v>
      </c>
      <c r="B4964" t="s">
        <v>23</v>
      </c>
      <c r="C4964" t="str">
        <f t="shared" si="156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55"/>
        <v>-4</v>
      </c>
    </row>
    <row r="4965" spans="1:8" x14ac:dyDescent="0.2">
      <c r="A4965" t="s">
        <v>7</v>
      </c>
      <c r="B4965" t="s">
        <v>23</v>
      </c>
      <c r="C4965" t="str">
        <f t="shared" si="156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55"/>
        <v>-4</v>
      </c>
    </row>
    <row r="4966" spans="1:8" x14ac:dyDescent="0.2">
      <c r="A4966" t="s">
        <v>7</v>
      </c>
      <c r="B4966" t="s">
        <v>23</v>
      </c>
      <c r="C4966" t="str">
        <f t="shared" si="156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55"/>
        <v>-4</v>
      </c>
    </row>
    <row r="4967" spans="1:8" x14ac:dyDescent="0.2">
      <c r="A4967" t="s">
        <v>7</v>
      </c>
      <c r="B4967" t="s">
        <v>23</v>
      </c>
      <c r="C4967" t="str">
        <f t="shared" si="156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55"/>
        <v>-4</v>
      </c>
    </row>
    <row r="4968" spans="1:8" x14ac:dyDescent="0.2">
      <c r="A4968" t="s">
        <v>7</v>
      </c>
      <c r="B4968" t="s">
        <v>23</v>
      </c>
      <c r="C4968" t="str">
        <f t="shared" si="156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55"/>
        <v>-4</v>
      </c>
    </row>
    <row r="4969" spans="1:8" x14ac:dyDescent="0.2">
      <c r="A4969" t="s">
        <v>7</v>
      </c>
      <c r="B4969" t="s">
        <v>23</v>
      </c>
      <c r="C4969" t="str">
        <f t="shared" si="156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55"/>
        <v>-4</v>
      </c>
    </row>
    <row r="4970" spans="1:8" x14ac:dyDescent="0.2">
      <c r="A4970" t="s">
        <v>7</v>
      </c>
      <c r="B4970" t="s">
        <v>23</v>
      </c>
      <c r="C4970" t="str">
        <f t="shared" si="156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55"/>
        <v>-4</v>
      </c>
    </row>
    <row r="4971" spans="1:8" x14ac:dyDescent="0.2">
      <c r="A4971" t="s">
        <v>7</v>
      </c>
      <c r="B4971" t="s">
        <v>23</v>
      </c>
      <c r="C4971" t="str">
        <f t="shared" si="156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55"/>
        <v>-4</v>
      </c>
    </row>
    <row r="4972" spans="1:8" x14ac:dyDescent="0.2">
      <c r="A4972" t="s">
        <v>7</v>
      </c>
      <c r="B4972" t="s">
        <v>23</v>
      </c>
      <c r="C4972" t="str">
        <f t="shared" si="156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55"/>
        <v>-4</v>
      </c>
    </row>
    <row r="4973" spans="1:8" x14ac:dyDescent="0.2">
      <c r="A4973" t="s">
        <v>7</v>
      </c>
      <c r="B4973" t="s">
        <v>23</v>
      </c>
      <c r="C4973" t="str">
        <f t="shared" si="156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55"/>
        <v>-4</v>
      </c>
    </row>
    <row r="4974" spans="1:8" x14ac:dyDescent="0.2">
      <c r="A4974" t="s">
        <v>7</v>
      </c>
      <c r="B4974" t="s">
        <v>23</v>
      </c>
      <c r="C4974" t="str">
        <f t="shared" si="156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55"/>
        <v>-4</v>
      </c>
    </row>
    <row r="4975" spans="1:8" x14ac:dyDescent="0.2">
      <c r="A4975" t="s">
        <v>7</v>
      </c>
      <c r="B4975" t="s">
        <v>23</v>
      </c>
      <c r="C4975" t="str">
        <f t="shared" si="156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55"/>
        <v>-4</v>
      </c>
    </row>
    <row r="4976" spans="1:8" x14ac:dyDescent="0.2">
      <c r="A4976" t="s">
        <v>7</v>
      </c>
      <c r="B4976" t="s">
        <v>23</v>
      </c>
      <c r="C4976" t="str">
        <f t="shared" si="156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55"/>
        <v>0</v>
      </c>
    </row>
    <row r="4977" spans="1:8" x14ac:dyDescent="0.2">
      <c r="A4977" t="s">
        <v>7</v>
      </c>
      <c r="B4977" t="s">
        <v>23</v>
      </c>
      <c r="C4977" t="str">
        <f t="shared" si="156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55"/>
        <v>-4</v>
      </c>
    </row>
    <row r="4978" spans="1:8" x14ac:dyDescent="0.2">
      <c r="A4978" t="s">
        <v>7</v>
      </c>
      <c r="B4978" t="s">
        <v>23</v>
      </c>
      <c r="C4978" t="str">
        <f t="shared" si="156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55"/>
        <v>-4</v>
      </c>
    </row>
    <row r="4979" spans="1:8" x14ac:dyDescent="0.2">
      <c r="A4979" t="s">
        <v>7</v>
      </c>
      <c r="B4979" t="s">
        <v>23</v>
      </c>
      <c r="C4979" t="str">
        <f t="shared" si="156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55"/>
        <v>-4</v>
      </c>
    </row>
    <row r="4980" spans="1:8" x14ac:dyDescent="0.2">
      <c r="A4980" t="s">
        <v>7</v>
      </c>
      <c r="B4980" t="s">
        <v>23</v>
      </c>
      <c r="C4980" t="str">
        <f t="shared" si="156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55"/>
        <v>-4</v>
      </c>
    </row>
    <row r="4981" spans="1:8" x14ac:dyDescent="0.2">
      <c r="A4981" t="s">
        <v>7</v>
      </c>
      <c r="B4981" t="s">
        <v>23</v>
      </c>
      <c r="C4981" t="str">
        <f t="shared" si="156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55"/>
        <v>-4</v>
      </c>
    </row>
    <row r="4982" spans="1:8" x14ac:dyDescent="0.2">
      <c r="A4982" t="s">
        <v>7</v>
      </c>
      <c r="B4982" t="s">
        <v>23</v>
      </c>
      <c r="C4982" t="str">
        <f t="shared" si="156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55"/>
        <v>-4</v>
      </c>
    </row>
    <row r="4983" spans="1:8" x14ac:dyDescent="0.2">
      <c r="A4983" t="s">
        <v>7</v>
      </c>
      <c r="B4983" t="s">
        <v>23</v>
      </c>
      <c r="C4983" t="str">
        <f t="shared" si="156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55"/>
        <v>-4</v>
      </c>
    </row>
    <row r="4984" spans="1:8" x14ac:dyDescent="0.2">
      <c r="A4984" t="s">
        <v>7</v>
      </c>
      <c r="B4984" t="s">
        <v>23</v>
      </c>
      <c r="C4984" t="str">
        <f t="shared" si="156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55"/>
        <v>-4</v>
      </c>
    </row>
    <row r="4985" spans="1:8" x14ac:dyDescent="0.2">
      <c r="A4985" t="s">
        <v>7</v>
      </c>
      <c r="B4985" t="s">
        <v>23</v>
      </c>
      <c r="C4985" t="str">
        <f t="shared" si="156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si="155"/>
        <v>-4</v>
      </c>
    </row>
    <row r="4986" spans="1:8" x14ac:dyDescent="0.2">
      <c r="A4986" t="s">
        <v>7</v>
      </c>
      <c r="B4986" t="s">
        <v>23</v>
      </c>
      <c r="C4986" t="str">
        <f t="shared" si="156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55"/>
        <v>-5</v>
      </c>
    </row>
    <row r="4987" spans="1:8" x14ac:dyDescent="0.2">
      <c r="A4987" t="s">
        <v>7</v>
      </c>
      <c r="B4987" t="s">
        <v>23</v>
      </c>
      <c r="C4987" t="str">
        <f t="shared" si="156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55"/>
        <v>-5</v>
      </c>
    </row>
    <row r="4988" spans="1:8" x14ac:dyDescent="0.2">
      <c r="A4988" t="s">
        <v>7</v>
      </c>
      <c r="B4988" t="s">
        <v>23</v>
      </c>
      <c r="C4988" t="str">
        <f t="shared" si="156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55"/>
        <v>0</v>
      </c>
    </row>
    <row r="4989" spans="1:8" x14ac:dyDescent="0.2">
      <c r="A4989" t="s">
        <v>7</v>
      </c>
      <c r="B4989" t="s">
        <v>23</v>
      </c>
      <c r="C4989" t="str">
        <f t="shared" si="156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55"/>
        <v>-5</v>
      </c>
    </row>
    <row r="4990" spans="1:8" x14ac:dyDescent="0.2">
      <c r="A4990" t="s">
        <v>7</v>
      </c>
      <c r="B4990" t="s">
        <v>23</v>
      </c>
      <c r="C4990" t="str">
        <f t="shared" si="156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55"/>
        <v>-5</v>
      </c>
    </row>
    <row r="4991" spans="1:8" x14ac:dyDescent="0.2">
      <c r="A4991" t="s">
        <v>7</v>
      </c>
      <c r="B4991" t="s">
        <v>23</v>
      </c>
      <c r="C4991" t="str">
        <f t="shared" si="156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55"/>
        <v>0</v>
      </c>
    </row>
    <row r="4992" spans="1:8" x14ac:dyDescent="0.2">
      <c r="A4992" t="s">
        <v>7</v>
      </c>
      <c r="B4992" t="s">
        <v>23</v>
      </c>
      <c r="C4992" t="str">
        <f t="shared" si="156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55"/>
        <v>-5</v>
      </c>
    </row>
    <row r="4993" spans="1:8" x14ac:dyDescent="0.2">
      <c r="A4993" t="s">
        <v>7</v>
      </c>
      <c r="B4993" t="s">
        <v>23</v>
      </c>
      <c r="C4993" t="str">
        <f t="shared" si="156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55"/>
        <v>-5</v>
      </c>
    </row>
    <row r="4994" spans="1:8" x14ac:dyDescent="0.2">
      <c r="A4994" t="s">
        <v>7</v>
      </c>
      <c r="B4994" t="s">
        <v>23</v>
      </c>
      <c r="C4994" t="str">
        <f t="shared" si="156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55"/>
        <v>-5</v>
      </c>
    </row>
    <row r="4995" spans="1:8" x14ac:dyDescent="0.2">
      <c r="A4995" t="s">
        <v>7</v>
      </c>
      <c r="B4995" t="s">
        <v>23</v>
      </c>
      <c r="C4995" t="str">
        <f t="shared" si="156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ref="H4995:H5058" si="157">F4995-G4995</f>
        <v>-5</v>
      </c>
    </row>
    <row r="4996" spans="1:8" x14ac:dyDescent="0.2">
      <c r="A4996" t="s">
        <v>7</v>
      </c>
      <c r="B4996" t="s">
        <v>23</v>
      </c>
      <c r="C4996" t="str">
        <f t="shared" ref="C4996:C5059" si="158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57"/>
        <v>-5</v>
      </c>
    </row>
    <row r="4997" spans="1:8" x14ac:dyDescent="0.2">
      <c r="A4997" t="s">
        <v>7</v>
      </c>
      <c r="B4997" t="s">
        <v>23</v>
      </c>
      <c r="C4997" t="str">
        <f t="shared" si="158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57"/>
        <v>-5</v>
      </c>
    </row>
    <row r="4998" spans="1:8" x14ac:dyDescent="0.2">
      <c r="A4998" t="s">
        <v>7</v>
      </c>
      <c r="B4998" t="s">
        <v>23</v>
      </c>
      <c r="C4998" t="str">
        <f t="shared" si="158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57"/>
        <v>-5</v>
      </c>
    </row>
    <row r="4999" spans="1:8" x14ac:dyDescent="0.2">
      <c r="A4999" t="s">
        <v>7</v>
      </c>
      <c r="B4999" t="s">
        <v>23</v>
      </c>
      <c r="C4999" t="str">
        <f t="shared" si="158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57"/>
        <v>-5</v>
      </c>
    </row>
    <row r="5000" spans="1:8" x14ac:dyDescent="0.2">
      <c r="A5000" t="s">
        <v>7</v>
      </c>
      <c r="B5000" t="s">
        <v>23</v>
      </c>
      <c r="C5000" t="str">
        <f t="shared" si="158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57"/>
        <v>0</v>
      </c>
    </row>
    <row r="5001" spans="1:8" x14ac:dyDescent="0.2">
      <c r="A5001" t="s">
        <v>7</v>
      </c>
      <c r="B5001" t="s">
        <v>23</v>
      </c>
      <c r="C5001" t="str">
        <f t="shared" si="158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57"/>
        <v>-5</v>
      </c>
    </row>
    <row r="5002" spans="1:8" x14ac:dyDescent="0.2">
      <c r="A5002" t="s">
        <v>7</v>
      </c>
      <c r="B5002" t="s">
        <v>23</v>
      </c>
      <c r="C5002" t="str">
        <f t="shared" si="158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57"/>
        <v>-5</v>
      </c>
    </row>
    <row r="5003" spans="1:8" x14ac:dyDescent="0.2">
      <c r="A5003" t="s">
        <v>7</v>
      </c>
      <c r="B5003" t="s">
        <v>23</v>
      </c>
      <c r="C5003" t="str">
        <f t="shared" si="158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57"/>
        <v>-5</v>
      </c>
    </row>
    <row r="5004" spans="1:8" x14ac:dyDescent="0.2">
      <c r="A5004" t="s">
        <v>7</v>
      </c>
      <c r="B5004" t="s">
        <v>23</v>
      </c>
      <c r="C5004" t="str">
        <f t="shared" si="158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57"/>
        <v>-5</v>
      </c>
    </row>
    <row r="5005" spans="1:8" x14ac:dyDescent="0.2">
      <c r="A5005" t="s">
        <v>7</v>
      </c>
      <c r="B5005" t="s">
        <v>23</v>
      </c>
      <c r="C5005" t="str">
        <f t="shared" si="158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57"/>
        <v>-5</v>
      </c>
    </row>
    <row r="5006" spans="1:8" x14ac:dyDescent="0.2">
      <c r="A5006" t="s">
        <v>7</v>
      </c>
      <c r="B5006" t="s">
        <v>23</v>
      </c>
      <c r="C5006" t="str">
        <f t="shared" si="158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57"/>
        <v>-5</v>
      </c>
    </row>
    <row r="5007" spans="1:8" x14ac:dyDescent="0.2">
      <c r="A5007" t="s">
        <v>7</v>
      </c>
      <c r="B5007" t="s">
        <v>23</v>
      </c>
      <c r="C5007" t="str">
        <f t="shared" si="158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57"/>
        <v>-5</v>
      </c>
    </row>
    <row r="5008" spans="1:8" x14ac:dyDescent="0.2">
      <c r="A5008" t="s">
        <v>7</v>
      </c>
      <c r="B5008" t="s">
        <v>23</v>
      </c>
      <c r="C5008" t="str">
        <f t="shared" si="158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57"/>
        <v>0</v>
      </c>
    </row>
    <row r="5009" spans="1:8" x14ac:dyDescent="0.2">
      <c r="A5009" t="s">
        <v>7</v>
      </c>
      <c r="B5009" t="s">
        <v>23</v>
      </c>
      <c r="C5009" t="str">
        <f t="shared" si="158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57"/>
        <v>-5</v>
      </c>
    </row>
    <row r="5010" spans="1:8" x14ac:dyDescent="0.2">
      <c r="A5010" t="s">
        <v>7</v>
      </c>
      <c r="B5010" t="s">
        <v>23</v>
      </c>
      <c r="C5010" t="str">
        <f t="shared" si="158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57"/>
        <v>-5</v>
      </c>
    </row>
    <row r="5011" spans="1:8" x14ac:dyDescent="0.2">
      <c r="A5011" t="s">
        <v>7</v>
      </c>
      <c r="B5011" t="s">
        <v>23</v>
      </c>
      <c r="C5011" t="str">
        <f t="shared" si="158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57"/>
        <v>-5</v>
      </c>
    </row>
    <row r="5012" spans="1:8" x14ac:dyDescent="0.2">
      <c r="A5012" t="s">
        <v>7</v>
      </c>
      <c r="B5012" t="s">
        <v>23</v>
      </c>
      <c r="C5012" t="str">
        <f t="shared" si="158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57"/>
        <v>-6</v>
      </c>
    </row>
    <row r="5013" spans="1:8" x14ac:dyDescent="0.2">
      <c r="A5013" t="s">
        <v>7</v>
      </c>
      <c r="B5013" t="s">
        <v>23</v>
      </c>
      <c r="C5013" t="str">
        <f t="shared" si="158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57"/>
        <v>-6</v>
      </c>
    </row>
    <row r="5014" spans="1:8" x14ac:dyDescent="0.2">
      <c r="A5014" t="s">
        <v>7</v>
      </c>
      <c r="B5014" t="s">
        <v>23</v>
      </c>
      <c r="C5014" t="str">
        <f t="shared" si="158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57"/>
        <v>-6</v>
      </c>
    </row>
    <row r="5015" spans="1:8" x14ac:dyDescent="0.2">
      <c r="A5015" t="s">
        <v>7</v>
      </c>
      <c r="B5015" t="s">
        <v>23</v>
      </c>
      <c r="C5015" t="str">
        <f t="shared" si="158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57"/>
        <v>-6</v>
      </c>
    </row>
    <row r="5016" spans="1:8" x14ac:dyDescent="0.2">
      <c r="A5016" t="s">
        <v>7</v>
      </c>
      <c r="B5016" t="s">
        <v>23</v>
      </c>
      <c r="C5016" t="str">
        <f t="shared" si="158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57"/>
        <v>-6</v>
      </c>
    </row>
    <row r="5017" spans="1:8" x14ac:dyDescent="0.2">
      <c r="A5017" t="s">
        <v>7</v>
      </c>
      <c r="B5017" t="s">
        <v>23</v>
      </c>
      <c r="C5017" t="str">
        <f t="shared" si="158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57"/>
        <v>-6</v>
      </c>
    </row>
    <row r="5018" spans="1:8" x14ac:dyDescent="0.2">
      <c r="A5018" t="s">
        <v>7</v>
      </c>
      <c r="B5018" t="s">
        <v>23</v>
      </c>
      <c r="C5018" t="str">
        <f t="shared" si="158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57"/>
        <v>-6</v>
      </c>
    </row>
    <row r="5019" spans="1:8" x14ac:dyDescent="0.2">
      <c r="A5019" t="s">
        <v>7</v>
      </c>
      <c r="B5019" t="s">
        <v>23</v>
      </c>
      <c r="C5019" t="str">
        <f t="shared" si="158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57"/>
        <v>-6</v>
      </c>
    </row>
    <row r="5020" spans="1:8" x14ac:dyDescent="0.2">
      <c r="A5020" t="s">
        <v>7</v>
      </c>
      <c r="B5020" t="s">
        <v>23</v>
      </c>
      <c r="C5020" t="str">
        <f t="shared" si="158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57"/>
        <v>-6</v>
      </c>
    </row>
    <row r="5021" spans="1:8" x14ac:dyDescent="0.2">
      <c r="A5021" t="s">
        <v>7</v>
      </c>
      <c r="B5021" t="s">
        <v>23</v>
      </c>
      <c r="C5021" t="str">
        <f t="shared" si="158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57"/>
        <v>-6</v>
      </c>
    </row>
    <row r="5022" spans="1:8" x14ac:dyDescent="0.2">
      <c r="A5022" t="s">
        <v>7</v>
      </c>
      <c r="B5022" t="s">
        <v>23</v>
      </c>
      <c r="C5022" t="str">
        <f t="shared" si="158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57"/>
        <v>-6</v>
      </c>
    </row>
    <row r="5023" spans="1:8" x14ac:dyDescent="0.2">
      <c r="A5023" t="s">
        <v>7</v>
      </c>
      <c r="B5023" t="s">
        <v>23</v>
      </c>
      <c r="C5023" t="str">
        <f t="shared" si="158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57"/>
        <v>-6</v>
      </c>
    </row>
    <row r="5024" spans="1:8" x14ac:dyDescent="0.2">
      <c r="A5024" t="s">
        <v>7</v>
      </c>
      <c r="B5024" t="s">
        <v>23</v>
      </c>
      <c r="C5024" t="str">
        <f t="shared" si="158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57"/>
        <v>-6</v>
      </c>
    </row>
    <row r="5025" spans="1:8" x14ac:dyDescent="0.2">
      <c r="A5025" t="s">
        <v>7</v>
      </c>
      <c r="B5025" t="s">
        <v>23</v>
      </c>
      <c r="C5025" t="str">
        <f t="shared" si="158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57"/>
        <v>-6</v>
      </c>
    </row>
    <row r="5026" spans="1:8" x14ac:dyDescent="0.2">
      <c r="A5026" t="s">
        <v>7</v>
      </c>
      <c r="B5026" t="s">
        <v>23</v>
      </c>
      <c r="C5026" t="str">
        <f t="shared" si="158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57"/>
        <v>-6</v>
      </c>
    </row>
    <row r="5027" spans="1:8" x14ac:dyDescent="0.2">
      <c r="A5027" t="s">
        <v>7</v>
      </c>
      <c r="B5027" t="s">
        <v>23</v>
      </c>
      <c r="C5027" t="str">
        <f t="shared" si="158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57"/>
        <v>-6</v>
      </c>
    </row>
    <row r="5028" spans="1:8" x14ac:dyDescent="0.2">
      <c r="A5028" t="s">
        <v>7</v>
      </c>
      <c r="B5028" t="s">
        <v>23</v>
      </c>
      <c r="C5028" t="str">
        <f t="shared" si="158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57"/>
        <v>-6</v>
      </c>
    </row>
    <row r="5029" spans="1:8" x14ac:dyDescent="0.2">
      <c r="A5029" t="s">
        <v>7</v>
      </c>
      <c r="B5029" t="s">
        <v>23</v>
      </c>
      <c r="C5029" t="str">
        <f t="shared" si="158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57"/>
        <v>-6</v>
      </c>
    </row>
    <row r="5030" spans="1:8" x14ac:dyDescent="0.2">
      <c r="A5030" t="s">
        <v>7</v>
      </c>
      <c r="B5030" t="s">
        <v>23</v>
      </c>
      <c r="C5030" t="str">
        <f t="shared" si="158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57"/>
        <v>-6</v>
      </c>
    </row>
    <row r="5031" spans="1:8" x14ac:dyDescent="0.2">
      <c r="A5031" t="s">
        <v>7</v>
      </c>
      <c r="B5031" t="s">
        <v>23</v>
      </c>
      <c r="C5031" t="str">
        <f t="shared" si="158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57"/>
        <v>-6</v>
      </c>
    </row>
    <row r="5032" spans="1:8" x14ac:dyDescent="0.2">
      <c r="A5032" t="s">
        <v>7</v>
      </c>
      <c r="B5032" t="s">
        <v>23</v>
      </c>
      <c r="C5032" t="str">
        <f t="shared" si="158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57"/>
        <v>-6</v>
      </c>
    </row>
    <row r="5033" spans="1:8" x14ac:dyDescent="0.2">
      <c r="A5033" t="s">
        <v>7</v>
      </c>
      <c r="B5033" t="s">
        <v>23</v>
      </c>
      <c r="C5033" t="str">
        <f t="shared" si="158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57"/>
        <v>-6</v>
      </c>
    </row>
    <row r="5034" spans="1:8" x14ac:dyDescent="0.2">
      <c r="A5034" t="s">
        <v>7</v>
      </c>
      <c r="B5034" t="s">
        <v>23</v>
      </c>
      <c r="C5034" t="str">
        <f t="shared" si="158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57"/>
        <v>-6</v>
      </c>
    </row>
    <row r="5035" spans="1:8" x14ac:dyDescent="0.2">
      <c r="A5035" t="s">
        <v>7</v>
      </c>
      <c r="B5035" t="s">
        <v>23</v>
      </c>
      <c r="C5035" t="str">
        <f t="shared" si="158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57"/>
        <v>-6</v>
      </c>
    </row>
    <row r="5036" spans="1:8" x14ac:dyDescent="0.2">
      <c r="A5036" t="s">
        <v>7</v>
      </c>
      <c r="B5036" t="s">
        <v>23</v>
      </c>
      <c r="C5036" t="str">
        <f t="shared" si="158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57"/>
        <v>-6</v>
      </c>
    </row>
    <row r="5037" spans="1:8" x14ac:dyDescent="0.2">
      <c r="A5037" t="s">
        <v>7</v>
      </c>
      <c r="B5037" t="s">
        <v>23</v>
      </c>
      <c r="C5037" t="str">
        <f t="shared" si="158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57"/>
        <v>-6</v>
      </c>
    </row>
    <row r="5038" spans="1:8" x14ac:dyDescent="0.2">
      <c r="A5038" t="s">
        <v>7</v>
      </c>
      <c r="B5038" t="s">
        <v>23</v>
      </c>
      <c r="C5038" t="str">
        <f t="shared" si="158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57"/>
        <v>-6</v>
      </c>
    </row>
    <row r="5039" spans="1:8" x14ac:dyDescent="0.2">
      <c r="A5039" t="s">
        <v>7</v>
      </c>
      <c r="B5039" t="s">
        <v>23</v>
      </c>
      <c r="C5039" t="str">
        <f t="shared" si="158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57"/>
        <v>-6</v>
      </c>
    </row>
    <row r="5040" spans="1:8" x14ac:dyDescent="0.2">
      <c r="A5040" t="s">
        <v>7</v>
      </c>
      <c r="B5040" t="s">
        <v>23</v>
      </c>
      <c r="C5040" t="str">
        <f t="shared" si="158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57"/>
        <v>-6</v>
      </c>
    </row>
    <row r="5041" spans="1:8" x14ac:dyDescent="0.2">
      <c r="A5041" t="s">
        <v>7</v>
      </c>
      <c r="B5041" t="s">
        <v>23</v>
      </c>
      <c r="C5041" t="str">
        <f t="shared" si="158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57"/>
        <v>-6</v>
      </c>
    </row>
    <row r="5042" spans="1:8" x14ac:dyDescent="0.2">
      <c r="A5042" t="s">
        <v>7</v>
      </c>
      <c r="B5042" t="s">
        <v>23</v>
      </c>
      <c r="C5042" t="str">
        <f t="shared" si="158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57"/>
        <v>-7</v>
      </c>
    </row>
    <row r="5043" spans="1:8" x14ac:dyDescent="0.2">
      <c r="A5043" t="s">
        <v>7</v>
      </c>
      <c r="B5043" t="s">
        <v>23</v>
      </c>
      <c r="C5043" t="str">
        <f t="shared" si="158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57"/>
        <v>-7</v>
      </c>
    </row>
    <row r="5044" spans="1:8" x14ac:dyDescent="0.2">
      <c r="A5044" t="s">
        <v>7</v>
      </c>
      <c r="B5044" t="s">
        <v>23</v>
      </c>
      <c r="C5044" t="str">
        <f t="shared" si="158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57"/>
        <v>-7</v>
      </c>
    </row>
    <row r="5045" spans="1:8" x14ac:dyDescent="0.2">
      <c r="A5045" t="s">
        <v>7</v>
      </c>
      <c r="B5045" t="s">
        <v>23</v>
      </c>
      <c r="C5045" t="str">
        <f t="shared" si="158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57"/>
        <v>-7</v>
      </c>
    </row>
    <row r="5046" spans="1:8" x14ac:dyDescent="0.2">
      <c r="A5046" t="s">
        <v>7</v>
      </c>
      <c r="B5046" t="s">
        <v>23</v>
      </c>
      <c r="C5046" t="str">
        <f t="shared" si="158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57"/>
        <v>-7</v>
      </c>
    </row>
    <row r="5047" spans="1:8" x14ac:dyDescent="0.2">
      <c r="A5047" t="s">
        <v>7</v>
      </c>
      <c r="B5047" t="s">
        <v>23</v>
      </c>
      <c r="C5047" t="str">
        <f t="shared" si="158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57"/>
        <v>-7</v>
      </c>
    </row>
    <row r="5048" spans="1:8" x14ac:dyDescent="0.2">
      <c r="A5048" t="s">
        <v>7</v>
      </c>
      <c r="B5048" t="s">
        <v>23</v>
      </c>
      <c r="C5048" t="str">
        <f t="shared" si="158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57"/>
        <v>-7</v>
      </c>
    </row>
    <row r="5049" spans="1:8" x14ac:dyDescent="0.2">
      <c r="A5049" t="s">
        <v>7</v>
      </c>
      <c r="B5049" t="s">
        <v>23</v>
      </c>
      <c r="C5049" t="str">
        <f t="shared" si="158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si="157"/>
        <v>-7</v>
      </c>
    </row>
    <row r="5050" spans="1:8" x14ac:dyDescent="0.2">
      <c r="A5050" t="s">
        <v>7</v>
      </c>
      <c r="B5050" t="s">
        <v>23</v>
      </c>
      <c r="C5050" t="str">
        <f t="shared" si="158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57"/>
        <v>-7</v>
      </c>
    </row>
    <row r="5051" spans="1:8" x14ac:dyDescent="0.2">
      <c r="A5051" t="s">
        <v>7</v>
      </c>
      <c r="B5051" t="s">
        <v>23</v>
      </c>
      <c r="C5051" t="str">
        <f t="shared" si="158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57"/>
        <v>-7</v>
      </c>
    </row>
    <row r="5052" spans="1:8" x14ac:dyDescent="0.2">
      <c r="A5052" t="s">
        <v>7</v>
      </c>
      <c r="B5052" t="s">
        <v>23</v>
      </c>
      <c r="C5052" t="str">
        <f t="shared" si="158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57"/>
        <v>-7</v>
      </c>
    </row>
    <row r="5053" spans="1:8" x14ac:dyDescent="0.2">
      <c r="A5053" t="s">
        <v>7</v>
      </c>
      <c r="B5053" t="s">
        <v>23</v>
      </c>
      <c r="C5053" t="str">
        <f t="shared" si="158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57"/>
        <v>-7</v>
      </c>
    </row>
    <row r="5054" spans="1:8" x14ac:dyDescent="0.2">
      <c r="A5054" t="s">
        <v>7</v>
      </c>
      <c r="B5054" t="s">
        <v>23</v>
      </c>
      <c r="C5054" t="str">
        <f t="shared" si="158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57"/>
        <v>-7</v>
      </c>
    </row>
    <row r="5055" spans="1:8" x14ac:dyDescent="0.2">
      <c r="A5055" t="s">
        <v>7</v>
      </c>
      <c r="B5055" t="s">
        <v>23</v>
      </c>
      <c r="C5055" t="str">
        <f t="shared" si="158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57"/>
        <v>-7</v>
      </c>
    </row>
    <row r="5056" spans="1:8" x14ac:dyDescent="0.2">
      <c r="A5056" t="s">
        <v>7</v>
      </c>
      <c r="B5056" t="s">
        <v>23</v>
      </c>
      <c r="C5056" t="str">
        <f t="shared" si="158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57"/>
        <v>-7</v>
      </c>
    </row>
    <row r="5057" spans="1:8" x14ac:dyDescent="0.2">
      <c r="A5057" t="s">
        <v>7</v>
      </c>
      <c r="B5057" t="s">
        <v>23</v>
      </c>
      <c r="C5057" t="str">
        <f t="shared" si="158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57"/>
        <v>-7</v>
      </c>
    </row>
    <row r="5058" spans="1:8" x14ac:dyDescent="0.2">
      <c r="A5058" t="s">
        <v>7</v>
      </c>
      <c r="B5058" t="s">
        <v>23</v>
      </c>
      <c r="C5058" t="str">
        <f t="shared" si="158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57"/>
        <v>-7</v>
      </c>
    </row>
    <row r="5059" spans="1:8" x14ac:dyDescent="0.2">
      <c r="A5059" t="s">
        <v>7</v>
      </c>
      <c r="B5059" t="s">
        <v>23</v>
      </c>
      <c r="C5059" t="str">
        <f t="shared" si="158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ref="H5059:H5122" si="159">F5059-G5059</f>
        <v>-7</v>
      </c>
    </row>
    <row r="5060" spans="1:8" x14ac:dyDescent="0.2">
      <c r="A5060" t="s">
        <v>7</v>
      </c>
      <c r="B5060" t="s">
        <v>23</v>
      </c>
      <c r="C5060" t="str">
        <f t="shared" ref="C5060:C5123" si="160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59"/>
        <v>-7</v>
      </c>
    </row>
    <row r="5061" spans="1:8" x14ac:dyDescent="0.2">
      <c r="A5061" t="s">
        <v>7</v>
      </c>
      <c r="B5061" t="s">
        <v>23</v>
      </c>
      <c r="C5061" t="str">
        <f t="shared" si="160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59"/>
        <v>-7</v>
      </c>
    </row>
    <row r="5062" spans="1:8" x14ac:dyDescent="0.2">
      <c r="A5062" t="s">
        <v>7</v>
      </c>
      <c r="B5062" t="s">
        <v>23</v>
      </c>
      <c r="C5062" t="str">
        <f t="shared" si="160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59"/>
        <v>-7</v>
      </c>
    </row>
    <row r="5063" spans="1:8" x14ac:dyDescent="0.2">
      <c r="A5063" t="s">
        <v>7</v>
      </c>
      <c r="B5063" t="s">
        <v>23</v>
      </c>
      <c r="C5063" t="str">
        <f t="shared" si="160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59"/>
        <v>-7</v>
      </c>
    </row>
    <row r="5064" spans="1:8" x14ac:dyDescent="0.2">
      <c r="A5064" t="s">
        <v>7</v>
      </c>
      <c r="B5064" t="s">
        <v>23</v>
      </c>
      <c r="C5064" t="str">
        <f t="shared" si="160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59"/>
        <v>-7</v>
      </c>
    </row>
    <row r="5065" spans="1:8" x14ac:dyDescent="0.2">
      <c r="A5065" t="s">
        <v>7</v>
      </c>
      <c r="B5065" t="s">
        <v>23</v>
      </c>
      <c r="C5065" t="str">
        <f t="shared" si="160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59"/>
        <v>-7</v>
      </c>
    </row>
    <row r="5066" spans="1:8" x14ac:dyDescent="0.2">
      <c r="A5066" t="s">
        <v>7</v>
      </c>
      <c r="B5066" t="s">
        <v>23</v>
      </c>
      <c r="C5066" t="str">
        <f t="shared" si="160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59"/>
        <v>-7</v>
      </c>
    </row>
    <row r="5067" spans="1:8" x14ac:dyDescent="0.2">
      <c r="A5067" t="s">
        <v>7</v>
      </c>
      <c r="B5067" t="s">
        <v>23</v>
      </c>
      <c r="C5067" t="str">
        <f t="shared" si="160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59"/>
        <v>-7</v>
      </c>
    </row>
    <row r="5068" spans="1:8" x14ac:dyDescent="0.2">
      <c r="A5068" t="s">
        <v>7</v>
      </c>
      <c r="B5068" t="s">
        <v>23</v>
      </c>
      <c r="C5068" t="str">
        <f t="shared" si="160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59"/>
        <v>-7</v>
      </c>
    </row>
    <row r="5069" spans="1:8" x14ac:dyDescent="0.2">
      <c r="A5069" t="s">
        <v>7</v>
      </c>
      <c r="B5069" t="s">
        <v>23</v>
      </c>
      <c r="C5069" t="str">
        <f t="shared" si="160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59"/>
        <v>-7</v>
      </c>
    </row>
    <row r="5070" spans="1:8" x14ac:dyDescent="0.2">
      <c r="A5070" t="s">
        <v>7</v>
      </c>
      <c r="B5070" t="s">
        <v>23</v>
      </c>
      <c r="C5070" t="str">
        <f t="shared" si="160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59"/>
        <v>-7</v>
      </c>
    </row>
    <row r="5071" spans="1:8" x14ac:dyDescent="0.2">
      <c r="A5071" t="s">
        <v>7</v>
      </c>
      <c r="B5071" t="s">
        <v>23</v>
      </c>
      <c r="C5071" t="str">
        <f t="shared" si="160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59"/>
        <v>-7</v>
      </c>
    </row>
    <row r="5072" spans="1:8" x14ac:dyDescent="0.2">
      <c r="A5072" t="s">
        <v>7</v>
      </c>
      <c r="B5072" t="s">
        <v>23</v>
      </c>
      <c r="C5072" t="str">
        <f t="shared" si="160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59"/>
        <v>-7</v>
      </c>
    </row>
    <row r="5073" spans="1:8" x14ac:dyDescent="0.2">
      <c r="A5073" t="s">
        <v>7</v>
      </c>
      <c r="B5073" t="s">
        <v>23</v>
      </c>
      <c r="C5073" t="str">
        <f t="shared" si="160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59"/>
        <v>-7</v>
      </c>
    </row>
    <row r="5074" spans="1:8" x14ac:dyDescent="0.2">
      <c r="A5074" t="s">
        <v>7</v>
      </c>
      <c r="B5074" t="s">
        <v>23</v>
      </c>
      <c r="C5074" t="str">
        <f t="shared" si="160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59"/>
        <v>-7</v>
      </c>
    </row>
    <row r="5075" spans="1:8" x14ac:dyDescent="0.2">
      <c r="A5075" t="s">
        <v>7</v>
      </c>
      <c r="B5075" t="s">
        <v>23</v>
      </c>
      <c r="C5075" t="str">
        <f t="shared" si="160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59"/>
        <v>-8</v>
      </c>
    </row>
    <row r="5076" spans="1:8" x14ac:dyDescent="0.2">
      <c r="A5076" t="s">
        <v>18</v>
      </c>
      <c r="B5076" t="s">
        <v>23</v>
      </c>
      <c r="C5076" t="str">
        <f t="shared" si="160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59"/>
        <v>-8</v>
      </c>
    </row>
    <row r="5077" spans="1:8" x14ac:dyDescent="0.2">
      <c r="A5077" t="s">
        <v>7</v>
      </c>
      <c r="B5077" t="s">
        <v>23</v>
      </c>
      <c r="C5077" t="str">
        <f t="shared" si="160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59"/>
        <v>-8</v>
      </c>
    </row>
    <row r="5078" spans="1:8" x14ac:dyDescent="0.2">
      <c r="A5078" t="s">
        <v>18</v>
      </c>
      <c r="B5078" t="s">
        <v>23</v>
      </c>
      <c r="C5078" t="str">
        <f t="shared" si="160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59"/>
        <v>-8</v>
      </c>
    </row>
    <row r="5079" spans="1:8" x14ac:dyDescent="0.2">
      <c r="A5079" t="s">
        <v>7</v>
      </c>
      <c r="B5079" t="s">
        <v>23</v>
      </c>
      <c r="C5079" t="str">
        <f t="shared" si="160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59"/>
        <v>-8</v>
      </c>
    </row>
    <row r="5080" spans="1:8" x14ac:dyDescent="0.2">
      <c r="A5080" t="s">
        <v>18</v>
      </c>
      <c r="B5080" t="s">
        <v>23</v>
      </c>
      <c r="C5080" t="str">
        <f t="shared" si="160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59"/>
        <v>-8</v>
      </c>
    </row>
    <row r="5081" spans="1:8" x14ac:dyDescent="0.2">
      <c r="A5081" t="s">
        <v>18</v>
      </c>
      <c r="B5081" t="s">
        <v>23</v>
      </c>
      <c r="C5081" t="str">
        <f t="shared" si="160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59"/>
        <v>-8</v>
      </c>
    </row>
    <row r="5082" spans="1:8" x14ac:dyDescent="0.2">
      <c r="A5082" t="s">
        <v>7</v>
      </c>
      <c r="B5082" t="s">
        <v>23</v>
      </c>
      <c r="C5082" t="str">
        <f t="shared" si="160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59"/>
        <v>-8</v>
      </c>
    </row>
    <row r="5083" spans="1:8" x14ac:dyDescent="0.2">
      <c r="A5083" t="s">
        <v>7</v>
      </c>
      <c r="B5083" t="s">
        <v>23</v>
      </c>
      <c r="C5083" t="str">
        <f t="shared" si="160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59"/>
        <v>-8</v>
      </c>
    </row>
    <row r="5084" spans="1:8" x14ac:dyDescent="0.2">
      <c r="A5084" t="s">
        <v>7</v>
      </c>
      <c r="B5084" t="s">
        <v>23</v>
      </c>
      <c r="C5084" t="str">
        <f t="shared" si="160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59"/>
        <v>-8</v>
      </c>
    </row>
    <row r="5085" spans="1:8" x14ac:dyDescent="0.2">
      <c r="A5085" t="s">
        <v>19</v>
      </c>
      <c r="B5085" t="s">
        <v>23</v>
      </c>
      <c r="C5085" t="str">
        <f t="shared" si="160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59"/>
        <v>-8</v>
      </c>
    </row>
    <row r="5086" spans="1:8" x14ac:dyDescent="0.2">
      <c r="A5086" t="s">
        <v>7</v>
      </c>
      <c r="B5086" t="s">
        <v>23</v>
      </c>
      <c r="C5086" t="str">
        <f t="shared" si="160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59"/>
        <v>-8</v>
      </c>
    </row>
    <row r="5087" spans="1:8" x14ac:dyDescent="0.2">
      <c r="A5087" t="s">
        <v>7</v>
      </c>
      <c r="B5087" t="s">
        <v>23</v>
      </c>
      <c r="C5087" t="str">
        <f t="shared" si="160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59"/>
        <v>-8</v>
      </c>
    </row>
    <row r="5088" spans="1:8" x14ac:dyDescent="0.2">
      <c r="A5088" t="s">
        <v>18</v>
      </c>
      <c r="B5088" t="s">
        <v>23</v>
      </c>
      <c r="C5088" t="str">
        <f t="shared" si="160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59"/>
        <v>-8</v>
      </c>
    </row>
    <row r="5089" spans="1:8" x14ac:dyDescent="0.2">
      <c r="A5089" t="s">
        <v>18</v>
      </c>
      <c r="B5089" t="s">
        <v>23</v>
      </c>
      <c r="C5089" t="str">
        <f t="shared" si="160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59"/>
        <v>-8</v>
      </c>
    </row>
    <row r="5090" spans="1:8" x14ac:dyDescent="0.2">
      <c r="A5090" t="s">
        <v>18</v>
      </c>
      <c r="B5090" t="s">
        <v>23</v>
      </c>
      <c r="C5090" t="str">
        <f t="shared" si="160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59"/>
        <v>-8</v>
      </c>
    </row>
    <row r="5091" spans="1:8" x14ac:dyDescent="0.2">
      <c r="A5091" t="s">
        <v>18</v>
      </c>
      <c r="B5091" t="s">
        <v>23</v>
      </c>
      <c r="C5091" t="str">
        <f t="shared" si="160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59"/>
        <v>-8</v>
      </c>
    </row>
    <row r="5092" spans="1:8" x14ac:dyDescent="0.2">
      <c r="A5092" t="s">
        <v>7</v>
      </c>
      <c r="B5092" t="s">
        <v>23</v>
      </c>
      <c r="C5092" t="str">
        <f t="shared" si="160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59"/>
        <v>-8</v>
      </c>
    </row>
    <row r="5093" spans="1:8" x14ac:dyDescent="0.2">
      <c r="A5093" t="s">
        <v>7</v>
      </c>
      <c r="B5093" t="s">
        <v>23</v>
      </c>
      <c r="C5093" t="str">
        <f t="shared" si="160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59"/>
        <v>-8</v>
      </c>
    </row>
    <row r="5094" spans="1:8" x14ac:dyDescent="0.2">
      <c r="A5094" t="s">
        <v>19</v>
      </c>
      <c r="B5094" t="s">
        <v>23</v>
      </c>
      <c r="C5094" t="str">
        <f t="shared" si="160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59"/>
        <v>-8</v>
      </c>
    </row>
    <row r="5095" spans="1:8" x14ac:dyDescent="0.2">
      <c r="A5095" t="s">
        <v>18</v>
      </c>
      <c r="B5095" t="s">
        <v>23</v>
      </c>
      <c r="C5095" t="str">
        <f t="shared" si="160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59"/>
        <v>-8</v>
      </c>
    </row>
    <row r="5096" spans="1:8" x14ac:dyDescent="0.2">
      <c r="A5096" t="s">
        <v>7</v>
      </c>
      <c r="B5096" t="s">
        <v>23</v>
      </c>
      <c r="C5096" t="str">
        <f t="shared" si="160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59"/>
        <v>-8</v>
      </c>
    </row>
    <row r="5097" spans="1:8" x14ac:dyDescent="0.2">
      <c r="A5097" t="s">
        <v>7</v>
      </c>
      <c r="B5097" t="s">
        <v>23</v>
      </c>
      <c r="C5097" t="str">
        <f t="shared" si="160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59"/>
        <v>-8</v>
      </c>
    </row>
    <row r="5098" spans="1:8" x14ac:dyDescent="0.2">
      <c r="A5098" t="s">
        <v>7</v>
      </c>
      <c r="B5098" t="s">
        <v>23</v>
      </c>
      <c r="C5098" t="str">
        <f t="shared" si="160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59"/>
        <v>0</v>
      </c>
    </row>
    <row r="5099" spans="1:8" x14ac:dyDescent="0.2">
      <c r="A5099" t="s">
        <v>18</v>
      </c>
      <c r="B5099" t="s">
        <v>23</v>
      </c>
      <c r="C5099" t="str">
        <f t="shared" si="160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59"/>
        <v>-8</v>
      </c>
    </row>
    <row r="5100" spans="1:8" x14ac:dyDescent="0.2">
      <c r="A5100" t="s">
        <v>7</v>
      </c>
      <c r="B5100" t="s">
        <v>23</v>
      </c>
      <c r="C5100" t="str">
        <f t="shared" si="160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59"/>
        <v>-8</v>
      </c>
    </row>
    <row r="5101" spans="1:8" x14ac:dyDescent="0.2">
      <c r="A5101" t="s">
        <v>19</v>
      </c>
      <c r="B5101" t="s">
        <v>23</v>
      </c>
      <c r="C5101" t="str">
        <f t="shared" si="160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59"/>
        <v>-8</v>
      </c>
    </row>
    <row r="5102" spans="1:8" x14ac:dyDescent="0.2">
      <c r="A5102" t="s">
        <v>7</v>
      </c>
      <c r="B5102" t="s">
        <v>23</v>
      </c>
      <c r="C5102" t="str">
        <f t="shared" si="160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59"/>
        <v>-8</v>
      </c>
    </row>
    <row r="5103" spans="1:8" x14ac:dyDescent="0.2">
      <c r="A5103" t="s">
        <v>7</v>
      </c>
      <c r="B5103" t="s">
        <v>23</v>
      </c>
      <c r="C5103" t="str">
        <f t="shared" si="160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59"/>
        <v>-8</v>
      </c>
    </row>
    <row r="5104" spans="1:8" x14ac:dyDescent="0.2">
      <c r="A5104" t="s">
        <v>18</v>
      </c>
      <c r="B5104" t="s">
        <v>23</v>
      </c>
      <c r="C5104" t="str">
        <f t="shared" si="160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59"/>
        <v>-8</v>
      </c>
    </row>
    <row r="5105" spans="1:8" x14ac:dyDescent="0.2">
      <c r="A5105" t="s">
        <v>7</v>
      </c>
      <c r="B5105" t="s">
        <v>23</v>
      </c>
      <c r="C5105" t="str">
        <f t="shared" si="160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59"/>
        <v>-8</v>
      </c>
    </row>
    <row r="5106" spans="1:8" x14ac:dyDescent="0.2">
      <c r="A5106" t="s">
        <v>7</v>
      </c>
      <c r="B5106" t="s">
        <v>23</v>
      </c>
      <c r="C5106" t="str">
        <f t="shared" si="160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59"/>
        <v>-8</v>
      </c>
    </row>
    <row r="5107" spans="1:8" x14ac:dyDescent="0.2">
      <c r="A5107" t="s">
        <v>7</v>
      </c>
      <c r="B5107" t="s">
        <v>23</v>
      </c>
      <c r="C5107" t="str">
        <f t="shared" si="160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59"/>
        <v>-8</v>
      </c>
    </row>
    <row r="5108" spans="1:8" x14ac:dyDescent="0.2">
      <c r="A5108" t="s">
        <v>19</v>
      </c>
      <c r="B5108" t="s">
        <v>23</v>
      </c>
      <c r="C5108" t="str">
        <f t="shared" si="160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59"/>
        <v>-8</v>
      </c>
    </row>
    <row r="5109" spans="1:8" x14ac:dyDescent="0.2">
      <c r="A5109" t="s">
        <v>7</v>
      </c>
      <c r="B5109" t="s">
        <v>23</v>
      </c>
      <c r="C5109" t="str">
        <f t="shared" si="160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59"/>
        <v>-8</v>
      </c>
    </row>
    <row r="5110" spans="1:8" x14ac:dyDescent="0.2">
      <c r="A5110" t="s">
        <v>19</v>
      </c>
      <c r="B5110" t="s">
        <v>23</v>
      </c>
      <c r="C5110" t="str">
        <f t="shared" si="160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59"/>
        <v>-8</v>
      </c>
    </row>
    <row r="5111" spans="1:8" x14ac:dyDescent="0.2">
      <c r="A5111" t="s">
        <v>19</v>
      </c>
      <c r="B5111" t="s">
        <v>23</v>
      </c>
      <c r="C5111" t="str">
        <f t="shared" si="160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59"/>
        <v>-8</v>
      </c>
    </row>
    <row r="5112" spans="1:8" x14ac:dyDescent="0.2">
      <c r="A5112" t="s">
        <v>7</v>
      </c>
      <c r="B5112" t="s">
        <v>23</v>
      </c>
      <c r="C5112" t="str">
        <f t="shared" si="160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59"/>
        <v>-8</v>
      </c>
    </row>
    <row r="5113" spans="1:8" x14ac:dyDescent="0.2">
      <c r="A5113" t="s">
        <v>7</v>
      </c>
      <c r="B5113" t="s">
        <v>23</v>
      </c>
      <c r="C5113" t="str">
        <f t="shared" si="160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si="159"/>
        <v>-8</v>
      </c>
    </row>
    <row r="5114" spans="1:8" x14ac:dyDescent="0.2">
      <c r="A5114" t="s">
        <v>7</v>
      </c>
      <c r="B5114" t="s">
        <v>23</v>
      </c>
      <c r="C5114" t="str">
        <f t="shared" si="160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59"/>
        <v>-8</v>
      </c>
    </row>
    <row r="5115" spans="1:8" x14ac:dyDescent="0.2">
      <c r="A5115" t="s">
        <v>7</v>
      </c>
      <c r="B5115" t="s">
        <v>23</v>
      </c>
      <c r="C5115" t="str">
        <f t="shared" si="160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59"/>
        <v>-8</v>
      </c>
    </row>
    <row r="5116" spans="1:8" x14ac:dyDescent="0.2">
      <c r="A5116" t="s">
        <v>19</v>
      </c>
      <c r="B5116" t="s">
        <v>23</v>
      </c>
      <c r="C5116" t="str">
        <f t="shared" si="160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59"/>
        <v>-8</v>
      </c>
    </row>
    <row r="5117" spans="1:8" x14ac:dyDescent="0.2">
      <c r="A5117" t="s">
        <v>7</v>
      </c>
      <c r="B5117" t="s">
        <v>23</v>
      </c>
      <c r="C5117" t="str">
        <f t="shared" si="160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59"/>
        <v>-8</v>
      </c>
    </row>
    <row r="5118" spans="1:8" x14ac:dyDescent="0.2">
      <c r="A5118" t="s">
        <v>18</v>
      </c>
      <c r="B5118" t="s">
        <v>23</v>
      </c>
      <c r="C5118" t="str">
        <f t="shared" si="160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59"/>
        <v>-8</v>
      </c>
    </row>
    <row r="5119" spans="1:8" x14ac:dyDescent="0.2">
      <c r="A5119" t="s">
        <v>7</v>
      </c>
      <c r="B5119" t="s">
        <v>23</v>
      </c>
      <c r="C5119" t="str">
        <f t="shared" si="160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59"/>
        <v>-8</v>
      </c>
    </row>
    <row r="5120" spans="1:8" x14ac:dyDescent="0.2">
      <c r="A5120" t="s">
        <v>7</v>
      </c>
      <c r="B5120" t="s">
        <v>23</v>
      </c>
      <c r="C5120" t="str">
        <f t="shared" si="160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59"/>
        <v>-8</v>
      </c>
    </row>
    <row r="5121" spans="1:8" x14ac:dyDescent="0.2">
      <c r="A5121" t="s">
        <v>7</v>
      </c>
      <c r="B5121" t="s">
        <v>23</v>
      </c>
      <c r="C5121" t="str">
        <f t="shared" si="160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59"/>
        <v>-8</v>
      </c>
    </row>
    <row r="5122" spans="1:8" x14ac:dyDescent="0.2">
      <c r="A5122" t="s">
        <v>7</v>
      </c>
      <c r="B5122" t="s">
        <v>23</v>
      </c>
      <c r="C5122" t="str">
        <f t="shared" si="160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59"/>
        <v>-8</v>
      </c>
    </row>
    <row r="5123" spans="1:8" x14ac:dyDescent="0.2">
      <c r="A5123" t="s">
        <v>18</v>
      </c>
      <c r="B5123" t="s">
        <v>23</v>
      </c>
      <c r="C5123" t="str">
        <f t="shared" si="160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ref="H5123:H5186" si="161">F5123-G5123</f>
        <v>-8</v>
      </c>
    </row>
    <row r="5124" spans="1:8" x14ac:dyDescent="0.2">
      <c r="A5124" t="s">
        <v>7</v>
      </c>
      <c r="B5124" t="s">
        <v>23</v>
      </c>
      <c r="C5124" t="str">
        <f t="shared" ref="C5124:C5187" si="162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1"/>
        <v>-8</v>
      </c>
    </row>
    <row r="5125" spans="1:8" x14ac:dyDescent="0.2">
      <c r="A5125" t="s">
        <v>7</v>
      </c>
      <c r="B5125" t="s">
        <v>23</v>
      </c>
      <c r="C5125" t="str">
        <f t="shared" si="162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1"/>
        <v>-8</v>
      </c>
    </row>
    <row r="5126" spans="1:8" x14ac:dyDescent="0.2">
      <c r="A5126" t="s">
        <v>18</v>
      </c>
      <c r="B5126" t="s">
        <v>23</v>
      </c>
      <c r="C5126" t="str">
        <f t="shared" si="162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1"/>
        <v>-8</v>
      </c>
    </row>
    <row r="5127" spans="1:8" x14ac:dyDescent="0.2">
      <c r="A5127" t="s">
        <v>18</v>
      </c>
      <c r="B5127" t="s">
        <v>23</v>
      </c>
      <c r="C5127" t="str">
        <f t="shared" si="162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1"/>
        <v>-8</v>
      </c>
    </row>
    <row r="5128" spans="1:8" x14ac:dyDescent="0.2">
      <c r="A5128" t="s">
        <v>7</v>
      </c>
      <c r="B5128" t="s">
        <v>23</v>
      </c>
      <c r="C5128" t="str">
        <f t="shared" si="162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1"/>
        <v>-8</v>
      </c>
    </row>
    <row r="5129" spans="1:8" x14ac:dyDescent="0.2">
      <c r="A5129" t="s">
        <v>18</v>
      </c>
      <c r="B5129" t="s">
        <v>23</v>
      </c>
      <c r="C5129" t="str">
        <f t="shared" si="162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1"/>
        <v>-8</v>
      </c>
    </row>
    <row r="5130" spans="1:8" x14ac:dyDescent="0.2">
      <c r="A5130" t="s">
        <v>7</v>
      </c>
      <c r="B5130" t="s">
        <v>23</v>
      </c>
      <c r="C5130" t="str">
        <f t="shared" si="162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1"/>
        <v>-8</v>
      </c>
    </row>
    <row r="5131" spans="1:8" x14ac:dyDescent="0.2">
      <c r="A5131" t="s">
        <v>18</v>
      </c>
      <c r="B5131" t="s">
        <v>23</v>
      </c>
      <c r="C5131" t="str">
        <f t="shared" si="162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1"/>
        <v>-8</v>
      </c>
    </row>
    <row r="5132" spans="1:8" x14ac:dyDescent="0.2">
      <c r="A5132" t="s">
        <v>7</v>
      </c>
      <c r="B5132" t="s">
        <v>23</v>
      </c>
      <c r="C5132" t="str">
        <f t="shared" si="162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1"/>
        <v>-8</v>
      </c>
    </row>
    <row r="5133" spans="1:8" x14ac:dyDescent="0.2">
      <c r="A5133" t="s">
        <v>19</v>
      </c>
      <c r="B5133" t="s">
        <v>23</v>
      </c>
      <c r="C5133" t="str">
        <f t="shared" si="162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1"/>
        <v>-8</v>
      </c>
    </row>
    <row r="5134" spans="1:8" x14ac:dyDescent="0.2">
      <c r="A5134" t="s">
        <v>19</v>
      </c>
      <c r="B5134" t="s">
        <v>23</v>
      </c>
      <c r="C5134" t="str">
        <f t="shared" si="162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1"/>
        <v>-8</v>
      </c>
    </row>
    <row r="5135" spans="1:8" x14ac:dyDescent="0.2">
      <c r="A5135" t="s">
        <v>19</v>
      </c>
      <c r="B5135" t="s">
        <v>23</v>
      </c>
      <c r="C5135" t="str">
        <f t="shared" si="162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1"/>
        <v>-8</v>
      </c>
    </row>
    <row r="5136" spans="1:8" x14ac:dyDescent="0.2">
      <c r="A5136" t="s">
        <v>18</v>
      </c>
      <c r="B5136" t="s">
        <v>23</v>
      </c>
      <c r="C5136" t="str">
        <f t="shared" si="162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1"/>
        <v>-8</v>
      </c>
    </row>
    <row r="5137" spans="1:8" x14ac:dyDescent="0.2">
      <c r="A5137" t="s">
        <v>18</v>
      </c>
      <c r="B5137" t="s">
        <v>23</v>
      </c>
      <c r="C5137" t="str">
        <f t="shared" si="162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1"/>
        <v>-8</v>
      </c>
    </row>
    <row r="5138" spans="1:8" x14ac:dyDescent="0.2">
      <c r="A5138" t="s">
        <v>19</v>
      </c>
      <c r="B5138" t="s">
        <v>23</v>
      </c>
      <c r="C5138" t="str">
        <f t="shared" si="162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1"/>
        <v>-8</v>
      </c>
    </row>
    <row r="5139" spans="1:8" x14ac:dyDescent="0.2">
      <c r="A5139" t="s">
        <v>7</v>
      </c>
      <c r="B5139" t="s">
        <v>23</v>
      </c>
      <c r="C5139" t="str">
        <f t="shared" si="162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1"/>
        <v>-8</v>
      </c>
    </row>
    <row r="5140" spans="1:8" x14ac:dyDescent="0.2">
      <c r="A5140" t="s">
        <v>18</v>
      </c>
      <c r="B5140" t="s">
        <v>23</v>
      </c>
      <c r="C5140" t="str">
        <f t="shared" si="162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1"/>
        <v>-8</v>
      </c>
    </row>
    <row r="5141" spans="1:8" x14ac:dyDescent="0.2">
      <c r="A5141" t="s">
        <v>18</v>
      </c>
      <c r="B5141" t="s">
        <v>23</v>
      </c>
      <c r="C5141" t="str">
        <f t="shared" si="162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1"/>
        <v>-8</v>
      </c>
    </row>
    <row r="5142" spans="1:8" x14ac:dyDescent="0.2">
      <c r="A5142" t="s">
        <v>18</v>
      </c>
      <c r="B5142" t="s">
        <v>23</v>
      </c>
      <c r="C5142" t="str">
        <f t="shared" si="162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1"/>
        <v>-8</v>
      </c>
    </row>
    <row r="5143" spans="1:8" x14ac:dyDescent="0.2">
      <c r="A5143" t="s">
        <v>18</v>
      </c>
      <c r="B5143" t="s">
        <v>23</v>
      </c>
      <c r="C5143" t="str">
        <f t="shared" si="162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1"/>
        <v>-8</v>
      </c>
    </row>
    <row r="5144" spans="1:8" x14ac:dyDescent="0.2">
      <c r="A5144" t="s">
        <v>18</v>
      </c>
      <c r="B5144" t="s">
        <v>23</v>
      </c>
      <c r="C5144" t="str">
        <f t="shared" si="162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1"/>
        <v>-8</v>
      </c>
    </row>
    <row r="5145" spans="1:8" x14ac:dyDescent="0.2">
      <c r="A5145" t="s">
        <v>19</v>
      </c>
      <c r="B5145" t="s">
        <v>23</v>
      </c>
      <c r="C5145" t="str">
        <f t="shared" si="162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1"/>
        <v>-8</v>
      </c>
    </row>
    <row r="5146" spans="1:8" x14ac:dyDescent="0.2">
      <c r="A5146" t="s">
        <v>18</v>
      </c>
      <c r="B5146" t="s">
        <v>23</v>
      </c>
      <c r="C5146" t="str">
        <f t="shared" si="162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1"/>
        <v>-8</v>
      </c>
    </row>
    <row r="5147" spans="1:8" x14ac:dyDescent="0.2">
      <c r="A5147" t="s">
        <v>7</v>
      </c>
      <c r="B5147" t="s">
        <v>23</v>
      </c>
      <c r="C5147" t="str">
        <f t="shared" si="162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1"/>
        <v>-8</v>
      </c>
    </row>
    <row r="5148" spans="1:8" x14ac:dyDescent="0.2">
      <c r="A5148" t="s">
        <v>19</v>
      </c>
      <c r="B5148" t="s">
        <v>23</v>
      </c>
      <c r="C5148" t="str">
        <f t="shared" si="162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1"/>
        <v>-8</v>
      </c>
    </row>
    <row r="5149" spans="1:8" x14ac:dyDescent="0.2">
      <c r="A5149" t="s">
        <v>19</v>
      </c>
      <c r="B5149" t="s">
        <v>23</v>
      </c>
      <c r="C5149" t="str">
        <f t="shared" si="162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1"/>
        <v>-8</v>
      </c>
    </row>
    <row r="5150" spans="1:8" x14ac:dyDescent="0.2">
      <c r="A5150" t="s">
        <v>7</v>
      </c>
      <c r="B5150" t="s">
        <v>23</v>
      </c>
      <c r="C5150" t="str">
        <f t="shared" si="162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1"/>
        <v>-8</v>
      </c>
    </row>
    <row r="5151" spans="1:8" x14ac:dyDescent="0.2">
      <c r="A5151" t="s">
        <v>7</v>
      </c>
      <c r="B5151" t="s">
        <v>23</v>
      </c>
      <c r="C5151" t="str">
        <f t="shared" si="162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1"/>
        <v>-8</v>
      </c>
    </row>
    <row r="5152" spans="1:8" x14ac:dyDescent="0.2">
      <c r="A5152" t="s">
        <v>18</v>
      </c>
      <c r="B5152" t="s">
        <v>23</v>
      </c>
      <c r="C5152" t="str">
        <f t="shared" si="162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1"/>
        <v>-8</v>
      </c>
    </row>
    <row r="5153" spans="1:8" x14ac:dyDescent="0.2">
      <c r="A5153" t="s">
        <v>19</v>
      </c>
      <c r="B5153" t="s">
        <v>23</v>
      </c>
      <c r="C5153" t="str">
        <f t="shared" si="162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1"/>
        <v>-8</v>
      </c>
    </row>
    <row r="5154" spans="1:8" x14ac:dyDescent="0.2">
      <c r="A5154" t="s">
        <v>18</v>
      </c>
      <c r="B5154" t="s">
        <v>23</v>
      </c>
      <c r="C5154" t="str">
        <f t="shared" si="162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1"/>
        <v>-8</v>
      </c>
    </row>
    <row r="5155" spans="1:8" x14ac:dyDescent="0.2">
      <c r="A5155" t="s">
        <v>7</v>
      </c>
      <c r="B5155" t="s">
        <v>23</v>
      </c>
      <c r="C5155" t="str">
        <f t="shared" si="162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1"/>
        <v>-8</v>
      </c>
    </row>
    <row r="5156" spans="1:8" x14ac:dyDescent="0.2">
      <c r="A5156" t="s">
        <v>18</v>
      </c>
      <c r="B5156" t="s">
        <v>23</v>
      </c>
      <c r="C5156" t="str">
        <f t="shared" si="162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1"/>
        <v>-8</v>
      </c>
    </row>
    <row r="5157" spans="1:8" x14ac:dyDescent="0.2">
      <c r="A5157" t="s">
        <v>18</v>
      </c>
      <c r="B5157" t="s">
        <v>23</v>
      </c>
      <c r="C5157" t="str">
        <f t="shared" si="162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1"/>
        <v>-8</v>
      </c>
    </row>
    <row r="5158" spans="1:8" x14ac:dyDescent="0.2">
      <c r="A5158" t="s">
        <v>7</v>
      </c>
      <c r="B5158" t="s">
        <v>23</v>
      </c>
      <c r="C5158" t="str">
        <f t="shared" si="162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1"/>
        <v>-8</v>
      </c>
    </row>
    <row r="5159" spans="1:8" x14ac:dyDescent="0.2">
      <c r="A5159" t="s">
        <v>18</v>
      </c>
      <c r="B5159" t="s">
        <v>23</v>
      </c>
      <c r="C5159" t="str">
        <f t="shared" si="162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1"/>
        <v>-8</v>
      </c>
    </row>
    <row r="5160" spans="1:8" x14ac:dyDescent="0.2">
      <c r="A5160" t="s">
        <v>7</v>
      </c>
      <c r="B5160" t="s">
        <v>23</v>
      </c>
      <c r="C5160" t="str">
        <f t="shared" si="162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1"/>
        <v>-8</v>
      </c>
    </row>
    <row r="5161" spans="1:8" x14ac:dyDescent="0.2">
      <c r="A5161" t="s">
        <v>7</v>
      </c>
      <c r="B5161" t="s">
        <v>23</v>
      </c>
      <c r="C5161" t="str">
        <f t="shared" si="162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1"/>
        <v>-8</v>
      </c>
    </row>
    <row r="5162" spans="1:8" x14ac:dyDescent="0.2">
      <c r="A5162" t="s">
        <v>7</v>
      </c>
      <c r="B5162" t="s">
        <v>23</v>
      </c>
      <c r="C5162" t="str">
        <f t="shared" si="162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1"/>
        <v>-8</v>
      </c>
    </row>
    <row r="5163" spans="1:8" x14ac:dyDescent="0.2">
      <c r="A5163" t="s">
        <v>18</v>
      </c>
      <c r="B5163" t="s">
        <v>23</v>
      </c>
      <c r="C5163" t="str">
        <f t="shared" si="162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1"/>
        <v>-8</v>
      </c>
    </row>
    <row r="5164" spans="1:8" x14ac:dyDescent="0.2">
      <c r="A5164" t="s">
        <v>7</v>
      </c>
      <c r="B5164" t="s">
        <v>23</v>
      </c>
      <c r="C5164" t="str">
        <f t="shared" si="162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1"/>
        <v>0</v>
      </c>
    </row>
    <row r="5165" spans="1:8" x14ac:dyDescent="0.2">
      <c r="A5165" t="s">
        <v>18</v>
      </c>
      <c r="B5165" t="s">
        <v>23</v>
      </c>
      <c r="C5165" t="str">
        <f t="shared" si="162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1"/>
        <v>-8</v>
      </c>
    </row>
    <row r="5166" spans="1:8" x14ac:dyDescent="0.2">
      <c r="A5166" t="s">
        <v>7</v>
      </c>
      <c r="B5166" t="s">
        <v>23</v>
      </c>
      <c r="C5166" t="str">
        <f t="shared" si="162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1"/>
        <v>-8</v>
      </c>
    </row>
    <row r="5167" spans="1:8" x14ac:dyDescent="0.2">
      <c r="A5167" t="s">
        <v>18</v>
      </c>
      <c r="B5167" t="s">
        <v>23</v>
      </c>
      <c r="C5167" t="str">
        <f t="shared" si="162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1"/>
        <v>-8</v>
      </c>
    </row>
    <row r="5168" spans="1:8" x14ac:dyDescent="0.2">
      <c r="A5168" t="s">
        <v>18</v>
      </c>
      <c r="B5168" t="s">
        <v>23</v>
      </c>
      <c r="C5168" t="str">
        <f t="shared" si="162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1"/>
        <v>-8</v>
      </c>
    </row>
    <row r="5169" spans="1:8" x14ac:dyDescent="0.2">
      <c r="A5169" t="s">
        <v>18</v>
      </c>
      <c r="B5169" t="s">
        <v>23</v>
      </c>
      <c r="C5169" t="str">
        <f t="shared" si="162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1"/>
        <v>-8</v>
      </c>
    </row>
    <row r="5170" spans="1:8" x14ac:dyDescent="0.2">
      <c r="A5170" t="s">
        <v>18</v>
      </c>
      <c r="B5170" t="s">
        <v>23</v>
      </c>
      <c r="C5170" t="str">
        <f t="shared" si="162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1"/>
        <v>-8</v>
      </c>
    </row>
    <row r="5171" spans="1:8" x14ac:dyDescent="0.2">
      <c r="A5171" t="s">
        <v>18</v>
      </c>
      <c r="B5171" t="s">
        <v>23</v>
      </c>
      <c r="C5171" t="str">
        <f t="shared" si="162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1"/>
        <v>-8</v>
      </c>
    </row>
    <row r="5172" spans="1:8" x14ac:dyDescent="0.2">
      <c r="A5172" t="s">
        <v>7</v>
      </c>
      <c r="B5172" t="s">
        <v>23</v>
      </c>
      <c r="C5172" t="str">
        <f t="shared" si="162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1"/>
        <v>-8</v>
      </c>
    </row>
    <row r="5173" spans="1:8" x14ac:dyDescent="0.2">
      <c r="A5173" t="s">
        <v>7</v>
      </c>
      <c r="B5173" t="s">
        <v>23</v>
      </c>
      <c r="C5173" t="str">
        <f t="shared" si="162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1"/>
        <v>-8</v>
      </c>
    </row>
    <row r="5174" spans="1:8" x14ac:dyDescent="0.2">
      <c r="A5174" t="s">
        <v>7</v>
      </c>
      <c r="B5174" t="s">
        <v>23</v>
      </c>
      <c r="C5174" t="str">
        <f t="shared" si="162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1"/>
        <v>-8</v>
      </c>
    </row>
    <row r="5175" spans="1:8" x14ac:dyDescent="0.2">
      <c r="A5175" t="s">
        <v>7</v>
      </c>
      <c r="B5175" t="s">
        <v>23</v>
      </c>
      <c r="C5175" t="str">
        <f t="shared" si="162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1"/>
        <v>-8</v>
      </c>
    </row>
    <row r="5176" spans="1:8" x14ac:dyDescent="0.2">
      <c r="A5176" t="s">
        <v>7</v>
      </c>
      <c r="B5176" t="s">
        <v>23</v>
      </c>
      <c r="C5176" t="str">
        <f t="shared" si="162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1"/>
        <v>-8</v>
      </c>
    </row>
    <row r="5177" spans="1:8" x14ac:dyDescent="0.2">
      <c r="A5177" t="s">
        <v>7</v>
      </c>
      <c r="B5177" t="s">
        <v>23</v>
      </c>
      <c r="C5177" t="str">
        <f t="shared" si="162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si="161"/>
        <v>-8</v>
      </c>
    </row>
    <row r="5178" spans="1:8" x14ac:dyDescent="0.2">
      <c r="A5178" t="s">
        <v>18</v>
      </c>
      <c r="B5178" t="s">
        <v>23</v>
      </c>
      <c r="C5178" t="str">
        <f t="shared" si="162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61"/>
        <v>-8</v>
      </c>
    </row>
    <row r="5179" spans="1:8" x14ac:dyDescent="0.2">
      <c r="A5179" t="s">
        <v>7</v>
      </c>
      <c r="B5179" t="s">
        <v>23</v>
      </c>
      <c r="C5179" t="str">
        <f t="shared" si="162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61"/>
        <v>-8</v>
      </c>
    </row>
    <row r="5180" spans="1:8" x14ac:dyDescent="0.2">
      <c r="A5180" t="s">
        <v>18</v>
      </c>
      <c r="B5180" t="s">
        <v>23</v>
      </c>
      <c r="C5180" t="str">
        <f t="shared" si="162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61"/>
        <v>-8</v>
      </c>
    </row>
    <row r="5181" spans="1:8" x14ac:dyDescent="0.2">
      <c r="A5181" t="s">
        <v>7</v>
      </c>
      <c r="B5181" t="s">
        <v>23</v>
      </c>
      <c r="C5181" t="str">
        <f t="shared" si="162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61"/>
        <v>-8</v>
      </c>
    </row>
    <row r="5182" spans="1:8" x14ac:dyDescent="0.2">
      <c r="A5182" t="s">
        <v>7</v>
      </c>
      <c r="B5182" t="s">
        <v>23</v>
      </c>
      <c r="C5182" t="str">
        <f t="shared" si="162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61"/>
        <v>-8</v>
      </c>
    </row>
    <row r="5183" spans="1:8" x14ac:dyDescent="0.2">
      <c r="A5183" t="s">
        <v>7</v>
      </c>
      <c r="B5183" t="s">
        <v>23</v>
      </c>
      <c r="C5183" t="str">
        <f t="shared" si="162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61"/>
        <v>-8</v>
      </c>
    </row>
    <row r="5184" spans="1:8" x14ac:dyDescent="0.2">
      <c r="A5184" t="s">
        <v>18</v>
      </c>
      <c r="B5184" t="s">
        <v>23</v>
      </c>
      <c r="C5184" t="str">
        <f t="shared" si="162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61"/>
        <v>-8</v>
      </c>
    </row>
    <row r="5185" spans="1:8" x14ac:dyDescent="0.2">
      <c r="A5185" t="s">
        <v>19</v>
      </c>
      <c r="B5185" t="s">
        <v>23</v>
      </c>
      <c r="C5185" t="str">
        <f t="shared" si="162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61"/>
        <v>-8</v>
      </c>
    </row>
    <row r="5186" spans="1:8" x14ac:dyDescent="0.2">
      <c r="A5186" t="s">
        <v>7</v>
      </c>
      <c r="B5186" t="s">
        <v>23</v>
      </c>
      <c r="C5186" t="str">
        <f t="shared" si="162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61"/>
        <v>-8</v>
      </c>
    </row>
    <row r="5187" spans="1:8" x14ac:dyDescent="0.2">
      <c r="A5187" t="s">
        <v>7</v>
      </c>
      <c r="B5187" t="s">
        <v>23</v>
      </c>
      <c r="C5187" t="str">
        <f t="shared" si="162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ref="H5187:H5250" si="163">F5187-G5187</f>
        <v>-8</v>
      </c>
    </row>
    <row r="5188" spans="1:8" x14ac:dyDescent="0.2">
      <c r="A5188" t="s">
        <v>18</v>
      </c>
      <c r="B5188" t="s">
        <v>23</v>
      </c>
      <c r="C5188" t="str">
        <f t="shared" ref="C5188:C5251" si="164">IF(H5188&gt;=0,"Cumple","No cumple")</f>
        <v>No cumple</v>
      </c>
      <c r="D5188" s="17">
        <v>9692</v>
      </c>
      <c r="E5188" s="19" t="s">
        <v>8</v>
      </c>
      <c r="F5188">
        <v>0</v>
      </c>
      <c r="G5188">
        <v>6</v>
      </c>
      <c r="H5188">
        <f t="shared" si="163"/>
        <v>-6</v>
      </c>
    </row>
    <row r="5189" spans="1:8" x14ac:dyDescent="0.2">
      <c r="A5189" t="s">
        <v>18</v>
      </c>
      <c r="B5189" t="s">
        <v>23</v>
      </c>
      <c r="C5189" t="str">
        <f t="shared" si="164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63"/>
        <v>-8</v>
      </c>
    </row>
    <row r="5190" spans="1:8" x14ac:dyDescent="0.2">
      <c r="A5190" t="s">
        <v>18</v>
      </c>
      <c r="B5190" t="s">
        <v>23</v>
      </c>
      <c r="C5190" t="str">
        <f t="shared" si="164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63"/>
        <v>-8</v>
      </c>
    </row>
    <row r="5191" spans="1:8" x14ac:dyDescent="0.2">
      <c r="A5191" t="s">
        <v>18</v>
      </c>
      <c r="B5191" t="s">
        <v>23</v>
      </c>
      <c r="C5191" t="str">
        <f t="shared" si="164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63"/>
        <v>-8</v>
      </c>
    </row>
    <row r="5192" spans="1:8" x14ac:dyDescent="0.2">
      <c r="A5192" t="s">
        <v>18</v>
      </c>
      <c r="B5192" t="s">
        <v>23</v>
      </c>
      <c r="C5192" t="str">
        <f t="shared" si="164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63"/>
        <v>-8</v>
      </c>
    </row>
    <row r="5193" spans="1:8" x14ac:dyDescent="0.2">
      <c r="A5193" t="s">
        <v>18</v>
      </c>
      <c r="B5193" t="s">
        <v>23</v>
      </c>
      <c r="C5193" t="str">
        <f t="shared" si="164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63"/>
        <v>-8</v>
      </c>
    </row>
    <row r="5194" spans="1:8" x14ac:dyDescent="0.2">
      <c r="A5194" t="s">
        <v>18</v>
      </c>
      <c r="B5194" t="s">
        <v>23</v>
      </c>
      <c r="C5194" t="str">
        <f t="shared" si="164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63"/>
        <v>-8</v>
      </c>
    </row>
    <row r="5195" spans="1:8" x14ac:dyDescent="0.2">
      <c r="A5195" t="s">
        <v>7</v>
      </c>
      <c r="B5195" t="s">
        <v>23</v>
      </c>
      <c r="C5195" t="str">
        <f t="shared" si="164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63"/>
        <v>-8</v>
      </c>
    </row>
    <row r="5196" spans="1:8" x14ac:dyDescent="0.2">
      <c r="A5196" t="s">
        <v>18</v>
      </c>
      <c r="B5196" t="s">
        <v>23</v>
      </c>
      <c r="C5196" t="str">
        <f t="shared" si="164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63"/>
        <v>-8</v>
      </c>
    </row>
    <row r="5197" spans="1:8" x14ac:dyDescent="0.2">
      <c r="A5197" t="s">
        <v>7</v>
      </c>
      <c r="B5197" t="s">
        <v>23</v>
      </c>
      <c r="C5197" t="str">
        <f t="shared" si="164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63"/>
        <v>-8</v>
      </c>
    </row>
    <row r="5198" spans="1:8" x14ac:dyDescent="0.2">
      <c r="A5198" t="s">
        <v>18</v>
      </c>
      <c r="B5198" t="s">
        <v>23</v>
      </c>
      <c r="C5198" t="str">
        <f t="shared" si="164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63"/>
        <v>-8</v>
      </c>
    </row>
    <row r="5199" spans="1:8" x14ac:dyDescent="0.2">
      <c r="A5199" t="s">
        <v>7</v>
      </c>
      <c r="B5199" t="s">
        <v>23</v>
      </c>
      <c r="C5199" t="str">
        <f t="shared" si="164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63"/>
        <v>-8</v>
      </c>
    </row>
    <row r="5200" spans="1:8" x14ac:dyDescent="0.2">
      <c r="A5200" t="s">
        <v>18</v>
      </c>
      <c r="B5200" t="s">
        <v>23</v>
      </c>
      <c r="C5200" t="str">
        <f t="shared" si="164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63"/>
        <v>-8</v>
      </c>
    </row>
    <row r="5201" spans="1:8" x14ac:dyDescent="0.2">
      <c r="A5201" t="s">
        <v>7</v>
      </c>
      <c r="B5201" t="s">
        <v>23</v>
      </c>
      <c r="C5201" t="str">
        <f t="shared" si="164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 t="shared" si="163"/>
        <v>32</v>
      </c>
    </row>
    <row r="5202" spans="1:8" x14ac:dyDescent="0.2">
      <c r="A5202" t="s">
        <v>7</v>
      </c>
      <c r="B5202" t="s">
        <v>23</v>
      </c>
      <c r="C5202" t="str">
        <f t="shared" si="164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si="163"/>
        <v>27</v>
      </c>
    </row>
    <row r="5203" spans="1:8" x14ac:dyDescent="0.2">
      <c r="A5203" t="s">
        <v>7</v>
      </c>
      <c r="B5203" t="s">
        <v>23</v>
      </c>
      <c r="C5203" t="str">
        <f t="shared" si="164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63"/>
        <v>25</v>
      </c>
    </row>
    <row r="5204" spans="1:8" x14ac:dyDescent="0.2">
      <c r="A5204" t="s">
        <v>7</v>
      </c>
      <c r="B5204" t="s">
        <v>23</v>
      </c>
      <c r="C5204" t="str">
        <f t="shared" si="164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63"/>
        <v>23</v>
      </c>
    </row>
    <row r="5205" spans="1:8" x14ac:dyDescent="0.2">
      <c r="A5205" t="s">
        <v>7</v>
      </c>
      <c r="B5205" t="s">
        <v>23</v>
      </c>
      <c r="C5205" t="str">
        <f t="shared" si="164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63"/>
        <v>22</v>
      </c>
    </row>
    <row r="5206" spans="1:8" x14ac:dyDescent="0.2">
      <c r="A5206" t="s">
        <v>7</v>
      </c>
      <c r="B5206" t="s">
        <v>23</v>
      </c>
      <c r="C5206" t="str">
        <f t="shared" si="164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63"/>
        <v>22</v>
      </c>
    </row>
    <row r="5207" spans="1:8" x14ac:dyDescent="0.2">
      <c r="A5207" t="s">
        <v>7</v>
      </c>
      <c r="B5207" t="s">
        <v>23</v>
      </c>
      <c r="C5207" t="str">
        <f t="shared" si="164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63"/>
        <v>21</v>
      </c>
    </row>
    <row r="5208" spans="1:8" x14ac:dyDescent="0.2">
      <c r="A5208" t="s">
        <v>7</v>
      </c>
      <c r="B5208" t="s">
        <v>23</v>
      </c>
      <c r="C5208" t="str">
        <f t="shared" si="164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63"/>
        <v>21</v>
      </c>
    </row>
    <row r="5209" spans="1:8" x14ac:dyDescent="0.2">
      <c r="A5209" t="s">
        <v>7</v>
      </c>
      <c r="B5209" t="s">
        <v>23</v>
      </c>
      <c r="C5209" t="str">
        <f t="shared" si="164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63"/>
        <v>20</v>
      </c>
    </row>
    <row r="5210" spans="1:8" x14ac:dyDescent="0.2">
      <c r="A5210" t="s">
        <v>7</v>
      </c>
      <c r="B5210" t="s">
        <v>23</v>
      </c>
      <c r="C5210" t="str">
        <f t="shared" si="164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63"/>
        <v>20</v>
      </c>
    </row>
    <row r="5211" spans="1:8" x14ac:dyDescent="0.2">
      <c r="A5211" t="s">
        <v>7</v>
      </c>
      <c r="B5211" t="s">
        <v>23</v>
      </c>
      <c r="C5211" t="str">
        <f t="shared" si="164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63"/>
        <v>19</v>
      </c>
    </row>
    <row r="5212" spans="1:8" x14ac:dyDescent="0.2">
      <c r="A5212" t="s">
        <v>7</v>
      </c>
      <c r="B5212" t="s">
        <v>23</v>
      </c>
      <c r="C5212" t="str">
        <f t="shared" si="164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63"/>
        <v>18</v>
      </c>
    </row>
    <row r="5213" spans="1:8" x14ac:dyDescent="0.2">
      <c r="A5213" t="s">
        <v>7</v>
      </c>
      <c r="B5213" t="s">
        <v>23</v>
      </c>
      <c r="C5213" t="str">
        <f t="shared" si="164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63"/>
        <v>17</v>
      </c>
    </row>
    <row r="5214" spans="1:8" x14ac:dyDescent="0.2">
      <c r="A5214" t="s">
        <v>7</v>
      </c>
      <c r="B5214" t="s">
        <v>23</v>
      </c>
      <c r="C5214" t="str">
        <f t="shared" si="164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63"/>
        <v>17</v>
      </c>
    </row>
    <row r="5215" spans="1:8" x14ac:dyDescent="0.2">
      <c r="A5215" t="s">
        <v>7</v>
      </c>
      <c r="B5215" t="s">
        <v>23</v>
      </c>
      <c r="C5215" t="str">
        <f t="shared" si="164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63"/>
        <v>17</v>
      </c>
    </row>
    <row r="5216" spans="1:8" x14ac:dyDescent="0.2">
      <c r="A5216" t="s">
        <v>7</v>
      </c>
      <c r="B5216" t="s">
        <v>23</v>
      </c>
      <c r="C5216" t="str">
        <f t="shared" si="164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63"/>
        <v>17</v>
      </c>
    </row>
    <row r="5217" spans="1:8" x14ac:dyDescent="0.2">
      <c r="A5217" t="s">
        <v>7</v>
      </c>
      <c r="B5217" t="s">
        <v>23</v>
      </c>
      <c r="C5217" t="str">
        <f t="shared" si="164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63"/>
        <v>17</v>
      </c>
    </row>
    <row r="5218" spans="1:8" x14ac:dyDescent="0.2">
      <c r="A5218" t="s">
        <v>7</v>
      </c>
      <c r="B5218" t="s">
        <v>23</v>
      </c>
      <c r="C5218" t="str">
        <f t="shared" si="164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63"/>
        <v>16</v>
      </c>
    </row>
    <row r="5219" spans="1:8" x14ac:dyDescent="0.2">
      <c r="A5219" t="s">
        <v>7</v>
      </c>
      <c r="B5219" t="s">
        <v>23</v>
      </c>
      <c r="C5219" t="str">
        <f t="shared" si="164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63"/>
        <v>16</v>
      </c>
    </row>
    <row r="5220" spans="1:8" x14ac:dyDescent="0.2">
      <c r="A5220" t="s">
        <v>7</v>
      </c>
      <c r="B5220" t="s">
        <v>23</v>
      </c>
      <c r="C5220" t="str">
        <f t="shared" si="164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63"/>
        <v>16</v>
      </c>
    </row>
    <row r="5221" spans="1:8" x14ac:dyDescent="0.2">
      <c r="A5221" t="s">
        <v>7</v>
      </c>
      <c r="B5221" t="s">
        <v>23</v>
      </c>
      <c r="C5221" t="str">
        <f t="shared" si="164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63"/>
        <v>16</v>
      </c>
    </row>
    <row r="5222" spans="1:8" x14ac:dyDescent="0.2">
      <c r="A5222" t="s">
        <v>7</v>
      </c>
      <c r="B5222" t="s">
        <v>23</v>
      </c>
      <c r="C5222" t="str">
        <f t="shared" si="164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63"/>
        <v>16</v>
      </c>
    </row>
    <row r="5223" spans="1:8" x14ac:dyDescent="0.2">
      <c r="A5223" t="s">
        <v>7</v>
      </c>
      <c r="B5223" t="s">
        <v>23</v>
      </c>
      <c r="C5223" t="str">
        <f t="shared" si="164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63"/>
        <v>16</v>
      </c>
    </row>
    <row r="5224" spans="1:8" x14ac:dyDescent="0.2">
      <c r="A5224" t="s">
        <v>7</v>
      </c>
      <c r="B5224" t="s">
        <v>23</v>
      </c>
      <c r="C5224" t="str">
        <f t="shared" si="164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63"/>
        <v>16</v>
      </c>
    </row>
    <row r="5225" spans="1:8" x14ac:dyDescent="0.2">
      <c r="A5225" t="s">
        <v>7</v>
      </c>
      <c r="B5225" t="s">
        <v>23</v>
      </c>
      <c r="C5225" t="str">
        <f t="shared" si="164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63"/>
        <v>16</v>
      </c>
    </row>
    <row r="5226" spans="1:8" x14ac:dyDescent="0.2">
      <c r="A5226" t="s">
        <v>7</v>
      </c>
      <c r="B5226" t="s">
        <v>23</v>
      </c>
      <c r="C5226" t="str">
        <f t="shared" si="164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63"/>
        <v>15</v>
      </c>
    </row>
    <row r="5227" spans="1:8" x14ac:dyDescent="0.2">
      <c r="A5227" t="s">
        <v>7</v>
      </c>
      <c r="B5227" t="s">
        <v>23</v>
      </c>
      <c r="C5227" t="str">
        <f t="shared" si="164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63"/>
        <v>15</v>
      </c>
    </row>
    <row r="5228" spans="1:8" x14ac:dyDescent="0.2">
      <c r="A5228" t="s">
        <v>7</v>
      </c>
      <c r="B5228" t="s">
        <v>23</v>
      </c>
      <c r="C5228" t="str">
        <f t="shared" si="164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63"/>
        <v>15</v>
      </c>
    </row>
    <row r="5229" spans="1:8" x14ac:dyDescent="0.2">
      <c r="A5229" t="s">
        <v>7</v>
      </c>
      <c r="B5229" t="s">
        <v>23</v>
      </c>
      <c r="C5229" t="str">
        <f t="shared" si="164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63"/>
        <v>14</v>
      </c>
    </row>
    <row r="5230" spans="1:8" x14ac:dyDescent="0.2">
      <c r="A5230" t="s">
        <v>7</v>
      </c>
      <c r="B5230" t="s">
        <v>23</v>
      </c>
      <c r="C5230" t="str">
        <f t="shared" si="164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63"/>
        <v>14</v>
      </c>
    </row>
    <row r="5231" spans="1:8" x14ac:dyDescent="0.2">
      <c r="A5231" t="s">
        <v>7</v>
      </c>
      <c r="B5231" t="s">
        <v>23</v>
      </c>
      <c r="C5231" t="str">
        <f t="shared" si="164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63"/>
        <v>13</v>
      </c>
    </row>
    <row r="5232" spans="1:8" x14ac:dyDescent="0.2">
      <c r="A5232" t="s">
        <v>7</v>
      </c>
      <c r="B5232" t="s">
        <v>23</v>
      </c>
      <c r="C5232" t="str">
        <f t="shared" si="164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63"/>
        <v>13</v>
      </c>
    </row>
    <row r="5233" spans="1:8" x14ac:dyDescent="0.2">
      <c r="A5233" t="s">
        <v>7</v>
      </c>
      <c r="B5233" t="s">
        <v>23</v>
      </c>
      <c r="C5233" t="str">
        <f t="shared" si="164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63"/>
        <v>13</v>
      </c>
    </row>
    <row r="5234" spans="1:8" x14ac:dyDescent="0.2">
      <c r="A5234" t="s">
        <v>7</v>
      </c>
      <c r="B5234" t="s">
        <v>23</v>
      </c>
      <c r="C5234" t="str">
        <f t="shared" si="164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63"/>
        <v>12</v>
      </c>
    </row>
    <row r="5235" spans="1:8" x14ac:dyDescent="0.2">
      <c r="A5235" t="s">
        <v>7</v>
      </c>
      <c r="B5235" t="s">
        <v>23</v>
      </c>
      <c r="C5235" t="str">
        <f t="shared" si="164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63"/>
        <v>12</v>
      </c>
    </row>
    <row r="5236" spans="1:8" x14ac:dyDescent="0.2">
      <c r="A5236" t="s">
        <v>7</v>
      </c>
      <c r="B5236" t="s">
        <v>23</v>
      </c>
      <c r="C5236" t="str">
        <f t="shared" si="164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63"/>
        <v>12</v>
      </c>
    </row>
    <row r="5237" spans="1:8" x14ac:dyDescent="0.2">
      <c r="A5237" t="s">
        <v>7</v>
      </c>
      <c r="B5237" t="s">
        <v>23</v>
      </c>
      <c r="C5237" t="str">
        <f t="shared" si="164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63"/>
        <v>12</v>
      </c>
    </row>
    <row r="5238" spans="1:8" x14ac:dyDescent="0.2">
      <c r="A5238" t="s">
        <v>7</v>
      </c>
      <c r="B5238" t="s">
        <v>23</v>
      </c>
      <c r="C5238" t="str">
        <f t="shared" si="164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63"/>
        <v>12</v>
      </c>
    </row>
    <row r="5239" spans="1:8" x14ac:dyDescent="0.2">
      <c r="A5239" t="s">
        <v>7</v>
      </c>
      <c r="B5239" t="s">
        <v>23</v>
      </c>
      <c r="C5239" t="str">
        <f t="shared" si="164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63"/>
        <v>12</v>
      </c>
    </row>
    <row r="5240" spans="1:8" x14ac:dyDescent="0.2">
      <c r="A5240" t="s">
        <v>7</v>
      </c>
      <c r="B5240" t="s">
        <v>23</v>
      </c>
      <c r="C5240" t="str">
        <f t="shared" si="164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63"/>
        <v>12</v>
      </c>
    </row>
    <row r="5241" spans="1:8" x14ac:dyDescent="0.2">
      <c r="A5241" t="s">
        <v>7</v>
      </c>
      <c r="B5241" t="s">
        <v>23</v>
      </c>
      <c r="C5241" t="str">
        <f t="shared" si="164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63"/>
        <v>12</v>
      </c>
    </row>
    <row r="5242" spans="1:8" x14ac:dyDescent="0.2">
      <c r="A5242" t="s">
        <v>7</v>
      </c>
      <c r="B5242" t="s">
        <v>23</v>
      </c>
      <c r="C5242" t="str">
        <f t="shared" si="164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63"/>
        <v>12</v>
      </c>
    </row>
    <row r="5243" spans="1:8" x14ac:dyDescent="0.2">
      <c r="A5243" t="s">
        <v>7</v>
      </c>
      <c r="B5243" t="s">
        <v>23</v>
      </c>
      <c r="C5243" t="str">
        <f t="shared" si="164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63"/>
        <v>11</v>
      </c>
    </row>
    <row r="5244" spans="1:8" x14ac:dyDescent="0.2">
      <c r="A5244" t="s">
        <v>7</v>
      </c>
      <c r="B5244" t="s">
        <v>23</v>
      </c>
      <c r="C5244" t="str">
        <f t="shared" si="164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63"/>
        <v>11</v>
      </c>
    </row>
    <row r="5245" spans="1:8" x14ac:dyDescent="0.2">
      <c r="A5245" t="s">
        <v>7</v>
      </c>
      <c r="B5245" t="s">
        <v>23</v>
      </c>
      <c r="C5245" t="str">
        <f t="shared" si="164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63"/>
        <v>11</v>
      </c>
    </row>
    <row r="5246" spans="1:8" x14ac:dyDescent="0.2">
      <c r="A5246" t="s">
        <v>7</v>
      </c>
      <c r="B5246" t="s">
        <v>23</v>
      </c>
      <c r="C5246" t="str">
        <f t="shared" si="164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63"/>
        <v>11</v>
      </c>
    </row>
    <row r="5247" spans="1:8" x14ac:dyDescent="0.2">
      <c r="A5247" t="s">
        <v>7</v>
      </c>
      <c r="B5247" t="s">
        <v>23</v>
      </c>
      <c r="C5247" t="str">
        <f t="shared" si="164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63"/>
        <v>11</v>
      </c>
    </row>
    <row r="5248" spans="1:8" x14ac:dyDescent="0.2">
      <c r="A5248" t="s">
        <v>7</v>
      </c>
      <c r="B5248" t="s">
        <v>23</v>
      </c>
      <c r="C5248" t="str">
        <f t="shared" si="164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63"/>
        <v>10</v>
      </c>
    </row>
    <row r="5249" spans="1:8" x14ac:dyDescent="0.2">
      <c r="A5249" t="s">
        <v>7</v>
      </c>
      <c r="B5249" t="s">
        <v>23</v>
      </c>
      <c r="C5249" t="str">
        <f t="shared" si="164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63"/>
        <v>10</v>
      </c>
    </row>
    <row r="5250" spans="1:8" x14ac:dyDescent="0.2">
      <c r="A5250" t="s">
        <v>7</v>
      </c>
      <c r="B5250" t="s">
        <v>23</v>
      </c>
      <c r="C5250" t="str">
        <f t="shared" si="164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63"/>
        <v>10</v>
      </c>
    </row>
    <row r="5251" spans="1:8" x14ac:dyDescent="0.2">
      <c r="A5251" t="s">
        <v>7</v>
      </c>
      <c r="B5251" t="s">
        <v>23</v>
      </c>
      <c r="C5251" t="str">
        <f t="shared" si="164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ref="H5251:H5314" si="165">F5251-G5251</f>
        <v>10</v>
      </c>
    </row>
    <row r="5252" spans="1:8" x14ac:dyDescent="0.2">
      <c r="A5252" t="s">
        <v>7</v>
      </c>
      <c r="B5252" t="s">
        <v>23</v>
      </c>
      <c r="C5252" t="str">
        <f t="shared" ref="C5252:C5315" si="166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65"/>
        <v>10</v>
      </c>
    </row>
    <row r="5253" spans="1:8" x14ac:dyDescent="0.2">
      <c r="A5253" t="s">
        <v>7</v>
      </c>
      <c r="B5253" t="s">
        <v>23</v>
      </c>
      <c r="C5253" t="str">
        <f t="shared" si="166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65"/>
        <v>10</v>
      </c>
    </row>
    <row r="5254" spans="1:8" x14ac:dyDescent="0.2">
      <c r="A5254" t="s">
        <v>7</v>
      </c>
      <c r="B5254" t="s">
        <v>23</v>
      </c>
      <c r="C5254" t="str">
        <f t="shared" si="166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65"/>
        <v>9</v>
      </c>
    </row>
    <row r="5255" spans="1:8" x14ac:dyDescent="0.2">
      <c r="A5255" t="s">
        <v>7</v>
      </c>
      <c r="B5255" t="s">
        <v>23</v>
      </c>
      <c r="C5255" t="str">
        <f t="shared" si="166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65"/>
        <v>9</v>
      </c>
    </row>
    <row r="5256" spans="1:8" x14ac:dyDescent="0.2">
      <c r="A5256" t="s">
        <v>7</v>
      </c>
      <c r="B5256" t="s">
        <v>23</v>
      </c>
      <c r="C5256" t="str">
        <f t="shared" si="166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65"/>
        <v>9</v>
      </c>
    </row>
    <row r="5257" spans="1:8" x14ac:dyDescent="0.2">
      <c r="A5257" t="s">
        <v>7</v>
      </c>
      <c r="B5257" t="s">
        <v>23</v>
      </c>
      <c r="C5257" t="str">
        <f t="shared" si="166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65"/>
        <v>9</v>
      </c>
    </row>
    <row r="5258" spans="1:8" x14ac:dyDescent="0.2">
      <c r="A5258" t="s">
        <v>7</v>
      </c>
      <c r="B5258" t="s">
        <v>23</v>
      </c>
      <c r="C5258" t="str">
        <f t="shared" si="166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65"/>
        <v>9</v>
      </c>
    </row>
    <row r="5259" spans="1:8" x14ac:dyDescent="0.2">
      <c r="A5259" t="s">
        <v>7</v>
      </c>
      <c r="B5259" t="s">
        <v>23</v>
      </c>
      <c r="C5259" t="str">
        <f t="shared" si="166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65"/>
        <v>8</v>
      </c>
    </row>
    <row r="5260" spans="1:8" x14ac:dyDescent="0.2">
      <c r="A5260" t="s">
        <v>7</v>
      </c>
      <c r="B5260" t="s">
        <v>23</v>
      </c>
      <c r="C5260" t="str">
        <f t="shared" si="166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65"/>
        <v>8</v>
      </c>
    </row>
    <row r="5261" spans="1:8" x14ac:dyDescent="0.2">
      <c r="A5261" t="s">
        <v>7</v>
      </c>
      <c r="B5261" t="s">
        <v>23</v>
      </c>
      <c r="C5261" t="str">
        <f t="shared" si="166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65"/>
        <v>8</v>
      </c>
    </row>
    <row r="5262" spans="1:8" x14ac:dyDescent="0.2">
      <c r="A5262" t="s">
        <v>7</v>
      </c>
      <c r="B5262" t="s">
        <v>23</v>
      </c>
      <c r="C5262" t="str">
        <f t="shared" si="166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65"/>
        <v>8</v>
      </c>
    </row>
    <row r="5263" spans="1:8" x14ac:dyDescent="0.2">
      <c r="A5263" t="s">
        <v>7</v>
      </c>
      <c r="B5263" t="s">
        <v>23</v>
      </c>
      <c r="C5263" t="str">
        <f t="shared" si="166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65"/>
        <v>8</v>
      </c>
    </row>
    <row r="5264" spans="1:8" x14ac:dyDescent="0.2">
      <c r="A5264" t="s">
        <v>7</v>
      </c>
      <c r="B5264" t="s">
        <v>23</v>
      </c>
      <c r="C5264" t="str">
        <f t="shared" si="166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65"/>
        <v>8</v>
      </c>
    </row>
    <row r="5265" spans="1:8" x14ac:dyDescent="0.2">
      <c r="A5265" t="s">
        <v>7</v>
      </c>
      <c r="B5265" t="s">
        <v>23</v>
      </c>
      <c r="C5265" t="str">
        <f t="shared" si="166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65"/>
        <v>8</v>
      </c>
    </row>
    <row r="5266" spans="1:8" x14ac:dyDescent="0.2">
      <c r="A5266" t="s">
        <v>7</v>
      </c>
      <c r="B5266" t="s">
        <v>23</v>
      </c>
      <c r="C5266" t="str">
        <f t="shared" si="166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si="165"/>
        <v>7</v>
      </c>
    </row>
    <row r="5267" spans="1:8" x14ac:dyDescent="0.2">
      <c r="A5267" t="s">
        <v>7</v>
      </c>
      <c r="B5267" t="s">
        <v>23</v>
      </c>
      <c r="C5267" t="str">
        <f t="shared" si="166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65"/>
        <v>7</v>
      </c>
    </row>
    <row r="5268" spans="1:8" x14ac:dyDescent="0.2">
      <c r="A5268" t="s">
        <v>7</v>
      </c>
      <c r="B5268" t="s">
        <v>23</v>
      </c>
      <c r="C5268" t="str">
        <f t="shared" si="166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65"/>
        <v>7</v>
      </c>
    </row>
    <row r="5269" spans="1:8" x14ac:dyDescent="0.2">
      <c r="A5269" t="s">
        <v>7</v>
      </c>
      <c r="B5269" t="s">
        <v>23</v>
      </c>
      <c r="C5269" t="str">
        <f t="shared" si="166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65"/>
        <v>7</v>
      </c>
    </row>
    <row r="5270" spans="1:8" x14ac:dyDescent="0.2">
      <c r="A5270" t="s">
        <v>7</v>
      </c>
      <c r="B5270" t="s">
        <v>23</v>
      </c>
      <c r="C5270" t="str">
        <f t="shared" si="166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65"/>
        <v>6</v>
      </c>
    </row>
    <row r="5271" spans="1:8" x14ac:dyDescent="0.2">
      <c r="A5271" t="s">
        <v>7</v>
      </c>
      <c r="B5271" t="s">
        <v>23</v>
      </c>
      <c r="C5271" t="str">
        <f t="shared" si="166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65"/>
        <v>6</v>
      </c>
    </row>
    <row r="5272" spans="1:8" x14ac:dyDescent="0.2">
      <c r="A5272" t="s">
        <v>7</v>
      </c>
      <c r="B5272" t="s">
        <v>23</v>
      </c>
      <c r="C5272" t="str">
        <f t="shared" si="166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65"/>
        <v>6</v>
      </c>
    </row>
    <row r="5273" spans="1:8" x14ac:dyDescent="0.2">
      <c r="A5273" t="s">
        <v>7</v>
      </c>
      <c r="B5273" t="s">
        <v>23</v>
      </c>
      <c r="C5273" t="str">
        <f t="shared" si="166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65"/>
        <v>6</v>
      </c>
    </row>
    <row r="5274" spans="1:8" x14ac:dyDescent="0.2">
      <c r="A5274" t="s">
        <v>7</v>
      </c>
      <c r="B5274" t="s">
        <v>23</v>
      </c>
      <c r="C5274" t="str">
        <f t="shared" si="166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65"/>
        <v>6</v>
      </c>
    </row>
    <row r="5275" spans="1:8" x14ac:dyDescent="0.2">
      <c r="A5275" t="s">
        <v>7</v>
      </c>
      <c r="B5275" t="s">
        <v>23</v>
      </c>
      <c r="C5275" t="str">
        <f t="shared" si="166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65"/>
        <v>6</v>
      </c>
    </row>
    <row r="5276" spans="1:8" x14ac:dyDescent="0.2">
      <c r="A5276" t="s">
        <v>7</v>
      </c>
      <c r="B5276" t="s">
        <v>23</v>
      </c>
      <c r="C5276" t="str">
        <f t="shared" si="166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65"/>
        <v>6</v>
      </c>
    </row>
    <row r="5277" spans="1:8" x14ac:dyDescent="0.2">
      <c r="A5277" t="s">
        <v>7</v>
      </c>
      <c r="B5277" t="s">
        <v>23</v>
      </c>
      <c r="C5277" t="str">
        <f t="shared" si="166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65"/>
        <v>6</v>
      </c>
    </row>
    <row r="5278" spans="1:8" x14ac:dyDescent="0.2">
      <c r="A5278" t="s">
        <v>7</v>
      </c>
      <c r="B5278" t="s">
        <v>23</v>
      </c>
      <c r="C5278" t="str">
        <f t="shared" si="166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65"/>
        <v>5</v>
      </c>
    </row>
    <row r="5279" spans="1:8" x14ac:dyDescent="0.2">
      <c r="A5279" t="s">
        <v>7</v>
      </c>
      <c r="B5279" t="s">
        <v>23</v>
      </c>
      <c r="C5279" t="str">
        <f t="shared" si="166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65"/>
        <v>5</v>
      </c>
    </row>
    <row r="5280" spans="1:8" x14ac:dyDescent="0.2">
      <c r="A5280" t="s">
        <v>7</v>
      </c>
      <c r="B5280" t="s">
        <v>23</v>
      </c>
      <c r="C5280" t="str">
        <f t="shared" si="166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65"/>
        <v>5</v>
      </c>
    </row>
    <row r="5281" spans="1:8" x14ac:dyDescent="0.2">
      <c r="A5281" t="s">
        <v>7</v>
      </c>
      <c r="B5281" t="s">
        <v>23</v>
      </c>
      <c r="C5281" t="str">
        <f t="shared" si="166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65"/>
        <v>5</v>
      </c>
    </row>
    <row r="5282" spans="1:8" x14ac:dyDescent="0.2">
      <c r="A5282" t="s">
        <v>7</v>
      </c>
      <c r="B5282" t="s">
        <v>23</v>
      </c>
      <c r="C5282" t="str">
        <f t="shared" si="166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65"/>
        <v>5</v>
      </c>
    </row>
    <row r="5283" spans="1:8" x14ac:dyDescent="0.2">
      <c r="A5283" t="s">
        <v>7</v>
      </c>
      <c r="B5283" t="s">
        <v>23</v>
      </c>
      <c r="C5283" t="str">
        <f t="shared" si="166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65"/>
        <v>4</v>
      </c>
    </row>
    <row r="5284" spans="1:8" x14ac:dyDescent="0.2">
      <c r="A5284" t="s">
        <v>7</v>
      </c>
      <c r="B5284" t="s">
        <v>23</v>
      </c>
      <c r="C5284" t="str">
        <f t="shared" si="166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65"/>
        <v>4</v>
      </c>
    </row>
    <row r="5285" spans="1:8" x14ac:dyDescent="0.2">
      <c r="A5285" t="s">
        <v>7</v>
      </c>
      <c r="B5285" t="s">
        <v>23</v>
      </c>
      <c r="C5285" t="str">
        <f t="shared" si="166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65"/>
        <v>4</v>
      </c>
    </row>
    <row r="5286" spans="1:8" x14ac:dyDescent="0.2">
      <c r="A5286" t="s">
        <v>7</v>
      </c>
      <c r="B5286" t="s">
        <v>23</v>
      </c>
      <c r="C5286" t="str">
        <f t="shared" si="166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65"/>
        <v>4</v>
      </c>
    </row>
    <row r="5287" spans="1:8" x14ac:dyDescent="0.2">
      <c r="A5287" t="s">
        <v>7</v>
      </c>
      <c r="B5287" t="s">
        <v>23</v>
      </c>
      <c r="C5287" t="str">
        <f t="shared" si="166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65"/>
        <v>4</v>
      </c>
    </row>
    <row r="5288" spans="1:8" x14ac:dyDescent="0.2">
      <c r="A5288" t="s">
        <v>7</v>
      </c>
      <c r="B5288" t="s">
        <v>23</v>
      </c>
      <c r="C5288" t="str">
        <f t="shared" si="166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65"/>
        <v>4</v>
      </c>
    </row>
    <row r="5289" spans="1:8" x14ac:dyDescent="0.2">
      <c r="A5289" t="s">
        <v>7</v>
      </c>
      <c r="B5289" t="s">
        <v>23</v>
      </c>
      <c r="C5289" t="str">
        <f t="shared" si="166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65"/>
        <v>4</v>
      </c>
    </row>
    <row r="5290" spans="1:8" x14ac:dyDescent="0.2">
      <c r="A5290" t="s">
        <v>7</v>
      </c>
      <c r="B5290" t="s">
        <v>23</v>
      </c>
      <c r="C5290" t="str">
        <f t="shared" si="166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65"/>
        <v>4</v>
      </c>
    </row>
    <row r="5291" spans="1:8" x14ac:dyDescent="0.2">
      <c r="A5291" t="s">
        <v>7</v>
      </c>
      <c r="B5291" t="s">
        <v>23</v>
      </c>
      <c r="C5291" t="str">
        <f t="shared" si="166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65"/>
        <v>4</v>
      </c>
    </row>
    <row r="5292" spans="1:8" x14ac:dyDescent="0.2">
      <c r="A5292" t="s">
        <v>7</v>
      </c>
      <c r="B5292" t="s">
        <v>23</v>
      </c>
      <c r="C5292" t="str">
        <f t="shared" si="166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65"/>
        <v>4</v>
      </c>
    </row>
    <row r="5293" spans="1:8" x14ac:dyDescent="0.2">
      <c r="A5293" t="s">
        <v>7</v>
      </c>
      <c r="B5293" t="s">
        <v>23</v>
      </c>
      <c r="C5293" t="str">
        <f t="shared" si="166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65"/>
        <v>4</v>
      </c>
    </row>
    <row r="5294" spans="1:8" x14ac:dyDescent="0.2">
      <c r="A5294" t="s">
        <v>7</v>
      </c>
      <c r="B5294" t="s">
        <v>23</v>
      </c>
      <c r="C5294" t="str">
        <f t="shared" si="166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65"/>
        <v>4</v>
      </c>
    </row>
    <row r="5295" spans="1:8" x14ac:dyDescent="0.2">
      <c r="A5295" t="s">
        <v>7</v>
      </c>
      <c r="B5295" t="s">
        <v>23</v>
      </c>
      <c r="C5295" t="str">
        <f t="shared" si="166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65"/>
        <v>3</v>
      </c>
    </row>
    <row r="5296" spans="1:8" x14ac:dyDescent="0.2">
      <c r="A5296" t="s">
        <v>7</v>
      </c>
      <c r="B5296" t="s">
        <v>23</v>
      </c>
      <c r="C5296" t="str">
        <f t="shared" si="166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65"/>
        <v>3</v>
      </c>
    </row>
    <row r="5297" spans="1:8" x14ac:dyDescent="0.2">
      <c r="A5297" t="s">
        <v>7</v>
      </c>
      <c r="B5297" t="s">
        <v>23</v>
      </c>
      <c r="C5297" t="str">
        <f t="shared" si="166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65"/>
        <v>3</v>
      </c>
    </row>
    <row r="5298" spans="1:8" x14ac:dyDescent="0.2">
      <c r="A5298" t="s">
        <v>7</v>
      </c>
      <c r="B5298" t="s">
        <v>23</v>
      </c>
      <c r="C5298" t="str">
        <f t="shared" si="166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65"/>
        <v>3</v>
      </c>
    </row>
    <row r="5299" spans="1:8" x14ac:dyDescent="0.2">
      <c r="A5299" t="s">
        <v>7</v>
      </c>
      <c r="B5299" t="s">
        <v>23</v>
      </c>
      <c r="C5299" t="str">
        <f t="shared" si="166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65"/>
        <v>3</v>
      </c>
    </row>
    <row r="5300" spans="1:8" x14ac:dyDescent="0.2">
      <c r="A5300" t="s">
        <v>7</v>
      </c>
      <c r="B5300" t="s">
        <v>23</v>
      </c>
      <c r="C5300" t="str">
        <f t="shared" si="166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65"/>
        <v>3</v>
      </c>
    </row>
    <row r="5301" spans="1:8" x14ac:dyDescent="0.2">
      <c r="A5301" t="s">
        <v>7</v>
      </c>
      <c r="B5301" t="s">
        <v>23</v>
      </c>
      <c r="C5301" t="str">
        <f t="shared" si="166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65"/>
        <v>3</v>
      </c>
    </row>
    <row r="5302" spans="1:8" x14ac:dyDescent="0.2">
      <c r="A5302" t="s">
        <v>7</v>
      </c>
      <c r="B5302" t="s">
        <v>23</v>
      </c>
      <c r="C5302" t="str">
        <f t="shared" si="166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65"/>
        <v>2</v>
      </c>
    </row>
    <row r="5303" spans="1:8" x14ac:dyDescent="0.2">
      <c r="A5303" t="s">
        <v>7</v>
      </c>
      <c r="B5303" t="s">
        <v>23</v>
      </c>
      <c r="C5303" t="str">
        <f t="shared" si="166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65"/>
        <v>2</v>
      </c>
    </row>
    <row r="5304" spans="1:8" x14ac:dyDescent="0.2">
      <c r="A5304" t="s">
        <v>7</v>
      </c>
      <c r="B5304" t="s">
        <v>23</v>
      </c>
      <c r="C5304" t="str">
        <f t="shared" si="166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65"/>
        <v>2</v>
      </c>
    </row>
    <row r="5305" spans="1:8" x14ac:dyDescent="0.2">
      <c r="A5305" t="s">
        <v>7</v>
      </c>
      <c r="B5305" t="s">
        <v>23</v>
      </c>
      <c r="C5305" t="str">
        <f t="shared" si="166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65"/>
        <v>2</v>
      </c>
    </row>
    <row r="5306" spans="1:8" x14ac:dyDescent="0.2">
      <c r="A5306" t="s">
        <v>7</v>
      </c>
      <c r="B5306" t="s">
        <v>23</v>
      </c>
      <c r="C5306" t="str">
        <f t="shared" si="166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65"/>
        <v>2</v>
      </c>
    </row>
    <row r="5307" spans="1:8" x14ac:dyDescent="0.2">
      <c r="A5307" t="s">
        <v>7</v>
      </c>
      <c r="B5307" t="s">
        <v>23</v>
      </c>
      <c r="C5307" t="str">
        <f t="shared" si="166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65"/>
        <v>2</v>
      </c>
    </row>
    <row r="5308" spans="1:8" x14ac:dyDescent="0.2">
      <c r="A5308" t="s">
        <v>7</v>
      </c>
      <c r="B5308" t="s">
        <v>23</v>
      </c>
      <c r="C5308" t="str">
        <f t="shared" si="166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65"/>
        <v>2</v>
      </c>
    </row>
    <row r="5309" spans="1:8" x14ac:dyDescent="0.2">
      <c r="A5309" t="s">
        <v>7</v>
      </c>
      <c r="B5309" t="s">
        <v>23</v>
      </c>
      <c r="C5309" t="str">
        <f t="shared" si="166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65"/>
        <v>2</v>
      </c>
    </row>
    <row r="5310" spans="1:8" x14ac:dyDescent="0.2">
      <c r="A5310" t="s">
        <v>7</v>
      </c>
      <c r="B5310" t="s">
        <v>23</v>
      </c>
      <c r="C5310" t="str">
        <f t="shared" si="166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65"/>
        <v>2</v>
      </c>
    </row>
    <row r="5311" spans="1:8" x14ac:dyDescent="0.2">
      <c r="A5311" t="s">
        <v>7</v>
      </c>
      <c r="B5311" t="s">
        <v>23</v>
      </c>
      <c r="C5311" t="str">
        <f t="shared" si="166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65"/>
        <v>1</v>
      </c>
    </row>
    <row r="5312" spans="1:8" x14ac:dyDescent="0.2">
      <c r="A5312" t="s">
        <v>7</v>
      </c>
      <c r="B5312" t="s">
        <v>23</v>
      </c>
      <c r="C5312" t="str">
        <f t="shared" si="166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65"/>
        <v>1</v>
      </c>
    </row>
    <row r="5313" spans="1:8" x14ac:dyDescent="0.2">
      <c r="A5313" t="s">
        <v>7</v>
      </c>
      <c r="B5313" t="s">
        <v>23</v>
      </c>
      <c r="C5313" t="str">
        <f t="shared" si="166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65"/>
        <v>1</v>
      </c>
    </row>
    <row r="5314" spans="1:8" x14ac:dyDescent="0.2">
      <c r="A5314" t="s">
        <v>7</v>
      </c>
      <c r="B5314" t="s">
        <v>23</v>
      </c>
      <c r="C5314" t="str">
        <f t="shared" si="166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65"/>
        <v>1</v>
      </c>
    </row>
    <row r="5315" spans="1:8" x14ac:dyDescent="0.2">
      <c r="A5315" t="s">
        <v>7</v>
      </c>
      <c r="B5315" t="s">
        <v>23</v>
      </c>
      <c r="C5315" t="str">
        <f t="shared" si="166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ref="H5315:H5378" si="167">F5315-G5315</f>
        <v>1</v>
      </c>
    </row>
    <row r="5316" spans="1:8" x14ac:dyDescent="0.2">
      <c r="A5316" t="s">
        <v>7</v>
      </c>
      <c r="B5316" t="s">
        <v>23</v>
      </c>
      <c r="C5316" t="str">
        <f t="shared" ref="C5316:C5379" si="168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67"/>
        <v>1</v>
      </c>
    </row>
    <row r="5317" spans="1:8" x14ac:dyDescent="0.2">
      <c r="A5317" t="s">
        <v>7</v>
      </c>
      <c r="B5317" t="s">
        <v>23</v>
      </c>
      <c r="C5317" t="str">
        <f t="shared" si="168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67"/>
        <v>0</v>
      </c>
    </row>
    <row r="5318" spans="1:8" x14ac:dyDescent="0.2">
      <c r="A5318" t="s">
        <v>7</v>
      </c>
      <c r="B5318" t="s">
        <v>23</v>
      </c>
      <c r="C5318" t="str">
        <f t="shared" si="168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67"/>
        <v>0</v>
      </c>
    </row>
    <row r="5319" spans="1:8" x14ac:dyDescent="0.2">
      <c r="A5319" t="s">
        <v>7</v>
      </c>
      <c r="B5319" t="s">
        <v>23</v>
      </c>
      <c r="C5319" t="str">
        <f t="shared" si="168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67"/>
        <v>0</v>
      </c>
    </row>
    <row r="5320" spans="1:8" x14ac:dyDescent="0.2">
      <c r="A5320" t="s">
        <v>7</v>
      </c>
      <c r="B5320" t="s">
        <v>23</v>
      </c>
      <c r="C5320" t="str">
        <f t="shared" si="168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67"/>
        <v>0</v>
      </c>
    </row>
    <row r="5321" spans="1:8" x14ac:dyDescent="0.2">
      <c r="A5321" t="s">
        <v>7</v>
      </c>
      <c r="B5321" t="s">
        <v>23</v>
      </c>
      <c r="C5321" t="str">
        <f t="shared" si="168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67"/>
        <v>-1</v>
      </c>
    </row>
    <row r="5322" spans="1:8" x14ac:dyDescent="0.2">
      <c r="A5322" t="s">
        <v>7</v>
      </c>
      <c r="B5322" t="s">
        <v>23</v>
      </c>
      <c r="C5322" t="str">
        <f t="shared" si="168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67"/>
        <v>-2</v>
      </c>
    </row>
    <row r="5323" spans="1:8" x14ac:dyDescent="0.2">
      <c r="A5323" t="s">
        <v>7</v>
      </c>
      <c r="B5323" t="s">
        <v>23</v>
      </c>
      <c r="C5323" t="str">
        <f t="shared" si="168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67"/>
        <v>-2</v>
      </c>
    </row>
    <row r="5324" spans="1:8" x14ac:dyDescent="0.2">
      <c r="A5324" t="s">
        <v>7</v>
      </c>
      <c r="B5324" t="s">
        <v>23</v>
      </c>
      <c r="C5324" t="str">
        <f t="shared" si="168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67"/>
        <v>-2</v>
      </c>
    </row>
    <row r="5325" spans="1:8" x14ac:dyDescent="0.2">
      <c r="A5325" t="s">
        <v>7</v>
      </c>
      <c r="B5325" t="s">
        <v>23</v>
      </c>
      <c r="C5325" t="str">
        <f t="shared" si="168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67"/>
        <v>-3</v>
      </c>
    </row>
    <row r="5326" spans="1:8" x14ac:dyDescent="0.2">
      <c r="A5326" t="s">
        <v>7</v>
      </c>
      <c r="B5326" t="s">
        <v>23</v>
      </c>
      <c r="C5326" t="str">
        <f t="shared" si="168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67"/>
        <v>-3</v>
      </c>
    </row>
    <row r="5327" spans="1:8" x14ac:dyDescent="0.2">
      <c r="A5327" t="s">
        <v>7</v>
      </c>
      <c r="B5327" t="s">
        <v>23</v>
      </c>
      <c r="C5327" t="str">
        <f t="shared" si="168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67"/>
        <v>-3</v>
      </c>
    </row>
    <row r="5328" spans="1:8" x14ac:dyDescent="0.2">
      <c r="A5328" t="s">
        <v>7</v>
      </c>
      <c r="B5328" t="s">
        <v>23</v>
      </c>
      <c r="C5328" t="str">
        <f t="shared" si="168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67"/>
        <v>-3</v>
      </c>
    </row>
    <row r="5329" spans="1:8" x14ac:dyDescent="0.2">
      <c r="A5329" t="s">
        <v>7</v>
      </c>
      <c r="B5329" t="s">
        <v>23</v>
      </c>
      <c r="C5329" t="str">
        <f t="shared" si="168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67"/>
        <v>-3</v>
      </c>
    </row>
    <row r="5330" spans="1:8" x14ac:dyDescent="0.2">
      <c r="A5330" t="s">
        <v>7</v>
      </c>
      <c r="B5330" t="s">
        <v>23</v>
      </c>
      <c r="C5330" t="str">
        <f t="shared" si="168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si="167"/>
        <v>-3</v>
      </c>
    </row>
    <row r="5331" spans="1:8" x14ac:dyDescent="0.2">
      <c r="A5331" t="s">
        <v>7</v>
      </c>
      <c r="B5331" t="s">
        <v>23</v>
      </c>
      <c r="C5331" t="str">
        <f t="shared" si="168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67"/>
        <v>-4</v>
      </c>
    </row>
    <row r="5332" spans="1:8" x14ac:dyDescent="0.2">
      <c r="A5332" t="s">
        <v>7</v>
      </c>
      <c r="B5332" t="s">
        <v>23</v>
      </c>
      <c r="C5332" t="str">
        <f t="shared" si="168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67"/>
        <v>-4</v>
      </c>
    </row>
    <row r="5333" spans="1:8" x14ac:dyDescent="0.2">
      <c r="A5333" t="s">
        <v>7</v>
      </c>
      <c r="B5333" t="s">
        <v>23</v>
      </c>
      <c r="C5333" t="str">
        <f t="shared" si="168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67"/>
        <v>0</v>
      </c>
    </row>
    <row r="5334" spans="1:8" x14ac:dyDescent="0.2">
      <c r="A5334" t="s">
        <v>7</v>
      </c>
      <c r="B5334" t="s">
        <v>23</v>
      </c>
      <c r="C5334" t="str">
        <f t="shared" si="168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67"/>
        <v>-4</v>
      </c>
    </row>
    <row r="5335" spans="1:8" x14ac:dyDescent="0.2">
      <c r="A5335" t="s">
        <v>7</v>
      </c>
      <c r="B5335" t="s">
        <v>23</v>
      </c>
      <c r="C5335" t="str">
        <f t="shared" si="168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67"/>
        <v>-5</v>
      </c>
    </row>
    <row r="5336" spans="1:8" x14ac:dyDescent="0.2">
      <c r="A5336" t="s">
        <v>7</v>
      </c>
      <c r="B5336" t="s">
        <v>23</v>
      </c>
      <c r="C5336" t="str">
        <f t="shared" si="168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67"/>
        <v>0</v>
      </c>
    </row>
    <row r="5337" spans="1:8" x14ac:dyDescent="0.2">
      <c r="A5337" t="s">
        <v>7</v>
      </c>
      <c r="B5337" t="s">
        <v>23</v>
      </c>
      <c r="C5337" t="str">
        <f t="shared" si="168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67"/>
        <v>-6</v>
      </c>
    </row>
    <row r="5338" spans="1:8" x14ac:dyDescent="0.2">
      <c r="A5338" t="s">
        <v>7</v>
      </c>
      <c r="B5338" t="s">
        <v>23</v>
      </c>
      <c r="C5338" t="str">
        <f t="shared" si="168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67"/>
        <v>-6</v>
      </c>
    </row>
    <row r="5339" spans="1:8" x14ac:dyDescent="0.2">
      <c r="A5339" t="s">
        <v>7</v>
      </c>
      <c r="B5339" t="s">
        <v>23</v>
      </c>
      <c r="C5339" t="str">
        <f t="shared" si="168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67"/>
        <v>-6</v>
      </c>
    </row>
    <row r="5340" spans="1:8" x14ac:dyDescent="0.2">
      <c r="A5340" t="s">
        <v>7</v>
      </c>
      <c r="B5340" t="s">
        <v>23</v>
      </c>
      <c r="C5340" t="str">
        <f t="shared" si="168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67"/>
        <v>-7</v>
      </c>
    </row>
    <row r="5341" spans="1:8" x14ac:dyDescent="0.2">
      <c r="A5341" t="s">
        <v>7</v>
      </c>
      <c r="B5341" t="s">
        <v>23</v>
      </c>
      <c r="C5341" t="str">
        <f t="shared" si="168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67"/>
        <v>-7</v>
      </c>
    </row>
    <row r="5342" spans="1:8" x14ac:dyDescent="0.2">
      <c r="A5342" t="s">
        <v>7</v>
      </c>
      <c r="B5342" t="s">
        <v>23</v>
      </c>
      <c r="C5342" t="str">
        <f t="shared" si="168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67"/>
        <v>-7</v>
      </c>
    </row>
    <row r="5343" spans="1:8" x14ac:dyDescent="0.2">
      <c r="A5343" t="s">
        <v>7</v>
      </c>
      <c r="B5343" t="s">
        <v>23</v>
      </c>
      <c r="C5343" t="str">
        <f t="shared" si="168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67"/>
        <v>-8</v>
      </c>
    </row>
    <row r="5344" spans="1:8" x14ac:dyDescent="0.2">
      <c r="A5344" t="s">
        <v>7</v>
      </c>
      <c r="B5344" t="s">
        <v>23</v>
      </c>
      <c r="C5344" t="str">
        <f t="shared" si="168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67"/>
        <v>-8</v>
      </c>
    </row>
    <row r="5345" spans="1:8" x14ac:dyDescent="0.2">
      <c r="A5345" t="s">
        <v>7</v>
      </c>
      <c r="B5345" t="s">
        <v>23</v>
      </c>
      <c r="C5345" t="str">
        <f t="shared" si="168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67"/>
        <v>-9</v>
      </c>
    </row>
    <row r="5346" spans="1:8" x14ac:dyDescent="0.2">
      <c r="A5346" t="s">
        <v>7</v>
      </c>
      <c r="B5346" t="s">
        <v>23</v>
      </c>
      <c r="C5346" t="str">
        <f t="shared" si="168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67"/>
        <v>-9</v>
      </c>
    </row>
    <row r="5347" spans="1:8" x14ac:dyDescent="0.2">
      <c r="A5347" t="s">
        <v>7</v>
      </c>
      <c r="B5347" t="s">
        <v>23</v>
      </c>
      <c r="C5347" t="str">
        <f t="shared" si="168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67"/>
        <v>-9</v>
      </c>
    </row>
    <row r="5348" spans="1:8" x14ac:dyDescent="0.2">
      <c r="A5348" t="s">
        <v>7</v>
      </c>
      <c r="B5348" t="s">
        <v>23</v>
      </c>
      <c r="C5348" t="str">
        <f t="shared" si="168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67"/>
        <v>-10</v>
      </c>
    </row>
    <row r="5349" spans="1:8" x14ac:dyDescent="0.2">
      <c r="A5349" t="s">
        <v>7</v>
      </c>
      <c r="B5349" t="s">
        <v>23</v>
      </c>
      <c r="C5349" t="str">
        <f t="shared" si="168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67"/>
        <v>-10</v>
      </c>
    </row>
    <row r="5350" spans="1:8" x14ac:dyDescent="0.2">
      <c r="A5350" t="s">
        <v>7</v>
      </c>
      <c r="B5350" t="s">
        <v>23</v>
      </c>
      <c r="C5350" t="str">
        <f t="shared" si="168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67"/>
        <v>-10</v>
      </c>
    </row>
    <row r="5351" spans="1:8" x14ac:dyDescent="0.2">
      <c r="A5351" t="s">
        <v>7</v>
      </c>
      <c r="B5351" t="s">
        <v>23</v>
      </c>
      <c r="C5351" t="str">
        <f t="shared" si="168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67"/>
        <v>-10</v>
      </c>
    </row>
    <row r="5352" spans="1:8" x14ac:dyDescent="0.2">
      <c r="A5352" t="s">
        <v>7</v>
      </c>
      <c r="B5352" t="s">
        <v>23</v>
      </c>
      <c r="C5352" t="str">
        <f t="shared" si="168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67"/>
        <v>-10</v>
      </c>
    </row>
    <row r="5353" spans="1:8" x14ac:dyDescent="0.2">
      <c r="A5353" t="s">
        <v>7</v>
      </c>
      <c r="B5353" t="s">
        <v>23</v>
      </c>
      <c r="C5353" t="str">
        <f t="shared" si="168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67"/>
        <v>-11</v>
      </c>
    </row>
    <row r="5354" spans="1:8" x14ac:dyDescent="0.2">
      <c r="A5354" t="s">
        <v>7</v>
      </c>
      <c r="B5354" t="s">
        <v>23</v>
      </c>
      <c r="C5354" t="str">
        <f t="shared" si="168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67"/>
        <v>-11</v>
      </c>
    </row>
    <row r="5355" spans="1:8" x14ac:dyDescent="0.2">
      <c r="A5355" t="s">
        <v>7</v>
      </c>
      <c r="B5355" t="s">
        <v>23</v>
      </c>
      <c r="C5355" t="str">
        <f t="shared" si="168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67"/>
        <v>-11</v>
      </c>
    </row>
    <row r="5356" spans="1:8" x14ac:dyDescent="0.2">
      <c r="A5356" t="s">
        <v>7</v>
      </c>
      <c r="B5356" t="s">
        <v>23</v>
      </c>
      <c r="C5356" t="str">
        <f t="shared" si="168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67"/>
        <v>-11</v>
      </c>
    </row>
    <row r="5357" spans="1:8" x14ac:dyDescent="0.2">
      <c r="A5357" t="s">
        <v>7</v>
      </c>
      <c r="B5357" t="s">
        <v>23</v>
      </c>
      <c r="C5357" t="str">
        <f t="shared" si="168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67"/>
        <v>-11</v>
      </c>
    </row>
    <row r="5358" spans="1:8" x14ac:dyDescent="0.2">
      <c r="A5358" t="s">
        <v>7</v>
      </c>
      <c r="B5358" t="s">
        <v>23</v>
      </c>
      <c r="C5358" t="str">
        <f t="shared" si="168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67"/>
        <v>-12</v>
      </c>
    </row>
    <row r="5359" spans="1:8" x14ac:dyDescent="0.2">
      <c r="A5359" t="s">
        <v>7</v>
      </c>
      <c r="B5359" t="s">
        <v>23</v>
      </c>
      <c r="C5359" t="str">
        <f t="shared" si="168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67"/>
        <v>-12</v>
      </c>
    </row>
    <row r="5360" spans="1:8" x14ac:dyDescent="0.2">
      <c r="A5360" t="s">
        <v>7</v>
      </c>
      <c r="B5360" t="s">
        <v>23</v>
      </c>
      <c r="C5360" t="str">
        <f t="shared" si="168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67"/>
        <v>-12</v>
      </c>
    </row>
    <row r="5361" spans="1:8" x14ac:dyDescent="0.2">
      <c r="A5361" t="s">
        <v>7</v>
      </c>
      <c r="B5361" t="s">
        <v>23</v>
      </c>
      <c r="C5361" t="str">
        <f t="shared" si="168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67"/>
        <v>-12</v>
      </c>
    </row>
    <row r="5362" spans="1:8" x14ac:dyDescent="0.2">
      <c r="A5362" t="s">
        <v>7</v>
      </c>
      <c r="B5362" t="s">
        <v>23</v>
      </c>
      <c r="C5362" t="str">
        <f t="shared" si="168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67"/>
        <v>-12</v>
      </c>
    </row>
    <row r="5363" spans="1:8" x14ac:dyDescent="0.2">
      <c r="A5363" t="s">
        <v>7</v>
      </c>
      <c r="B5363" t="s">
        <v>23</v>
      </c>
      <c r="C5363" t="str">
        <f t="shared" si="168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67"/>
        <v>-12</v>
      </c>
    </row>
    <row r="5364" spans="1:8" x14ac:dyDescent="0.2">
      <c r="A5364" t="s">
        <v>7</v>
      </c>
      <c r="B5364" t="s">
        <v>23</v>
      </c>
      <c r="C5364" t="str">
        <f t="shared" si="168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67"/>
        <v>-13</v>
      </c>
    </row>
    <row r="5365" spans="1:8" x14ac:dyDescent="0.2">
      <c r="A5365" t="s">
        <v>7</v>
      </c>
      <c r="B5365" t="s">
        <v>23</v>
      </c>
      <c r="C5365" t="str">
        <f t="shared" si="168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67"/>
        <v>-13</v>
      </c>
    </row>
    <row r="5366" spans="1:8" x14ac:dyDescent="0.2">
      <c r="A5366" t="s">
        <v>7</v>
      </c>
      <c r="B5366" t="s">
        <v>23</v>
      </c>
      <c r="C5366" t="str">
        <f t="shared" si="168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67"/>
        <v>-13</v>
      </c>
    </row>
    <row r="5367" spans="1:8" x14ac:dyDescent="0.2">
      <c r="A5367" t="s">
        <v>7</v>
      </c>
      <c r="B5367" t="s">
        <v>23</v>
      </c>
      <c r="C5367" t="str">
        <f t="shared" si="168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67"/>
        <v>-13</v>
      </c>
    </row>
    <row r="5368" spans="1:8" x14ac:dyDescent="0.2">
      <c r="A5368" t="s">
        <v>7</v>
      </c>
      <c r="B5368" t="s">
        <v>23</v>
      </c>
      <c r="C5368" t="str">
        <f t="shared" si="168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67"/>
        <v>-13</v>
      </c>
    </row>
    <row r="5369" spans="1:8" x14ac:dyDescent="0.2">
      <c r="A5369" t="s">
        <v>7</v>
      </c>
      <c r="B5369" t="s">
        <v>23</v>
      </c>
      <c r="C5369" t="str">
        <f t="shared" si="168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67"/>
        <v>-14</v>
      </c>
    </row>
    <row r="5370" spans="1:8" x14ac:dyDescent="0.2">
      <c r="A5370" t="s">
        <v>7</v>
      </c>
      <c r="B5370" t="s">
        <v>23</v>
      </c>
      <c r="C5370" t="str">
        <f t="shared" si="168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67"/>
        <v>-14</v>
      </c>
    </row>
    <row r="5371" spans="1:8" x14ac:dyDescent="0.2">
      <c r="A5371" t="s">
        <v>7</v>
      </c>
      <c r="B5371" t="s">
        <v>23</v>
      </c>
      <c r="C5371" t="str">
        <f t="shared" si="168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67"/>
        <v>-14</v>
      </c>
    </row>
    <row r="5372" spans="1:8" x14ac:dyDescent="0.2">
      <c r="A5372" t="s">
        <v>7</v>
      </c>
      <c r="B5372" t="s">
        <v>23</v>
      </c>
      <c r="C5372" t="str">
        <f t="shared" si="168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67"/>
        <v>-14</v>
      </c>
    </row>
    <row r="5373" spans="1:8" x14ac:dyDescent="0.2">
      <c r="A5373" t="s">
        <v>7</v>
      </c>
      <c r="B5373" t="s">
        <v>23</v>
      </c>
      <c r="C5373" t="str">
        <f t="shared" si="168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67"/>
        <v>-15</v>
      </c>
    </row>
    <row r="5374" spans="1:8" x14ac:dyDescent="0.2">
      <c r="A5374" t="s">
        <v>7</v>
      </c>
      <c r="B5374" t="s">
        <v>23</v>
      </c>
      <c r="C5374" t="str">
        <f t="shared" si="168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67"/>
        <v>-15</v>
      </c>
    </row>
    <row r="5375" spans="1:8" x14ac:dyDescent="0.2">
      <c r="A5375" t="s">
        <v>7</v>
      </c>
      <c r="B5375" t="s">
        <v>23</v>
      </c>
      <c r="C5375" t="str">
        <f t="shared" si="168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67"/>
        <v>-15</v>
      </c>
    </row>
    <row r="5376" spans="1:8" x14ac:dyDescent="0.2">
      <c r="A5376" t="s">
        <v>7</v>
      </c>
      <c r="B5376" t="s">
        <v>23</v>
      </c>
      <c r="C5376" t="str">
        <f t="shared" si="168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67"/>
        <v>-15</v>
      </c>
    </row>
    <row r="5377" spans="1:8" x14ac:dyDescent="0.2">
      <c r="A5377" t="s">
        <v>7</v>
      </c>
      <c r="B5377" t="s">
        <v>23</v>
      </c>
      <c r="C5377" t="str">
        <f t="shared" si="168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67"/>
        <v>-16</v>
      </c>
    </row>
    <row r="5378" spans="1:8" x14ac:dyDescent="0.2">
      <c r="A5378" t="s">
        <v>7</v>
      </c>
      <c r="B5378" t="s">
        <v>23</v>
      </c>
      <c r="C5378" t="str">
        <f t="shared" si="168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67"/>
        <v>-16</v>
      </c>
    </row>
    <row r="5379" spans="1:8" x14ac:dyDescent="0.2">
      <c r="A5379" t="s">
        <v>7</v>
      </c>
      <c r="B5379" t="s">
        <v>23</v>
      </c>
      <c r="C5379" t="str">
        <f t="shared" si="168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ref="H5379:H5442" si="169">F5379-G5379</f>
        <v>-16</v>
      </c>
    </row>
    <row r="5380" spans="1:8" x14ac:dyDescent="0.2">
      <c r="A5380" t="s">
        <v>7</v>
      </c>
      <c r="B5380" t="s">
        <v>23</v>
      </c>
      <c r="C5380" t="str">
        <f t="shared" ref="C5380:C5443" si="170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69"/>
        <v>-17</v>
      </c>
    </row>
    <row r="5381" spans="1:8" x14ac:dyDescent="0.2">
      <c r="A5381" t="s">
        <v>7</v>
      </c>
      <c r="B5381" t="s">
        <v>23</v>
      </c>
      <c r="C5381" t="str">
        <f t="shared" si="170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69"/>
        <v>-17</v>
      </c>
    </row>
    <row r="5382" spans="1:8" x14ac:dyDescent="0.2">
      <c r="A5382" t="s">
        <v>7</v>
      </c>
      <c r="B5382" t="s">
        <v>23</v>
      </c>
      <c r="C5382" t="str">
        <f t="shared" si="170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69"/>
        <v>-18</v>
      </c>
    </row>
    <row r="5383" spans="1:8" x14ac:dyDescent="0.2">
      <c r="A5383" t="s">
        <v>7</v>
      </c>
      <c r="B5383" t="s">
        <v>23</v>
      </c>
      <c r="C5383" t="str">
        <f t="shared" si="170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69"/>
        <v>-18</v>
      </c>
    </row>
    <row r="5384" spans="1:8" x14ac:dyDescent="0.2">
      <c r="A5384" t="s">
        <v>7</v>
      </c>
      <c r="B5384" t="s">
        <v>23</v>
      </c>
      <c r="C5384" t="str">
        <f t="shared" si="170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69"/>
        <v>-18</v>
      </c>
    </row>
    <row r="5385" spans="1:8" x14ac:dyDescent="0.2">
      <c r="A5385" t="s">
        <v>7</v>
      </c>
      <c r="B5385" t="s">
        <v>23</v>
      </c>
      <c r="C5385" t="str">
        <f t="shared" si="170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69"/>
        <v>-18</v>
      </c>
    </row>
    <row r="5386" spans="1:8" x14ac:dyDescent="0.2">
      <c r="A5386" t="s">
        <v>7</v>
      </c>
      <c r="B5386" t="s">
        <v>23</v>
      </c>
      <c r="C5386" t="str">
        <f t="shared" si="170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69"/>
        <v>-19</v>
      </c>
    </row>
    <row r="5387" spans="1:8" x14ac:dyDescent="0.2">
      <c r="A5387" t="s">
        <v>7</v>
      </c>
      <c r="B5387" t="s">
        <v>23</v>
      </c>
      <c r="C5387" t="str">
        <f t="shared" si="170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69"/>
        <v>-19</v>
      </c>
    </row>
    <row r="5388" spans="1:8" x14ac:dyDescent="0.2">
      <c r="A5388" t="s">
        <v>7</v>
      </c>
      <c r="B5388" t="s">
        <v>23</v>
      </c>
      <c r="C5388" t="str">
        <f t="shared" si="170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69"/>
        <v>-19</v>
      </c>
    </row>
    <row r="5389" spans="1:8" x14ac:dyDescent="0.2">
      <c r="A5389" t="s">
        <v>7</v>
      </c>
      <c r="B5389" t="s">
        <v>23</v>
      </c>
      <c r="C5389" t="str">
        <f t="shared" si="170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69"/>
        <v>-19</v>
      </c>
    </row>
    <row r="5390" spans="1:8" x14ac:dyDescent="0.2">
      <c r="A5390" t="s">
        <v>18</v>
      </c>
      <c r="B5390" t="s">
        <v>23</v>
      </c>
      <c r="C5390" t="str">
        <f t="shared" si="170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69"/>
        <v>-20</v>
      </c>
    </row>
    <row r="5391" spans="1:8" x14ac:dyDescent="0.2">
      <c r="A5391" t="s">
        <v>18</v>
      </c>
      <c r="B5391" t="s">
        <v>23</v>
      </c>
      <c r="C5391" t="str">
        <f t="shared" si="170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69"/>
        <v>-20</v>
      </c>
    </row>
    <row r="5392" spans="1:8" x14ac:dyDescent="0.2">
      <c r="A5392" t="s">
        <v>18</v>
      </c>
      <c r="B5392" t="s">
        <v>23</v>
      </c>
      <c r="C5392" t="str">
        <f t="shared" si="170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69"/>
        <v>-20</v>
      </c>
    </row>
    <row r="5393" spans="1:8" x14ac:dyDescent="0.2">
      <c r="A5393" t="s">
        <v>18</v>
      </c>
      <c r="B5393" t="s">
        <v>23</v>
      </c>
      <c r="C5393" t="str">
        <f t="shared" si="170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69"/>
        <v>-20</v>
      </c>
    </row>
    <row r="5394" spans="1:8" x14ac:dyDescent="0.2">
      <c r="A5394" t="s">
        <v>7</v>
      </c>
      <c r="B5394" t="s">
        <v>23</v>
      </c>
      <c r="C5394" t="str">
        <f t="shared" si="170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si="169"/>
        <v>-20</v>
      </c>
    </row>
    <row r="5395" spans="1:8" x14ac:dyDescent="0.2">
      <c r="A5395" t="s">
        <v>18</v>
      </c>
      <c r="B5395" t="s">
        <v>23</v>
      </c>
      <c r="C5395" t="str">
        <f t="shared" si="170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69"/>
        <v>0</v>
      </c>
    </row>
    <row r="5396" spans="1:8" x14ac:dyDescent="0.2">
      <c r="A5396" t="s">
        <v>18</v>
      </c>
      <c r="B5396" t="s">
        <v>23</v>
      </c>
      <c r="C5396" t="str">
        <f t="shared" si="170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69"/>
        <v>-20</v>
      </c>
    </row>
    <row r="5397" spans="1:8" x14ac:dyDescent="0.2">
      <c r="A5397" t="s">
        <v>18</v>
      </c>
      <c r="B5397" t="s">
        <v>23</v>
      </c>
      <c r="C5397" t="str">
        <f t="shared" si="170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69"/>
        <v>-20</v>
      </c>
    </row>
    <row r="5398" spans="1:8" x14ac:dyDescent="0.2">
      <c r="A5398" t="s">
        <v>18</v>
      </c>
      <c r="B5398" t="s">
        <v>23</v>
      </c>
      <c r="C5398" t="str">
        <f t="shared" si="170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69"/>
        <v>-20</v>
      </c>
    </row>
    <row r="5399" spans="1:8" x14ac:dyDescent="0.2">
      <c r="A5399" t="s">
        <v>18</v>
      </c>
      <c r="B5399" t="s">
        <v>23</v>
      </c>
      <c r="C5399" t="str">
        <f t="shared" si="170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69"/>
        <v>-20</v>
      </c>
    </row>
    <row r="5400" spans="1:8" x14ac:dyDescent="0.2">
      <c r="A5400" t="s">
        <v>18</v>
      </c>
      <c r="B5400" t="s">
        <v>23</v>
      </c>
      <c r="C5400" t="str">
        <f t="shared" si="170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69"/>
        <v>-20</v>
      </c>
    </row>
    <row r="5401" spans="1:8" x14ac:dyDescent="0.2">
      <c r="A5401" t="s">
        <v>18</v>
      </c>
      <c r="B5401" t="s">
        <v>23</v>
      </c>
      <c r="C5401" t="str">
        <f t="shared" si="170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69"/>
        <v>-20</v>
      </c>
    </row>
    <row r="5402" spans="1:8" x14ac:dyDescent="0.2">
      <c r="A5402" t="s">
        <v>18</v>
      </c>
      <c r="B5402" t="s">
        <v>23</v>
      </c>
      <c r="C5402" t="str">
        <f t="shared" si="170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69"/>
        <v>-20</v>
      </c>
    </row>
    <row r="5403" spans="1:8" x14ac:dyDescent="0.2">
      <c r="A5403" t="s">
        <v>18</v>
      </c>
      <c r="B5403" t="s">
        <v>23</v>
      </c>
      <c r="C5403" t="str">
        <f t="shared" si="170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69"/>
        <v>-20</v>
      </c>
    </row>
    <row r="5404" spans="1:8" x14ac:dyDescent="0.2">
      <c r="A5404" t="s">
        <v>18</v>
      </c>
      <c r="B5404" t="s">
        <v>23</v>
      </c>
      <c r="C5404" t="str">
        <f t="shared" si="170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69"/>
        <v>-20</v>
      </c>
    </row>
    <row r="5405" spans="1:8" x14ac:dyDescent="0.2">
      <c r="A5405" t="s">
        <v>19</v>
      </c>
      <c r="B5405" t="s">
        <v>23</v>
      </c>
      <c r="C5405" t="str">
        <f t="shared" si="170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69"/>
        <v>-20</v>
      </c>
    </row>
    <row r="5406" spans="1:8" x14ac:dyDescent="0.2">
      <c r="A5406" t="s">
        <v>18</v>
      </c>
      <c r="B5406" t="s">
        <v>23</v>
      </c>
      <c r="C5406" t="str">
        <f t="shared" si="170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69"/>
        <v>-20</v>
      </c>
    </row>
    <row r="5407" spans="1:8" x14ac:dyDescent="0.2">
      <c r="A5407" t="s">
        <v>7</v>
      </c>
      <c r="B5407" t="s">
        <v>23</v>
      </c>
      <c r="C5407" t="str">
        <f t="shared" si="170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69"/>
        <v>-20</v>
      </c>
    </row>
    <row r="5408" spans="1:8" x14ac:dyDescent="0.2">
      <c r="A5408" t="s">
        <v>19</v>
      </c>
      <c r="B5408" t="s">
        <v>23</v>
      </c>
      <c r="C5408" t="str">
        <f t="shared" si="170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69"/>
        <v>-20</v>
      </c>
    </row>
    <row r="5409" spans="1:8" x14ac:dyDescent="0.2">
      <c r="A5409" t="s">
        <v>19</v>
      </c>
      <c r="B5409" t="s">
        <v>23</v>
      </c>
      <c r="C5409" t="str">
        <f t="shared" si="170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69"/>
        <v>-20</v>
      </c>
    </row>
    <row r="5410" spans="1:8" x14ac:dyDescent="0.2">
      <c r="A5410" t="s">
        <v>18</v>
      </c>
      <c r="B5410" t="s">
        <v>23</v>
      </c>
      <c r="C5410" t="str">
        <f t="shared" si="170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69"/>
        <v>-20</v>
      </c>
    </row>
    <row r="5411" spans="1:8" x14ac:dyDescent="0.2">
      <c r="A5411" t="s">
        <v>18</v>
      </c>
      <c r="B5411" t="s">
        <v>23</v>
      </c>
      <c r="C5411" t="str">
        <f t="shared" si="170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69"/>
        <v>-20</v>
      </c>
    </row>
    <row r="5412" spans="1:8" x14ac:dyDescent="0.2">
      <c r="A5412" t="s">
        <v>18</v>
      </c>
      <c r="B5412" t="s">
        <v>23</v>
      </c>
      <c r="C5412" t="str">
        <f t="shared" si="170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69"/>
        <v>0</v>
      </c>
    </row>
    <row r="5413" spans="1:8" x14ac:dyDescent="0.2">
      <c r="A5413" t="s">
        <v>18</v>
      </c>
      <c r="B5413" t="s">
        <v>23</v>
      </c>
      <c r="C5413" t="str">
        <f t="shared" si="170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69"/>
        <v>-20</v>
      </c>
    </row>
    <row r="5414" spans="1:8" x14ac:dyDescent="0.2">
      <c r="A5414" t="s">
        <v>18</v>
      </c>
      <c r="B5414" t="s">
        <v>23</v>
      </c>
      <c r="C5414" t="str">
        <f t="shared" si="170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69"/>
        <v>-20</v>
      </c>
    </row>
    <row r="5415" spans="1:8" x14ac:dyDescent="0.2">
      <c r="A5415" t="s">
        <v>19</v>
      </c>
      <c r="B5415" t="s">
        <v>23</v>
      </c>
      <c r="C5415" t="str">
        <f t="shared" si="170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69"/>
        <v>-20</v>
      </c>
    </row>
    <row r="5416" spans="1:8" x14ac:dyDescent="0.2">
      <c r="A5416" t="s">
        <v>18</v>
      </c>
      <c r="B5416" t="s">
        <v>23</v>
      </c>
      <c r="C5416" t="str">
        <f t="shared" si="170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69"/>
        <v>-20</v>
      </c>
    </row>
    <row r="5417" spans="1:8" x14ac:dyDescent="0.2">
      <c r="A5417" t="s">
        <v>18</v>
      </c>
      <c r="B5417" t="s">
        <v>23</v>
      </c>
      <c r="C5417" t="str">
        <f t="shared" si="170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69"/>
        <v>-20</v>
      </c>
    </row>
    <row r="5418" spans="1:8" x14ac:dyDescent="0.2">
      <c r="A5418" t="s">
        <v>18</v>
      </c>
      <c r="B5418" t="s">
        <v>23</v>
      </c>
      <c r="C5418" t="str">
        <f t="shared" si="170"/>
        <v>No cumple</v>
      </c>
      <c r="D5418" s="17">
        <v>3924</v>
      </c>
      <c r="E5418" s="19" t="s">
        <v>12</v>
      </c>
      <c r="F5418">
        <v>0</v>
      </c>
      <c r="G5418">
        <v>20</v>
      </c>
      <c r="H5418">
        <f t="shared" si="169"/>
        <v>-20</v>
      </c>
    </row>
    <row r="5419" spans="1:8" x14ac:dyDescent="0.2">
      <c r="A5419" t="s">
        <v>18</v>
      </c>
      <c r="B5419" t="s">
        <v>23</v>
      </c>
      <c r="C5419" t="str">
        <f t="shared" si="170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69"/>
        <v>-20</v>
      </c>
    </row>
    <row r="5420" spans="1:8" x14ac:dyDescent="0.2">
      <c r="A5420" t="s">
        <v>18</v>
      </c>
      <c r="B5420" t="s">
        <v>23</v>
      </c>
      <c r="C5420" t="str">
        <f t="shared" si="170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69"/>
        <v>-20</v>
      </c>
    </row>
    <row r="5421" spans="1:8" x14ac:dyDescent="0.2">
      <c r="A5421" t="s">
        <v>7</v>
      </c>
      <c r="B5421" t="s">
        <v>23</v>
      </c>
      <c r="C5421" t="str">
        <f t="shared" si="170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69"/>
        <v>-20</v>
      </c>
    </row>
    <row r="5422" spans="1:8" x14ac:dyDescent="0.2">
      <c r="A5422" t="s">
        <v>7</v>
      </c>
      <c r="B5422" t="s">
        <v>23</v>
      </c>
      <c r="C5422" t="str">
        <f t="shared" si="170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 t="shared" si="169"/>
        <v>10</v>
      </c>
    </row>
    <row r="5423" spans="1:8" x14ac:dyDescent="0.2">
      <c r="A5423" t="s">
        <v>7</v>
      </c>
      <c r="B5423" t="s">
        <v>23</v>
      </c>
      <c r="C5423" t="str">
        <f t="shared" si="170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si="169"/>
        <v>10</v>
      </c>
    </row>
    <row r="5424" spans="1:8" x14ac:dyDescent="0.2">
      <c r="A5424" t="s">
        <v>7</v>
      </c>
      <c r="B5424" t="s">
        <v>23</v>
      </c>
      <c r="C5424" t="str">
        <f t="shared" si="170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69"/>
        <v>9</v>
      </c>
    </row>
    <row r="5425" spans="1:8" x14ac:dyDescent="0.2">
      <c r="A5425" t="s">
        <v>7</v>
      </c>
      <c r="B5425" t="s">
        <v>23</v>
      </c>
      <c r="C5425" t="str">
        <f t="shared" si="170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69"/>
        <v>8</v>
      </c>
    </row>
    <row r="5426" spans="1:8" x14ac:dyDescent="0.2">
      <c r="A5426" t="s">
        <v>7</v>
      </c>
      <c r="B5426" t="s">
        <v>23</v>
      </c>
      <c r="C5426" t="str">
        <f t="shared" si="170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69"/>
        <v>7</v>
      </c>
    </row>
    <row r="5427" spans="1:8" x14ac:dyDescent="0.2">
      <c r="A5427" t="s">
        <v>7</v>
      </c>
      <c r="B5427" t="s">
        <v>23</v>
      </c>
      <c r="C5427" t="str">
        <f t="shared" si="170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69"/>
        <v>6</v>
      </c>
    </row>
    <row r="5428" spans="1:8" x14ac:dyDescent="0.2">
      <c r="A5428" t="s">
        <v>7</v>
      </c>
      <c r="B5428" t="s">
        <v>23</v>
      </c>
      <c r="C5428" t="str">
        <f t="shared" si="170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69"/>
        <v>6</v>
      </c>
    </row>
    <row r="5429" spans="1:8" x14ac:dyDescent="0.2">
      <c r="A5429" t="s">
        <v>7</v>
      </c>
      <c r="B5429" t="s">
        <v>23</v>
      </c>
      <c r="C5429" t="str">
        <f t="shared" si="170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69"/>
        <v>6</v>
      </c>
    </row>
    <row r="5430" spans="1:8" x14ac:dyDescent="0.2">
      <c r="A5430" t="s">
        <v>7</v>
      </c>
      <c r="B5430" t="s">
        <v>23</v>
      </c>
      <c r="C5430" t="str">
        <f t="shared" si="170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69"/>
        <v>6</v>
      </c>
    </row>
    <row r="5431" spans="1:8" x14ac:dyDescent="0.2">
      <c r="A5431" t="s">
        <v>7</v>
      </c>
      <c r="B5431" t="s">
        <v>23</v>
      </c>
      <c r="C5431" t="str">
        <f t="shared" si="170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69"/>
        <v>6</v>
      </c>
    </row>
    <row r="5432" spans="1:8" x14ac:dyDescent="0.2">
      <c r="A5432" t="s">
        <v>7</v>
      </c>
      <c r="B5432" t="s">
        <v>23</v>
      </c>
      <c r="C5432" t="str">
        <f t="shared" si="170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69"/>
        <v>5</v>
      </c>
    </row>
    <row r="5433" spans="1:8" x14ac:dyDescent="0.2">
      <c r="A5433" t="s">
        <v>7</v>
      </c>
      <c r="B5433" t="s">
        <v>23</v>
      </c>
      <c r="C5433" t="str">
        <f t="shared" si="170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69"/>
        <v>5</v>
      </c>
    </row>
    <row r="5434" spans="1:8" x14ac:dyDescent="0.2">
      <c r="A5434" t="s">
        <v>7</v>
      </c>
      <c r="B5434" t="s">
        <v>23</v>
      </c>
      <c r="C5434" t="str">
        <f t="shared" si="170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69"/>
        <v>5</v>
      </c>
    </row>
    <row r="5435" spans="1:8" x14ac:dyDescent="0.2">
      <c r="A5435" t="s">
        <v>7</v>
      </c>
      <c r="B5435" t="s">
        <v>23</v>
      </c>
      <c r="C5435" t="str">
        <f t="shared" si="170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69"/>
        <v>5</v>
      </c>
    </row>
    <row r="5436" spans="1:8" x14ac:dyDescent="0.2">
      <c r="A5436" t="s">
        <v>7</v>
      </c>
      <c r="B5436" t="s">
        <v>23</v>
      </c>
      <c r="C5436" t="str">
        <f t="shared" si="170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69"/>
        <v>5</v>
      </c>
    </row>
    <row r="5437" spans="1:8" x14ac:dyDescent="0.2">
      <c r="A5437" t="s">
        <v>7</v>
      </c>
      <c r="B5437" t="s">
        <v>23</v>
      </c>
      <c r="C5437" t="str">
        <f t="shared" si="170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69"/>
        <v>5</v>
      </c>
    </row>
    <row r="5438" spans="1:8" x14ac:dyDescent="0.2">
      <c r="A5438" t="s">
        <v>7</v>
      </c>
      <c r="B5438" t="s">
        <v>23</v>
      </c>
      <c r="C5438" t="str">
        <f t="shared" si="170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69"/>
        <v>5</v>
      </c>
    </row>
    <row r="5439" spans="1:8" x14ac:dyDescent="0.2">
      <c r="A5439" t="s">
        <v>7</v>
      </c>
      <c r="B5439" t="s">
        <v>23</v>
      </c>
      <c r="C5439" t="str">
        <f t="shared" si="170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69"/>
        <v>5</v>
      </c>
    </row>
    <row r="5440" spans="1:8" x14ac:dyDescent="0.2">
      <c r="A5440" t="s">
        <v>7</v>
      </c>
      <c r="B5440" t="s">
        <v>23</v>
      </c>
      <c r="C5440" t="str">
        <f t="shared" si="170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69"/>
        <v>4</v>
      </c>
    </row>
    <row r="5441" spans="1:8" x14ac:dyDescent="0.2">
      <c r="A5441" t="s">
        <v>7</v>
      </c>
      <c r="B5441" t="s">
        <v>23</v>
      </c>
      <c r="C5441" t="str">
        <f t="shared" si="170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69"/>
        <v>4</v>
      </c>
    </row>
    <row r="5442" spans="1:8" x14ac:dyDescent="0.2">
      <c r="A5442" t="s">
        <v>7</v>
      </c>
      <c r="B5442" t="s">
        <v>23</v>
      </c>
      <c r="C5442" t="str">
        <f t="shared" si="170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69"/>
        <v>4</v>
      </c>
    </row>
    <row r="5443" spans="1:8" x14ac:dyDescent="0.2">
      <c r="A5443" t="s">
        <v>7</v>
      </c>
      <c r="B5443" t="s">
        <v>23</v>
      </c>
      <c r="C5443" t="str">
        <f t="shared" si="170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ref="H5443:H5506" si="171">F5443-G5443</f>
        <v>4</v>
      </c>
    </row>
    <row r="5444" spans="1:8" x14ac:dyDescent="0.2">
      <c r="A5444" t="s">
        <v>7</v>
      </c>
      <c r="B5444" t="s">
        <v>23</v>
      </c>
      <c r="C5444" t="str">
        <f t="shared" ref="C5444:C5507" si="172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1"/>
        <v>4</v>
      </c>
    </row>
    <row r="5445" spans="1:8" x14ac:dyDescent="0.2">
      <c r="A5445" t="s">
        <v>7</v>
      </c>
      <c r="B5445" t="s">
        <v>23</v>
      </c>
      <c r="C5445" t="str">
        <f t="shared" si="172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1"/>
        <v>4</v>
      </c>
    </row>
    <row r="5446" spans="1:8" x14ac:dyDescent="0.2">
      <c r="A5446" t="s">
        <v>7</v>
      </c>
      <c r="B5446" t="s">
        <v>23</v>
      </c>
      <c r="C5446" t="str">
        <f t="shared" si="172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1"/>
        <v>4</v>
      </c>
    </row>
    <row r="5447" spans="1:8" x14ac:dyDescent="0.2">
      <c r="A5447" t="s">
        <v>7</v>
      </c>
      <c r="B5447" t="s">
        <v>23</v>
      </c>
      <c r="C5447" t="str">
        <f t="shared" si="172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1"/>
        <v>4</v>
      </c>
    </row>
    <row r="5448" spans="1:8" x14ac:dyDescent="0.2">
      <c r="A5448" t="s">
        <v>7</v>
      </c>
      <c r="B5448" t="s">
        <v>23</v>
      </c>
      <c r="C5448" t="str">
        <f t="shared" si="172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1"/>
        <v>4</v>
      </c>
    </row>
    <row r="5449" spans="1:8" x14ac:dyDescent="0.2">
      <c r="A5449" t="s">
        <v>7</v>
      </c>
      <c r="B5449" t="s">
        <v>23</v>
      </c>
      <c r="C5449" t="str">
        <f t="shared" si="172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1"/>
        <v>4</v>
      </c>
    </row>
    <row r="5450" spans="1:8" x14ac:dyDescent="0.2">
      <c r="A5450" t="s">
        <v>7</v>
      </c>
      <c r="B5450" t="s">
        <v>23</v>
      </c>
      <c r="C5450" t="str">
        <f t="shared" si="172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1"/>
        <v>4</v>
      </c>
    </row>
    <row r="5451" spans="1:8" x14ac:dyDescent="0.2">
      <c r="A5451" t="s">
        <v>7</v>
      </c>
      <c r="B5451" t="s">
        <v>23</v>
      </c>
      <c r="C5451" t="str">
        <f t="shared" si="172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1"/>
        <v>4</v>
      </c>
    </row>
    <row r="5452" spans="1:8" x14ac:dyDescent="0.2">
      <c r="A5452" t="s">
        <v>7</v>
      </c>
      <c r="B5452" t="s">
        <v>23</v>
      </c>
      <c r="C5452" t="str">
        <f t="shared" si="172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1"/>
        <v>4</v>
      </c>
    </row>
    <row r="5453" spans="1:8" x14ac:dyDescent="0.2">
      <c r="A5453" t="s">
        <v>7</v>
      </c>
      <c r="B5453" t="s">
        <v>23</v>
      </c>
      <c r="C5453" t="str">
        <f t="shared" si="172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1"/>
        <v>4</v>
      </c>
    </row>
    <row r="5454" spans="1:8" x14ac:dyDescent="0.2">
      <c r="A5454" t="s">
        <v>7</v>
      </c>
      <c r="B5454" t="s">
        <v>23</v>
      </c>
      <c r="C5454" t="str">
        <f t="shared" si="172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1"/>
        <v>4</v>
      </c>
    </row>
    <row r="5455" spans="1:8" x14ac:dyDescent="0.2">
      <c r="A5455" t="s">
        <v>7</v>
      </c>
      <c r="B5455" t="s">
        <v>23</v>
      </c>
      <c r="C5455" t="str">
        <f t="shared" si="172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1"/>
        <v>4</v>
      </c>
    </row>
    <row r="5456" spans="1:8" x14ac:dyDescent="0.2">
      <c r="A5456" t="s">
        <v>7</v>
      </c>
      <c r="B5456" t="s">
        <v>23</v>
      </c>
      <c r="C5456" t="str">
        <f t="shared" si="172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1"/>
        <v>3</v>
      </c>
    </row>
    <row r="5457" spans="1:8" x14ac:dyDescent="0.2">
      <c r="A5457" t="s">
        <v>7</v>
      </c>
      <c r="B5457" t="s">
        <v>23</v>
      </c>
      <c r="C5457" t="str">
        <f t="shared" si="172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1"/>
        <v>3</v>
      </c>
    </row>
    <row r="5458" spans="1:8" x14ac:dyDescent="0.2">
      <c r="A5458" t="s">
        <v>7</v>
      </c>
      <c r="B5458" t="s">
        <v>23</v>
      </c>
      <c r="C5458" t="str">
        <f t="shared" si="172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1"/>
        <v>3</v>
      </c>
    </row>
    <row r="5459" spans="1:8" x14ac:dyDescent="0.2">
      <c r="A5459" t="s">
        <v>7</v>
      </c>
      <c r="B5459" t="s">
        <v>23</v>
      </c>
      <c r="C5459" t="str">
        <f t="shared" si="172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1"/>
        <v>3</v>
      </c>
    </row>
    <row r="5460" spans="1:8" x14ac:dyDescent="0.2">
      <c r="A5460" t="s">
        <v>7</v>
      </c>
      <c r="B5460" t="s">
        <v>23</v>
      </c>
      <c r="C5460" t="str">
        <f t="shared" si="172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1"/>
        <v>3</v>
      </c>
    </row>
    <row r="5461" spans="1:8" x14ac:dyDescent="0.2">
      <c r="A5461" t="s">
        <v>7</v>
      </c>
      <c r="B5461" t="s">
        <v>23</v>
      </c>
      <c r="C5461" t="str">
        <f t="shared" si="172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1"/>
        <v>3</v>
      </c>
    </row>
    <row r="5462" spans="1:8" x14ac:dyDescent="0.2">
      <c r="A5462" t="s">
        <v>7</v>
      </c>
      <c r="B5462" t="s">
        <v>23</v>
      </c>
      <c r="C5462" t="str">
        <f t="shared" si="172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1"/>
        <v>3</v>
      </c>
    </row>
    <row r="5463" spans="1:8" x14ac:dyDescent="0.2">
      <c r="A5463" t="s">
        <v>7</v>
      </c>
      <c r="B5463" t="s">
        <v>23</v>
      </c>
      <c r="C5463" t="str">
        <f t="shared" si="172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1"/>
        <v>3</v>
      </c>
    </row>
    <row r="5464" spans="1:8" x14ac:dyDescent="0.2">
      <c r="A5464" t="s">
        <v>7</v>
      </c>
      <c r="B5464" t="s">
        <v>23</v>
      </c>
      <c r="C5464" t="str">
        <f t="shared" si="172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1"/>
        <v>3</v>
      </c>
    </row>
    <row r="5465" spans="1:8" x14ac:dyDescent="0.2">
      <c r="A5465" t="s">
        <v>7</v>
      </c>
      <c r="B5465" t="s">
        <v>23</v>
      </c>
      <c r="C5465" t="str">
        <f t="shared" si="172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1"/>
        <v>3</v>
      </c>
    </row>
    <row r="5466" spans="1:8" x14ac:dyDescent="0.2">
      <c r="A5466" t="s">
        <v>7</v>
      </c>
      <c r="B5466" t="s">
        <v>23</v>
      </c>
      <c r="C5466" t="str">
        <f t="shared" si="172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1"/>
        <v>3</v>
      </c>
    </row>
    <row r="5467" spans="1:8" x14ac:dyDescent="0.2">
      <c r="A5467" t="s">
        <v>7</v>
      </c>
      <c r="B5467" t="s">
        <v>23</v>
      </c>
      <c r="C5467" t="str">
        <f t="shared" si="172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1"/>
        <v>3</v>
      </c>
    </row>
    <row r="5468" spans="1:8" x14ac:dyDescent="0.2">
      <c r="A5468" t="s">
        <v>7</v>
      </c>
      <c r="B5468" t="s">
        <v>23</v>
      </c>
      <c r="C5468" t="str">
        <f t="shared" si="172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1"/>
        <v>3</v>
      </c>
    </row>
    <row r="5469" spans="1:8" x14ac:dyDescent="0.2">
      <c r="A5469" t="s">
        <v>7</v>
      </c>
      <c r="B5469" t="s">
        <v>23</v>
      </c>
      <c r="C5469" t="str">
        <f t="shared" si="172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1"/>
        <v>3</v>
      </c>
    </row>
    <row r="5470" spans="1:8" x14ac:dyDescent="0.2">
      <c r="A5470" t="s">
        <v>7</v>
      </c>
      <c r="B5470" t="s">
        <v>23</v>
      </c>
      <c r="C5470" t="str">
        <f t="shared" si="172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1"/>
        <v>3</v>
      </c>
    </row>
    <row r="5471" spans="1:8" x14ac:dyDescent="0.2">
      <c r="A5471" t="s">
        <v>7</v>
      </c>
      <c r="B5471" t="s">
        <v>23</v>
      </c>
      <c r="C5471" t="str">
        <f t="shared" si="172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1"/>
        <v>3</v>
      </c>
    </row>
    <row r="5472" spans="1:8" x14ac:dyDescent="0.2">
      <c r="A5472" t="s">
        <v>7</v>
      </c>
      <c r="B5472" t="s">
        <v>23</v>
      </c>
      <c r="C5472" t="str">
        <f t="shared" si="172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1"/>
        <v>3</v>
      </c>
    </row>
    <row r="5473" spans="1:8" x14ac:dyDescent="0.2">
      <c r="A5473" t="s">
        <v>7</v>
      </c>
      <c r="B5473" t="s">
        <v>23</v>
      </c>
      <c r="C5473" t="str">
        <f t="shared" si="172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1"/>
        <v>3</v>
      </c>
    </row>
    <row r="5474" spans="1:8" x14ac:dyDescent="0.2">
      <c r="A5474" t="s">
        <v>7</v>
      </c>
      <c r="B5474" t="s">
        <v>23</v>
      </c>
      <c r="C5474" t="str">
        <f t="shared" si="172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1"/>
        <v>3</v>
      </c>
    </row>
    <row r="5475" spans="1:8" x14ac:dyDescent="0.2">
      <c r="A5475" t="s">
        <v>7</v>
      </c>
      <c r="B5475" t="s">
        <v>23</v>
      </c>
      <c r="C5475" t="str">
        <f t="shared" si="172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1"/>
        <v>3</v>
      </c>
    </row>
    <row r="5476" spans="1:8" x14ac:dyDescent="0.2">
      <c r="A5476" t="s">
        <v>7</v>
      </c>
      <c r="B5476" t="s">
        <v>23</v>
      </c>
      <c r="C5476" t="str">
        <f t="shared" si="172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1"/>
        <v>3</v>
      </c>
    </row>
    <row r="5477" spans="1:8" x14ac:dyDescent="0.2">
      <c r="A5477" t="s">
        <v>7</v>
      </c>
      <c r="B5477" t="s">
        <v>23</v>
      </c>
      <c r="C5477" t="str">
        <f t="shared" si="172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1"/>
        <v>2</v>
      </c>
    </row>
    <row r="5478" spans="1:8" x14ac:dyDescent="0.2">
      <c r="A5478" t="s">
        <v>7</v>
      </c>
      <c r="B5478" t="s">
        <v>23</v>
      </c>
      <c r="C5478" t="str">
        <f t="shared" si="172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1"/>
        <v>2</v>
      </c>
    </row>
    <row r="5479" spans="1:8" x14ac:dyDescent="0.2">
      <c r="A5479" t="s">
        <v>7</v>
      </c>
      <c r="B5479" t="s">
        <v>23</v>
      </c>
      <c r="C5479" t="str">
        <f t="shared" si="172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1"/>
        <v>2</v>
      </c>
    </row>
    <row r="5480" spans="1:8" x14ac:dyDescent="0.2">
      <c r="A5480" t="s">
        <v>7</v>
      </c>
      <c r="B5480" t="s">
        <v>23</v>
      </c>
      <c r="C5480" t="str">
        <f t="shared" si="172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1"/>
        <v>2</v>
      </c>
    </row>
    <row r="5481" spans="1:8" x14ac:dyDescent="0.2">
      <c r="A5481" t="s">
        <v>7</v>
      </c>
      <c r="B5481" t="s">
        <v>23</v>
      </c>
      <c r="C5481" t="str">
        <f t="shared" si="172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1"/>
        <v>2</v>
      </c>
    </row>
    <row r="5482" spans="1:8" x14ac:dyDescent="0.2">
      <c r="A5482" t="s">
        <v>7</v>
      </c>
      <c r="B5482" t="s">
        <v>23</v>
      </c>
      <c r="C5482" t="str">
        <f t="shared" si="172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1"/>
        <v>2</v>
      </c>
    </row>
    <row r="5483" spans="1:8" x14ac:dyDescent="0.2">
      <c r="A5483" t="s">
        <v>7</v>
      </c>
      <c r="B5483" t="s">
        <v>23</v>
      </c>
      <c r="C5483" t="str">
        <f t="shared" si="172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1"/>
        <v>2</v>
      </c>
    </row>
    <row r="5484" spans="1:8" x14ac:dyDescent="0.2">
      <c r="A5484" t="s">
        <v>7</v>
      </c>
      <c r="B5484" t="s">
        <v>23</v>
      </c>
      <c r="C5484" t="str">
        <f t="shared" si="172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1"/>
        <v>2</v>
      </c>
    </row>
    <row r="5485" spans="1:8" x14ac:dyDescent="0.2">
      <c r="A5485" t="s">
        <v>7</v>
      </c>
      <c r="B5485" t="s">
        <v>23</v>
      </c>
      <c r="C5485" t="str">
        <f t="shared" si="172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1"/>
        <v>2</v>
      </c>
    </row>
    <row r="5486" spans="1:8" x14ac:dyDescent="0.2">
      <c r="A5486" t="s">
        <v>7</v>
      </c>
      <c r="B5486" t="s">
        <v>23</v>
      </c>
      <c r="C5486" t="str">
        <f t="shared" si="172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1"/>
        <v>2</v>
      </c>
    </row>
    <row r="5487" spans="1:8" x14ac:dyDescent="0.2">
      <c r="A5487" t="s">
        <v>7</v>
      </c>
      <c r="B5487" t="s">
        <v>23</v>
      </c>
      <c r="C5487" t="str">
        <f t="shared" si="172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si="171"/>
        <v>2</v>
      </c>
    </row>
    <row r="5488" spans="1:8" x14ac:dyDescent="0.2">
      <c r="A5488" t="s">
        <v>7</v>
      </c>
      <c r="B5488" t="s">
        <v>23</v>
      </c>
      <c r="C5488" t="str">
        <f t="shared" si="172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71"/>
        <v>2</v>
      </c>
    </row>
    <row r="5489" spans="1:8" x14ac:dyDescent="0.2">
      <c r="A5489" t="s">
        <v>7</v>
      </c>
      <c r="B5489" t="s">
        <v>23</v>
      </c>
      <c r="C5489" t="str">
        <f t="shared" si="172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71"/>
        <v>2</v>
      </c>
    </row>
    <row r="5490" spans="1:8" x14ac:dyDescent="0.2">
      <c r="A5490" t="s">
        <v>7</v>
      </c>
      <c r="B5490" t="s">
        <v>23</v>
      </c>
      <c r="C5490" t="str">
        <f t="shared" si="172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71"/>
        <v>2</v>
      </c>
    </row>
    <row r="5491" spans="1:8" x14ac:dyDescent="0.2">
      <c r="A5491" t="s">
        <v>7</v>
      </c>
      <c r="B5491" t="s">
        <v>23</v>
      </c>
      <c r="C5491" t="str">
        <f t="shared" si="172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71"/>
        <v>2</v>
      </c>
    </row>
    <row r="5492" spans="1:8" x14ac:dyDescent="0.2">
      <c r="A5492" t="s">
        <v>7</v>
      </c>
      <c r="B5492" t="s">
        <v>23</v>
      </c>
      <c r="C5492" t="str">
        <f t="shared" si="172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71"/>
        <v>2</v>
      </c>
    </row>
    <row r="5493" spans="1:8" x14ac:dyDescent="0.2">
      <c r="A5493" t="s">
        <v>7</v>
      </c>
      <c r="B5493" t="s">
        <v>23</v>
      </c>
      <c r="C5493" t="str">
        <f t="shared" si="172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71"/>
        <v>2</v>
      </c>
    </row>
    <row r="5494" spans="1:8" x14ac:dyDescent="0.2">
      <c r="A5494" t="s">
        <v>7</v>
      </c>
      <c r="B5494" t="s">
        <v>23</v>
      </c>
      <c r="C5494" t="str">
        <f t="shared" si="172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71"/>
        <v>2</v>
      </c>
    </row>
    <row r="5495" spans="1:8" x14ac:dyDescent="0.2">
      <c r="A5495" t="s">
        <v>7</v>
      </c>
      <c r="B5495" t="s">
        <v>23</v>
      </c>
      <c r="C5495" t="str">
        <f t="shared" si="172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71"/>
        <v>2</v>
      </c>
    </row>
    <row r="5496" spans="1:8" x14ac:dyDescent="0.2">
      <c r="A5496" t="s">
        <v>7</v>
      </c>
      <c r="B5496" t="s">
        <v>23</v>
      </c>
      <c r="C5496" t="str">
        <f t="shared" si="172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71"/>
        <v>2</v>
      </c>
    </row>
    <row r="5497" spans="1:8" x14ac:dyDescent="0.2">
      <c r="A5497" t="s">
        <v>7</v>
      </c>
      <c r="B5497" t="s">
        <v>23</v>
      </c>
      <c r="C5497" t="str">
        <f t="shared" si="172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71"/>
        <v>1</v>
      </c>
    </row>
    <row r="5498" spans="1:8" x14ac:dyDescent="0.2">
      <c r="A5498" t="s">
        <v>7</v>
      </c>
      <c r="B5498" t="s">
        <v>23</v>
      </c>
      <c r="C5498" t="str">
        <f t="shared" si="172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71"/>
        <v>1</v>
      </c>
    </row>
    <row r="5499" spans="1:8" x14ac:dyDescent="0.2">
      <c r="A5499" t="s">
        <v>7</v>
      </c>
      <c r="B5499" t="s">
        <v>23</v>
      </c>
      <c r="C5499" t="str">
        <f t="shared" si="172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71"/>
        <v>1</v>
      </c>
    </row>
    <row r="5500" spans="1:8" x14ac:dyDescent="0.2">
      <c r="A5500" t="s">
        <v>7</v>
      </c>
      <c r="B5500" t="s">
        <v>23</v>
      </c>
      <c r="C5500" t="str">
        <f t="shared" si="172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71"/>
        <v>1</v>
      </c>
    </row>
    <row r="5501" spans="1:8" x14ac:dyDescent="0.2">
      <c r="A5501" t="s">
        <v>7</v>
      </c>
      <c r="B5501" t="s">
        <v>23</v>
      </c>
      <c r="C5501" t="str">
        <f t="shared" si="172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71"/>
        <v>1</v>
      </c>
    </row>
    <row r="5502" spans="1:8" x14ac:dyDescent="0.2">
      <c r="A5502" t="s">
        <v>7</v>
      </c>
      <c r="B5502" t="s">
        <v>23</v>
      </c>
      <c r="C5502" t="str">
        <f t="shared" si="172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71"/>
        <v>1</v>
      </c>
    </row>
    <row r="5503" spans="1:8" x14ac:dyDescent="0.2">
      <c r="A5503" t="s">
        <v>7</v>
      </c>
      <c r="B5503" t="s">
        <v>23</v>
      </c>
      <c r="C5503" t="str">
        <f t="shared" si="172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71"/>
        <v>1</v>
      </c>
    </row>
    <row r="5504" spans="1:8" x14ac:dyDescent="0.2">
      <c r="A5504" t="s">
        <v>7</v>
      </c>
      <c r="B5504" t="s">
        <v>23</v>
      </c>
      <c r="C5504" t="str">
        <f t="shared" si="172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71"/>
        <v>1</v>
      </c>
    </row>
    <row r="5505" spans="1:8" x14ac:dyDescent="0.2">
      <c r="A5505" t="s">
        <v>7</v>
      </c>
      <c r="B5505" t="s">
        <v>23</v>
      </c>
      <c r="C5505" t="str">
        <f t="shared" si="172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71"/>
        <v>1</v>
      </c>
    </row>
    <row r="5506" spans="1:8" x14ac:dyDescent="0.2">
      <c r="A5506" t="s">
        <v>7</v>
      </c>
      <c r="B5506" t="s">
        <v>23</v>
      </c>
      <c r="C5506" t="str">
        <f t="shared" si="172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71"/>
        <v>1</v>
      </c>
    </row>
    <row r="5507" spans="1:8" x14ac:dyDescent="0.2">
      <c r="A5507" t="s">
        <v>7</v>
      </c>
      <c r="B5507" t="s">
        <v>23</v>
      </c>
      <c r="C5507" t="str">
        <f t="shared" si="172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ref="H5507:H5570" si="173">F5507-G5507</f>
        <v>1</v>
      </c>
    </row>
    <row r="5508" spans="1:8" x14ac:dyDescent="0.2">
      <c r="A5508" t="s">
        <v>7</v>
      </c>
      <c r="B5508" t="s">
        <v>23</v>
      </c>
      <c r="C5508" t="str">
        <f t="shared" ref="C5508:C5571" si="174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73"/>
        <v>1</v>
      </c>
    </row>
    <row r="5509" spans="1:8" x14ac:dyDescent="0.2">
      <c r="A5509" t="s">
        <v>7</v>
      </c>
      <c r="B5509" t="s">
        <v>23</v>
      </c>
      <c r="C5509" t="str">
        <f t="shared" si="174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73"/>
        <v>1</v>
      </c>
    </row>
    <row r="5510" spans="1:8" x14ac:dyDescent="0.2">
      <c r="A5510" t="s">
        <v>7</v>
      </c>
      <c r="B5510" t="s">
        <v>23</v>
      </c>
      <c r="C5510" t="str">
        <f t="shared" si="174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73"/>
        <v>1</v>
      </c>
    </row>
    <row r="5511" spans="1:8" x14ac:dyDescent="0.2">
      <c r="A5511" t="s">
        <v>7</v>
      </c>
      <c r="B5511" t="s">
        <v>23</v>
      </c>
      <c r="C5511" t="str">
        <f t="shared" si="174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73"/>
        <v>1</v>
      </c>
    </row>
    <row r="5512" spans="1:8" x14ac:dyDescent="0.2">
      <c r="A5512" t="s">
        <v>7</v>
      </c>
      <c r="B5512" t="s">
        <v>23</v>
      </c>
      <c r="C5512" t="str">
        <f t="shared" si="174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73"/>
        <v>1</v>
      </c>
    </row>
    <row r="5513" spans="1:8" x14ac:dyDescent="0.2">
      <c r="A5513" t="s">
        <v>7</v>
      </c>
      <c r="B5513" t="s">
        <v>23</v>
      </c>
      <c r="C5513" t="str">
        <f t="shared" si="174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73"/>
        <v>1</v>
      </c>
    </row>
    <row r="5514" spans="1:8" x14ac:dyDescent="0.2">
      <c r="A5514" t="s">
        <v>7</v>
      </c>
      <c r="B5514" t="s">
        <v>23</v>
      </c>
      <c r="C5514" t="str">
        <f t="shared" si="174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73"/>
        <v>1</v>
      </c>
    </row>
    <row r="5515" spans="1:8" x14ac:dyDescent="0.2">
      <c r="A5515" t="s">
        <v>7</v>
      </c>
      <c r="B5515" t="s">
        <v>23</v>
      </c>
      <c r="C5515" t="str">
        <f t="shared" si="174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73"/>
        <v>1</v>
      </c>
    </row>
    <row r="5516" spans="1:8" x14ac:dyDescent="0.2">
      <c r="A5516" t="s">
        <v>7</v>
      </c>
      <c r="B5516" t="s">
        <v>23</v>
      </c>
      <c r="C5516" t="str">
        <f t="shared" si="174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73"/>
        <v>1</v>
      </c>
    </row>
    <row r="5517" spans="1:8" x14ac:dyDescent="0.2">
      <c r="A5517" t="s">
        <v>7</v>
      </c>
      <c r="B5517" t="s">
        <v>23</v>
      </c>
      <c r="C5517" t="str">
        <f t="shared" si="174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73"/>
        <v>1</v>
      </c>
    </row>
    <row r="5518" spans="1:8" x14ac:dyDescent="0.2">
      <c r="A5518" t="s">
        <v>7</v>
      </c>
      <c r="B5518" t="s">
        <v>23</v>
      </c>
      <c r="C5518" t="str">
        <f t="shared" si="174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73"/>
        <v>1</v>
      </c>
    </row>
    <row r="5519" spans="1:8" x14ac:dyDescent="0.2">
      <c r="A5519" t="s">
        <v>7</v>
      </c>
      <c r="B5519" t="s">
        <v>23</v>
      </c>
      <c r="C5519" t="str">
        <f t="shared" si="174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73"/>
        <v>1</v>
      </c>
    </row>
    <row r="5520" spans="1:8" x14ac:dyDescent="0.2">
      <c r="A5520" t="s">
        <v>7</v>
      </c>
      <c r="B5520" t="s">
        <v>23</v>
      </c>
      <c r="C5520" t="str">
        <f t="shared" si="174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73"/>
        <v>1</v>
      </c>
    </row>
    <row r="5521" spans="1:8" x14ac:dyDescent="0.2">
      <c r="A5521" t="s">
        <v>7</v>
      </c>
      <c r="B5521" t="s">
        <v>23</v>
      </c>
      <c r="C5521" t="str">
        <f t="shared" si="174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73"/>
        <v>1</v>
      </c>
    </row>
    <row r="5522" spans="1:8" x14ac:dyDescent="0.2">
      <c r="A5522" t="s">
        <v>7</v>
      </c>
      <c r="B5522" t="s">
        <v>23</v>
      </c>
      <c r="C5522" t="str">
        <f t="shared" si="174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73"/>
        <v>1</v>
      </c>
    </row>
    <row r="5523" spans="1:8" x14ac:dyDescent="0.2">
      <c r="A5523" t="s">
        <v>7</v>
      </c>
      <c r="B5523" t="s">
        <v>23</v>
      </c>
      <c r="C5523" t="str">
        <f t="shared" si="174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73"/>
        <v>1</v>
      </c>
    </row>
    <row r="5524" spans="1:8" x14ac:dyDescent="0.2">
      <c r="A5524" t="s">
        <v>7</v>
      </c>
      <c r="B5524" t="s">
        <v>23</v>
      </c>
      <c r="C5524" t="str">
        <f t="shared" si="174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73"/>
        <v>0</v>
      </c>
    </row>
    <row r="5525" spans="1:8" x14ac:dyDescent="0.2">
      <c r="A5525" t="s">
        <v>7</v>
      </c>
      <c r="B5525" t="s">
        <v>23</v>
      </c>
      <c r="C5525" t="str">
        <f t="shared" si="174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73"/>
        <v>0</v>
      </c>
    </row>
    <row r="5526" spans="1:8" x14ac:dyDescent="0.2">
      <c r="A5526" t="s">
        <v>7</v>
      </c>
      <c r="B5526" t="s">
        <v>23</v>
      </c>
      <c r="C5526" t="str">
        <f t="shared" si="174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73"/>
        <v>0</v>
      </c>
    </row>
    <row r="5527" spans="1:8" x14ac:dyDescent="0.2">
      <c r="A5527" t="s">
        <v>7</v>
      </c>
      <c r="B5527" t="s">
        <v>23</v>
      </c>
      <c r="C5527" t="str">
        <f t="shared" si="174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73"/>
        <v>0</v>
      </c>
    </row>
    <row r="5528" spans="1:8" x14ac:dyDescent="0.2">
      <c r="A5528" t="s">
        <v>7</v>
      </c>
      <c r="B5528" t="s">
        <v>23</v>
      </c>
      <c r="C5528" t="str">
        <f t="shared" si="174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73"/>
        <v>0</v>
      </c>
    </row>
    <row r="5529" spans="1:8" x14ac:dyDescent="0.2">
      <c r="A5529" t="s">
        <v>7</v>
      </c>
      <c r="B5529" t="s">
        <v>23</v>
      </c>
      <c r="C5529" t="str">
        <f t="shared" si="174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73"/>
        <v>0</v>
      </c>
    </row>
    <row r="5530" spans="1:8" x14ac:dyDescent="0.2">
      <c r="A5530" t="s">
        <v>7</v>
      </c>
      <c r="B5530" t="s">
        <v>23</v>
      </c>
      <c r="C5530" t="str">
        <f t="shared" si="174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73"/>
        <v>0</v>
      </c>
    </row>
    <row r="5531" spans="1:8" x14ac:dyDescent="0.2">
      <c r="A5531" t="s">
        <v>7</v>
      </c>
      <c r="B5531" t="s">
        <v>23</v>
      </c>
      <c r="C5531" t="str">
        <f t="shared" si="174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73"/>
        <v>0</v>
      </c>
    </row>
    <row r="5532" spans="1:8" x14ac:dyDescent="0.2">
      <c r="A5532" t="s">
        <v>7</v>
      </c>
      <c r="B5532" t="s">
        <v>23</v>
      </c>
      <c r="C5532" t="str">
        <f t="shared" si="174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73"/>
        <v>0</v>
      </c>
    </row>
    <row r="5533" spans="1:8" x14ac:dyDescent="0.2">
      <c r="A5533" t="s">
        <v>7</v>
      </c>
      <c r="B5533" t="s">
        <v>23</v>
      </c>
      <c r="C5533" t="str">
        <f t="shared" si="174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73"/>
        <v>0</v>
      </c>
    </row>
    <row r="5534" spans="1:8" x14ac:dyDescent="0.2">
      <c r="A5534" t="s">
        <v>7</v>
      </c>
      <c r="B5534" t="s">
        <v>23</v>
      </c>
      <c r="C5534" t="str">
        <f t="shared" si="174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73"/>
        <v>0</v>
      </c>
    </row>
    <row r="5535" spans="1:8" x14ac:dyDescent="0.2">
      <c r="A5535" t="s">
        <v>7</v>
      </c>
      <c r="B5535" t="s">
        <v>23</v>
      </c>
      <c r="C5535" t="str">
        <f t="shared" si="174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73"/>
        <v>0</v>
      </c>
    </row>
    <row r="5536" spans="1:8" x14ac:dyDescent="0.2">
      <c r="A5536" t="s">
        <v>7</v>
      </c>
      <c r="B5536" t="s">
        <v>23</v>
      </c>
      <c r="C5536" t="str">
        <f t="shared" si="174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73"/>
        <v>0</v>
      </c>
    </row>
    <row r="5537" spans="1:8" x14ac:dyDescent="0.2">
      <c r="A5537" t="s">
        <v>7</v>
      </c>
      <c r="B5537" t="s">
        <v>23</v>
      </c>
      <c r="C5537" t="str">
        <f t="shared" si="174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73"/>
        <v>0</v>
      </c>
    </row>
    <row r="5538" spans="1:8" x14ac:dyDescent="0.2">
      <c r="A5538" t="s">
        <v>7</v>
      </c>
      <c r="B5538" t="s">
        <v>23</v>
      </c>
      <c r="C5538" t="str">
        <f t="shared" si="174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73"/>
        <v>0</v>
      </c>
    </row>
    <row r="5539" spans="1:8" x14ac:dyDescent="0.2">
      <c r="A5539" t="s">
        <v>7</v>
      </c>
      <c r="B5539" t="s">
        <v>23</v>
      </c>
      <c r="C5539" t="str">
        <f t="shared" si="174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73"/>
        <v>0</v>
      </c>
    </row>
    <row r="5540" spans="1:8" x14ac:dyDescent="0.2">
      <c r="A5540" t="s">
        <v>7</v>
      </c>
      <c r="B5540" t="s">
        <v>23</v>
      </c>
      <c r="C5540" t="str">
        <f t="shared" si="174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73"/>
        <v>0</v>
      </c>
    </row>
    <row r="5541" spans="1:8" x14ac:dyDescent="0.2">
      <c r="A5541" t="s">
        <v>7</v>
      </c>
      <c r="B5541" t="s">
        <v>23</v>
      </c>
      <c r="C5541" t="str">
        <f t="shared" si="174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73"/>
        <v>0</v>
      </c>
    </row>
    <row r="5542" spans="1:8" x14ac:dyDescent="0.2">
      <c r="A5542" t="s">
        <v>7</v>
      </c>
      <c r="B5542" t="s">
        <v>23</v>
      </c>
      <c r="C5542" t="str">
        <f t="shared" si="174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73"/>
        <v>0</v>
      </c>
    </row>
    <row r="5543" spans="1:8" x14ac:dyDescent="0.2">
      <c r="A5543" t="s">
        <v>7</v>
      </c>
      <c r="B5543" t="s">
        <v>23</v>
      </c>
      <c r="C5543" t="str">
        <f t="shared" si="174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73"/>
        <v>0</v>
      </c>
    </row>
    <row r="5544" spans="1:8" x14ac:dyDescent="0.2">
      <c r="A5544" t="s">
        <v>7</v>
      </c>
      <c r="B5544" t="s">
        <v>23</v>
      </c>
      <c r="C5544" t="str">
        <f t="shared" si="174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73"/>
        <v>0</v>
      </c>
    </row>
    <row r="5545" spans="1:8" x14ac:dyDescent="0.2">
      <c r="A5545" t="s">
        <v>7</v>
      </c>
      <c r="B5545" t="s">
        <v>23</v>
      </c>
      <c r="C5545" t="str">
        <f t="shared" si="174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73"/>
        <v>0</v>
      </c>
    </row>
    <row r="5546" spans="1:8" x14ac:dyDescent="0.2">
      <c r="A5546" t="s">
        <v>7</v>
      </c>
      <c r="B5546" t="s">
        <v>23</v>
      </c>
      <c r="C5546" t="str">
        <f t="shared" si="174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73"/>
        <v>0</v>
      </c>
    </row>
    <row r="5547" spans="1:8" x14ac:dyDescent="0.2">
      <c r="A5547" t="s">
        <v>7</v>
      </c>
      <c r="B5547" t="s">
        <v>23</v>
      </c>
      <c r="C5547" t="str">
        <f t="shared" si="174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73"/>
        <v>0</v>
      </c>
    </row>
    <row r="5548" spans="1:8" x14ac:dyDescent="0.2">
      <c r="A5548" t="s">
        <v>7</v>
      </c>
      <c r="B5548" t="s">
        <v>23</v>
      </c>
      <c r="C5548" t="str">
        <f t="shared" si="174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73"/>
        <v>0</v>
      </c>
    </row>
    <row r="5549" spans="1:8" x14ac:dyDescent="0.2">
      <c r="A5549" t="s">
        <v>7</v>
      </c>
      <c r="B5549" t="s">
        <v>23</v>
      </c>
      <c r="C5549" t="str">
        <f t="shared" si="174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73"/>
        <v>0</v>
      </c>
    </row>
    <row r="5550" spans="1:8" x14ac:dyDescent="0.2">
      <c r="A5550" t="s">
        <v>7</v>
      </c>
      <c r="B5550" t="s">
        <v>23</v>
      </c>
      <c r="C5550" t="str">
        <f t="shared" si="174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73"/>
        <v>0</v>
      </c>
    </row>
    <row r="5551" spans="1:8" x14ac:dyDescent="0.2">
      <c r="A5551" t="s">
        <v>7</v>
      </c>
      <c r="B5551" t="s">
        <v>23</v>
      </c>
      <c r="C5551" t="str">
        <f t="shared" si="174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si="173"/>
        <v>0</v>
      </c>
    </row>
    <row r="5552" spans="1:8" x14ac:dyDescent="0.2">
      <c r="A5552" t="s">
        <v>7</v>
      </c>
      <c r="B5552" t="s">
        <v>23</v>
      </c>
      <c r="C5552" t="str">
        <f t="shared" si="174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73"/>
        <v>0</v>
      </c>
    </row>
    <row r="5553" spans="1:8" x14ac:dyDescent="0.2">
      <c r="A5553" t="s">
        <v>7</v>
      </c>
      <c r="B5553" t="s">
        <v>23</v>
      </c>
      <c r="C5553" t="str">
        <f t="shared" si="174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73"/>
        <v>0</v>
      </c>
    </row>
    <row r="5554" spans="1:8" x14ac:dyDescent="0.2">
      <c r="A5554" t="s">
        <v>7</v>
      </c>
      <c r="B5554" t="s">
        <v>23</v>
      </c>
      <c r="C5554" t="str">
        <f t="shared" si="174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73"/>
        <v>0</v>
      </c>
    </row>
    <row r="5555" spans="1:8" x14ac:dyDescent="0.2">
      <c r="A5555" t="s">
        <v>7</v>
      </c>
      <c r="B5555" t="s">
        <v>23</v>
      </c>
      <c r="C5555" t="str">
        <f t="shared" si="174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73"/>
        <v>0</v>
      </c>
    </row>
    <row r="5556" spans="1:8" x14ac:dyDescent="0.2">
      <c r="A5556" t="s">
        <v>7</v>
      </c>
      <c r="B5556" t="s">
        <v>23</v>
      </c>
      <c r="C5556" t="str">
        <f t="shared" si="174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73"/>
        <v>-1</v>
      </c>
    </row>
    <row r="5557" spans="1:8" x14ac:dyDescent="0.2">
      <c r="A5557" t="s">
        <v>7</v>
      </c>
      <c r="B5557" t="s">
        <v>23</v>
      </c>
      <c r="C5557" t="str">
        <f t="shared" si="174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73"/>
        <v>-1</v>
      </c>
    </row>
    <row r="5558" spans="1:8" x14ac:dyDescent="0.2">
      <c r="A5558" t="s">
        <v>7</v>
      </c>
      <c r="B5558" t="s">
        <v>23</v>
      </c>
      <c r="C5558" t="str">
        <f t="shared" si="174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73"/>
        <v>-1</v>
      </c>
    </row>
    <row r="5559" spans="1:8" x14ac:dyDescent="0.2">
      <c r="A5559" t="s">
        <v>7</v>
      </c>
      <c r="B5559" t="s">
        <v>23</v>
      </c>
      <c r="C5559" t="str">
        <f t="shared" si="174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73"/>
        <v>-1</v>
      </c>
    </row>
    <row r="5560" spans="1:8" x14ac:dyDescent="0.2">
      <c r="A5560" t="s">
        <v>7</v>
      </c>
      <c r="B5560" t="s">
        <v>23</v>
      </c>
      <c r="C5560" t="str">
        <f t="shared" si="174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73"/>
        <v>0</v>
      </c>
    </row>
    <row r="5561" spans="1:8" x14ac:dyDescent="0.2">
      <c r="A5561" t="s">
        <v>7</v>
      </c>
      <c r="B5561" t="s">
        <v>23</v>
      </c>
      <c r="C5561" t="str">
        <f t="shared" si="174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73"/>
        <v>-1</v>
      </c>
    </row>
    <row r="5562" spans="1:8" x14ac:dyDescent="0.2">
      <c r="A5562" t="s">
        <v>7</v>
      </c>
      <c r="B5562" t="s">
        <v>23</v>
      </c>
      <c r="C5562" t="str">
        <f t="shared" si="174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73"/>
        <v>-1</v>
      </c>
    </row>
    <row r="5563" spans="1:8" x14ac:dyDescent="0.2">
      <c r="A5563" t="s">
        <v>7</v>
      </c>
      <c r="B5563" t="s">
        <v>23</v>
      </c>
      <c r="C5563" t="str">
        <f t="shared" si="174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73"/>
        <v>-1</v>
      </c>
    </row>
    <row r="5564" spans="1:8" x14ac:dyDescent="0.2">
      <c r="A5564" t="s">
        <v>7</v>
      </c>
      <c r="B5564" t="s">
        <v>23</v>
      </c>
      <c r="C5564" t="str">
        <f t="shared" si="174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73"/>
        <v>0</v>
      </c>
    </row>
    <row r="5565" spans="1:8" x14ac:dyDescent="0.2">
      <c r="A5565" t="s">
        <v>7</v>
      </c>
      <c r="B5565" t="s">
        <v>23</v>
      </c>
      <c r="C5565" t="str">
        <f t="shared" si="174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73"/>
        <v>-1</v>
      </c>
    </row>
    <row r="5566" spans="1:8" x14ac:dyDescent="0.2">
      <c r="A5566" t="s">
        <v>7</v>
      </c>
      <c r="B5566" t="s">
        <v>23</v>
      </c>
      <c r="C5566" t="str">
        <f t="shared" si="174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73"/>
        <v>-1</v>
      </c>
    </row>
    <row r="5567" spans="1:8" x14ac:dyDescent="0.2">
      <c r="A5567" t="s">
        <v>7</v>
      </c>
      <c r="B5567" t="s">
        <v>23</v>
      </c>
      <c r="C5567" t="str">
        <f t="shared" si="174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73"/>
        <v>-1</v>
      </c>
    </row>
    <row r="5568" spans="1:8" x14ac:dyDescent="0.2">
      <c r="A5568" t="s">
        <v>7</v>
      </c>
      <c r="B5568" t="s">
        <v>23</v>
      </c>
      <c r="C5568" t="str">
        <f t="shared" si="174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73"/>
        <v>-1</v>
      </c>
    </row>
    <row r="5569" spans="1:8" x14ac:dyDescent="0.2">
      <c r="A5569" t="s">
        <v>7</v>
      </c>
      <c r="B5569" t="s">
        <v>23</v>
      </c>
      <c r="C5569" t="str">
        <f t="shared" si="174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73"/>
        <v>0</v>
      </c>
    </row>
    <row r="5570" spans="1:8" x14ac:dyDescent="0.2">
      <c r="A5570" t="s">
        <v>7</v>
      </c>
      <c r="B5570" t="s">
        <v>23</v>
      </c>
      <c r="C5570" t="str">
        <f t="shared" si="174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73"/>
        <v>-1</v>
      </c>
    </row>
    <row r="5571" spans="1:8" x14ac:dyDescent="0.2">
      <c r="A5571" t="s">
        <v>7</v>
      </c>
      <c r="B5571" t="s">
        <v>23</v>
      </c>
      <c r="C5571" t="str">
        <f t="shared" si="174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ref="H5571:H5634" si="175">F5571-G5571</f>
        <v>-1</v>
      </c>
    </row>
    <row r="5572" spans="1:8" x14ac:dyDescent="0.2">
      <c r="A5572" t="s">
        <v>7</v>
      </c>
      <c r="B5572" t="s">
        <v>23</v>
      </c>
      <c r="C5572" t="str">
        <f t="shared" ref="C5572:C5635" si="176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75"/>
        <v>0</v>
      </c>
    </row>
    <row r="5573" spans="1:8" x14ac:dyDescent="0.2">
      <c r="A5573" t="s">
        <v>7</v>
      </c>
      <c r="B5573" t="s">
        <v>23</v>
      </c>
      <c r="C5573" t="str">
        <f t="shared" si="176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75"/>
        <v>-1</v>
      </c>
    </row>
    <row r="5574" spans="1:8" x14ac:dyDescent="0.2">
      <c r="A5574" t="s">
        <v>7</v>
      </c>
      <c r="B5574" t="s">
        <v>23</v>
      </c>
      <c r="C5574" t="str">
        <f t="shared" si="176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75"/>
        <v>-1</v>
      </c>
    </row>
    <row r="5575" spans="1:8" x14ac:dyDescent="0.2">
      <c r="A5575" t="s">
        <v>7</v>
      </c>
      <c r="B5575" t="s">
        <v>23</v>
      </c>
      <c r="C5575" t="str">
        <f t="shared" si="176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75"/>
        <v>-1</v>
      </c>
    </row>
    <row r="5576" spans="1:8" x14ac:dyDescent="0.2">
      <c r="A5576" t="s">
        <v>7</v>
      </c>
      <c r="B5576" t="s">
        <v>23</v>
      </c>
      <c r="C5576" t="str">
        <f t="shared" si="176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75"/>
        <v>0</v>
      </c>
    </row>
    <row r="5577" spans="1:8" x14ac:dyDescent="0.2">
      <c r="A5577" t="s">
        <v>7</v>
      </c>
      <c r="B5577" t="s">
        <v>23</v>
      </c>
      <c r="C5577" t="str">
        <f t="shared" si="176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75"/>
        <v>0</v>
      </c>
    </row>
    <row r="5578" spans="1:8" x14ac:dyDescent="0.2">
      <c r="A5578" t="s">
        <v>7</v>
      </c>
      <c r="B5578" t="s">
        <v>23</v>
      </c>
      <c r="C5578" t="str">
        <f t="shared" si="176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75"/>
        <v>-1</v>
      </c>
    </row>
    <row r="5579" spans="1:8" x14ac:dyDescent="0.2">
      <c r="A5579" t="s">
        <v>7</v>
      </c>
      <c r="B5579" t="s">
        <v>23</v>
      </c>
      <c r="C5579" t="str">
        <f t="shared" si="176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75"/>
        <v>-1</v>
      </c>
    </row>
    <row r="5580" spans="1:8" x14ac:dyDescent="0.2">
      <c r="A5580" t="s">
        <v>7</v>
      </c>
      <c r="B5580" t="s">
        <v>23</v>
      </c>
      <c r="C5580" t="str">
        <f t="shared" si="176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75"/>
        <v>-1</v>
      </c>
    </row>
    <row r="5581" spans="1:8" x14ac:dyDescent="0.2">
      <c r="A5581" t="s">
        <v>7</v>
      </c>
      <c r="B5581" t="s">
        <v>23</v>
      </c>
      <c r="C5581" t="str">
        <f t="shared" si="176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75"/>
        <v>-1</v>
      </c>
    </row>
    <row r="5582" spans="1:8" x14ac:dyDescent="0.2">
      <c r="A5582" t="s">
        <v>7</v>
      </c>
      <c r="B5582" t="s">
        <v>23</v>
      </c>
      <c r="C5582" t="str">
        <f t="shared" si="176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75"/>
        <v>-1</v>
      </c>
    </row>
    <row r="5583" spans="1:8" x14ac:dyDescent="0.2">
      <c r="A5583" t="s">
        <v>7</v>
      </c>
      <c r="B5583" t="s">
        <v>23</v>
      </c>
      <c r="C5583" t="str">
        <f t="shared" si="176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75"/>
        <v>0</v>
      </c>
    </row>
    <row r="5584" spans="1:8" x14ac:dyDescent="0.2">
      <c r="A5584" t="s">
        <v>7</v>
      </c>
      <c r="B5584" t="s">
        <v>23</v>
      </c>
      <c r="C5584" t="str">
        <f t="shared" si="176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75"/>
        <v>-1</v>
      </c>
    </row>
    <row r="5585" spans="1:8" x14ac:dyDescent="0.2">
      <c r="A5585" t="s">
        <v>7</v>
      </c>
      <c r="B5585" t="s">
        <v>23</v>
      </c>
      <c r="C5585" t="str">
        <f t="shared" si="176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75"/>
        <v>-2</v>
      </c>
    </row>
    <row r="5586" spans="1:8" x14ac:dyDescent="0.2">
      <c r="A5586" t="s">
        <v>7</v>
      </c>
      <c r="B5586" t="s">
        <v>23</v>
      </c>
      <c r="C5586" t="str">
        <f t="shared" si="176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75"/>
        <v>-2</v>
      </c>
    </row>
    <row r="5587" spans="1:8" x14ac:dyDescent="0.2">
      <c r="A5587" t="s">
        <v>7</v>
      </c>
      <c r="B5587" t="s">
        <v>23</v>
      </c>
      <c r="C5587" t="str">
        <f t="shared" si="176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75"/>
        <v>-2</v>
      </c>
    </row>
    <row r="5588" spans="1:8" x14ac:dyDescent="0.2">
      <c r="A5588" t="s">
        <v>7</v>
      </c>
      <c r="B5588" t="s">
        <v>23</v>
      </c>
      <c r="C5588" t="str">
        <f t="shared" si="176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75"/>
        <v>-2</v>
      </c>
    </row>
    <row r="5589" spans="1:8" x14ac:dyDescent="0.2">
      <c r="A5589" t="s">
        <v>7</v>
      </c>
      <c r="B5589" t="s">
        <v>23</v>
      </c>
      <c r="C5589" t="str">
        <f t="shared" si="176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75"/>
        <v>0</v>
      </c>
    </row>
    <row r="5590" spans="1:8" x14ac:dyDescent="0.2">
      <c r="A5590" t="s">
        <v>7</v>
      </c>
      <c r="B5590" t="s">
        <v>23</v>
      </c>
      <c r="C5590" t="str">
        <f t="shared" si="176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75"/>
        <v>-2</v>
      </c>
    </row>
    <row r="5591" spans="1:8" x14ac:dyDescent="0.2">
      <c r="A5591" t="s">
        <v>7</v>
      </c>
      <c r="B5591" t="s">
        <v>23</v>
      </c>
      <c r="C5591" t="str">
        <f t="shared" si="176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75"/>
        <v>-2</v>
      </c>
    </row>
    <row r="5592" spans="1:8" x14ac:dyDescent="0.2">
      <c r="A5592" t="s">
        <v>7</v>
      </c>
      <c r="B5592" t="s">
        <v>23</v>
      </c>
      <c r="C5592" t="str">
        <f t="shared" si="176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75"/>
        <v>-2</v>
      </c>
    </row>
    <row r="5593" spans="1:8" x14ac:dyDescent="0.2">
      <c r="A5593" t="s">
        <v>7</v>
      </c>
      <c r="B5593" t="s">
        <v>23</v>
      </c>
      <c r="C5593" t="str">
        <f t="shared" si="176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75"/>
        <v>-2</v>
      </c>
    </row>
    <row r="5594" spans="1:8" x14ac:dyDescent="0.2">
      <c r="A5594" t="s">
        <v>7</v>
      </c>
      <c r="B5594" t="s">
        <v>23</v>
      </c>
      <c r="C5594" t="str">
        <f t="shared" si="176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75"/>
        <v>-2</v>
      </c>
    </row>
    <row r="5595" spans="1:8" x14ac:dyDescent="0.2">
      <c r="A5595" t="s">
        <v>7</v>
      </c>
      <c r="B5595" t="s">
        <v>23</v>
      </c>
      <c r="C5595" t="str">
        <f t="shared" si="176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75"/>
        <v>-2</v>
      </c>
    </row>
    <row r="5596" spans="1:8" x14ac:dyDescent="0.2">
      <c r="A5596" t="s">
        <v>7</v>
      </c>
      <c r="B5596" t="s">
        <v>23</v>
      </c>
      <c r="C5596" t="str">
        <f t="shared" si="176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75"/>
        <v>-2</v>
      </c>
    </row>
    <row r="5597" spans="1:8" x14ac:dyDescent="0.2">
      <c r="A5597" t="s">
        <v>7</v>
      </c>
      <c r="B5597" t="s">
        <v>23</v>
      </c>
      <c r="C5597" t="str">
        <f t="shared" si="176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75"/>
        <v>-2</v>
      </c>
    </row>
    <row r="5598" spans="1:8" x14ac:dyDescent="0.2">
      <c r="A5598" t="s">
        <v>7</v>
      </c>
      <c r="B5598" t="s">
        <v>23</v>
      </c>
      <c r="C5598" t="str">
        <f t="shared" si="176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75"/>
        <v>-2</v>
      </c>
    </row>
    <row r="5599" spans="1:8" x14ac:dyDescent="0.2">
      <c r="A5599" t="s">
        <v>7</v>
      </c>
      <c r="B5599" t="s">
        <v>23</v>
      </c>
      <c r="C5599" t="str">
        <f t="shared" si="176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75"/>
        <v>-2</v>
      </c>
    </row>
    <row r="5600" spans="1:8" x14ac:dyDescent="0.2">
      <c r="A5600" t="s">
        <v>7</v>
      </c>
      <c r="B5600" t="s">
        <v>23</v>
      </c>
      <c r="C5600" t="str">
        <f t="shared" si="176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75"/>
        <v>-2</v>
      </c>
    </row>
    <row r="5601" spans="1:8" x14ac:dyDescent="0.2">
      <c r="A5601" t="s">
        <v>7</v>
      </c>
      <c r="B5601" t="s">
        <v>23</v>
      </c>
      <c r="C5601" t="str">
        <f t="shared" si="176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75"/>
        <v>0</v>
      </c>
    </row>
    <row r="5602" spans="1:8" x14ac:dyDescent="0.2">
      <c r="A5602" t="s">
        <v>7</v>
      </c>
      <c r="B5602" t="s">
        <v>23</v>
      </c>
      <c r="C5602" t="str">
        <f t="shared" si="176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75"/>
        <v>-2</v>
      </c>
    </row>
    <row r="5603" spans="1:8" x14ac:dyDescent="0.2">
      <c r="A5603" t="s">
        <v>7</v>
      </c>
      <c r="B5603" t="s">
        <v>23</v>
      </c>
      <c r="C5603" t="str">
        <f t="shared" si="176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75"/>
        <v>-2</v>
      </c>
    </row>
    <row r="5604" spans="1:8" x14ac:dyDescent="0.2">
      <c r="A5604" t="s">
        <v>7</v>
      </c>
      <c r="B5604" t="s">
        <v>23</v>
      </c>
      <c r="C5604" t="str">
        <f t="shared" si="176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75"/>
        <v>-2</v>
      </c>
    </row>
    <row r="5605" spans="1:8" x14ac:dyDescent="0.2">
      <c r="A5605" t="s">
        <v>7</v>
      </c>
      <c r="B5605" t="s">
        <v>23</v>
      </c>
      <c r="C5605" t="str">
        <f t="shared" si="176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75"/>
        <v>-2</v>
      </c>
    </row>
    <row r="5606" spans="1:8" x14ac:dyDescent="0.2">
      <c r="A5606" t="s">
        <v>7</v>
      </c>
      <c r="B5606" t="s">
        <v>23</v>
      </c>
      <c r="C5606" t="str">
        <f t="shared" si="176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75"/>
        <v>0</v>
      </c>
    </row>
    <row r="5607" spans="1:8" x14ac:dyDescent="0.2">
      <c r="A5607" t="s">
        <v>7</v>
      </c>
      <c r="B5607" t="s">
        <v>23</v>
      </c>
      <c r="C5607" t="str">
        <f t="shared" si="176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75"/>
        <v>0</v>
      </c>
    </row>
    <row r="5608" spans="1:8" x14ac:dyDescent="0.2">
      <c r="A5608" t="s">
        <v>7</v>
      </c>
      <c r="B5608" t="s">
        <v>23</v>
      </c>
      <c r="C5608" t="str">
        <f t="shared" si="176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75"/>
        <v>-2</v>
      </c>
    </row>
    <row r="5609" spans="1:8" x14ac:dyDescent="0.2">
      <c r="A5609" t="s">
        <v>7</v>
      </c>
      <c r="B5609" t="s">
        <v>23</v>
      </c>
      <c r="C5609" t="str">
        <f t="shared" si="176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75"/>
        <v>-2</v>
      </c>
    </row>
    <row r="5610" spans="1:8" x14ac:dyDescent="0.2">
      <c r="A5610" t="s">
        <v>7</v>
      </c>
      <c r="B5610" t="s">
        <v>23</v>
      </c>
      <c r="C5610" t="str">
        <f t="shared" si="176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75"/>
        <v>-2</v>
      </c>
    </row>
    <row r="5611" spans="1:8" x14ac:dyDescent="0.2">
      <c r="A5611" t="s">
        <v>7</v>
      </c>
      <c r="B5611" t="s">
        <v>23</v>
      </c>
      <c r="C5611" t="str">
        <f t="shared" si="176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75"/>
        <v>-2</v>
      </c>
    </row>
    <row r="5612" spans="1:8" x14ac:dyDescent="0.2">
      <c r="A5612" t="s">
        <v>7</v>
      </c>
      <c r="B5612" t="s">
        <v>23</v>
      </c>
      <c r="C5612" t="str">
        <f t="shared" si="176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75"/>
        <v>-2</v>
      </c>
    </row>
    <row r="5613" spans="1:8" x14ac:dyDescent="0.2">
      <c r="A5613" t="s">
        <v>7</v>
      </c>
      <c r="B5613" t="s">
        <v>23</v>
      </c>
      <c r="C5613" t="str">
        <f t="shared" si="176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75"/>
        <v>-2</v>
      </c>
    </row>
    <row r="5614" spans="1:8" x14ac:dyDescent="0.2">
      <c r="A5614" t="s">
        <v>7</v>
      </c>
      <c r="B5614" t="s">
        <v>23</v>
      </c>
      <c r="C5614" t="str">
        <f t="shared" si="176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75"/>
        <v>-2</v>
      </c>
    </row>
    <row r="5615" spans="1:8" x14ac:dyDescent="0.2">
      <c r="A5615" t="s">
        <v>7</v>
      </c>
      <c r="B5615" t="s">
        <v>23</v>
      </c>
      <c r="C5615" t="str">
        <f t="shared" si="176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si="175"/>
        <v>-2</v>
      </c>
    </row>
    <row r="5616" spans="1:8" x14ac:dyDescent="0.2">
      <c r="A5616" t="s">
        <v>7</v>
      </c>
      <c r="B5616" t="s">
        <v>23</v>
      </c>
      <c r="C5616" t="str">
        <f t="shared" si="176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75"/>
        <v>-2</v>
      </c>
    </row>
    <row r="5617" spans="1:8" x14ac:dyDescent="0.2">
      <c r="A5617" t="s">
        <v>7</v>
      </c>
      <c r="B5617" t="s">
        <v>23</v>
      </c>
      <c r="C5617" t="str">
        <f t="shared" si="176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75"/>
        <v>-2</v>
      </c>
    </row>
    <row r="5618" spans="1:8" x14ac:dyDescent="0.2">
      <c r="A5618" t="s">
        <v>7</v>
      </c>
      <c r="B5618" t="s">
        <v>23</v>
      </c>
      <c r="C5618" t="str">
        <f t="shared" si="176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75"/>
        <v>-2</v>
      </c>
    </row>
    <row r="5619" spans="1:8" x14ac:dyDescent="0.2">
      <c r="A5619" t="s">
        <v>7</v>
      </c>
      <c r="B5619" t="s">
        <v>23</v>
      </c>
      <c r="C5619" t="str">
        <f t="shared" si="176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75"/>
        <v>-2</v>
      </c>
    </row>
    <row r="5620" spans="1:8" x14ac:dyDescent="0.2">
      <c r="A5620" t="s">
        <v>7</v>
      </c>
      <c r="B5620" t="s">
        <v>23</v>
      </c>
      <c r="C5620" t="str">
        <f t="shared" si="176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75"/>
        <v>-2</v>
      </c>
    </row>
    <row r="5621" spans="1:8" x14ac:dyDescent="0.2">
      <c r="A5621" t="s">
        <v>7</v>
      </c>
      <c r="B5621" t="s">
        <v>23</v>
      </c>
      <c r="C5621" t="str">
        <f t="shared" si="176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75"/>
        <v>-2</v>
      </c>
    </row>
    <row r="5622" spans="1:8" x14ac:dyDescent="0.2">
      <c r="A5622" t="s">
        <v>7</v>
      </c>
      <c r="B5622" t="s">
        <v>23</v>
      </c>
      <c r="C5622" t="str">
        <f t="shared" si="176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75"/>
        <v>-3</v>
      </c>
    </row>
    <row r="5623" spans="1:8" x14ac:dyDescent="0.2">
      <c r="A5623" t="s">
        <v>7</v>
      </c>
      <c r="B5623" t="s">
        <v>23</v>
      </c>
      <c r="C5623" t="str">
        <f t="shared" si="176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75"/>
        <v>-3</v>
      </c>
    </row>
    <row r="5624" spans="1:8" x14ac:dyDescent="0.2">
      <c r="A5624" t="s">
        <v>7</v>
      </c>
      <c r="B5624" t="s">
        <v>23</v>
      </c>
      <c r="C5624" t="str">
        <f t="shared" si="176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75"/>
        <v>-3</v>
      </c>
    </row>
    <row r="5625" spans="1:8" x14ac:dyDescent="0.2">
      <c r="A5625" t="s">
        <v>7</v>
      </c>
      <c r="B5625" t="s">
        <v>23</v>
      </c>
      <c r="C5625" t="str">
        <f t="shared" si="176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75"/>
        <v>-3</v>
      </c>
    </row>
    <row r="5626" spans="1:8" x14ac:dyDescent="0.2">
      <c r="A5626" t="s">
        <v>7</v>
      </c>
      <c r="B5626" t="s">
        <v>23</v>
      </c>
      <c r="C5626" t="str">
        <f t="shared" si="176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75"/>
        <v>-3</v>
      </c>
    </row>
    <row r="5627" spans="1:8" x14ac:dyDescent="0.2">
      <c r="A5627" t="s">
        <v>7</v>
      </c>
      <c r="B5627" t="s">
        <v>23</v>
      </c>
      <c r="C5627" t="str">
        <f t="shared" si="176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75"/>
        <v>-3</v>
      </c>
    </row>
    <row r="5628" spans="1:8" x14ac:dyDescent="0.2">
      <c r="A5628" t="s">
        <v>7</v>
      </c>
      <c r="B5628" t="s">
        <v>23</v>
      </c>
      <c r="C5628" t="str">
        <f t="shared" si="176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75"/>
        <v>0</v>
      </c>
    </row>
    <row r="5629" spans="1:8" x14ac:dyDescent="0.2">
      <c r="A5629" t="s">
        <v>7</v>
      </c>
      <c r="B5629" t="s">
        <v>23</v>
      </c>
      <c r="C5629" t="str">
        <f t="shared" si="176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75"/>
        <v>-3</v>
      </c>
    </row>
    <row r="5630" spans="1:8" x14ac:dyDescent="0.2">
      <c r="A5630" t="s">
        <v>7</v>
      </c>
      <c r="B5630" t="s">
        <v>23</v>
      </c>
      <c r="C5630" t="str">
        <f t="shared" si="176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75"/>
        <v>-3</v>
      </c>
    </row>
    <row r="5631" spans="1:8" x14ac:dyDescent="0.2">
      <c r="A5631" t="s">
        <v>7</v>
      </c>
      <c r="B5631" t="s">
        <v>23</v>
      </c>
      <c r="C5631" t="str">
        <f t="shared" si="176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75"/>
        <v>0</v>
      </c>
    </row>
    <row r="5632" spans="1:8" x14ac:dyDescent="0.2">
      <c r="A5632" t="s">
        <v>7</v>
      </c>
      <c r="B5632" t="s">
        <v>23</v>
      </c>
      <c r="C5632" t="str">
        <f t="shared" si="176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75"/>
        <v>-3</v>
      </c>
    </row>
    <row r="5633" spans="1:8" x14ac:dyDescent="0.2">
      <c r="A5633" t="s">
        <v>7</v>
      </c>
      <c r="B5633" t="s">
        <v>23</v>
      </c>
      <c r="C5633" t="str">
        <f t="shared" si="176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75"/>
        <v>-3</v>
      </c>
    </row>
    <row r="5634" spans="1:8" x14ac:dyDescent="0.2">
      <c r="A5634" t="s">
        <v>7</v>
      </c>
      <c r="B5634" t="s">
        <v>23</v>
      </c>
      <c r="C5634" t="str">
        <f t="shared" si="176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75"/>
        <v>-3</v>
      </c>
    </row>
    <row r="5635" spans="1:8" x14ac:dyDescent="0.2">
      <c r="A5635" t="s">
        <v>7</v>
      </c>
      <c r="B5635" t="s">
        <v>23</v>
      </c>
      <c r="C5635" t="str">
        <f t="shared" si="176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ref="H5635:H5698" si="177">F5635-G5635</f>
        <v>0</v>
      </c>
    </row>
    <row r="5636" spans="1:8" x14ac:dyDescent="0.2">
      <c r="A5636" t="s">
        <v>7</v>
      </c>
      <c r="B5636" t="s">
        <v>23</v>
      </c>
      <c r="C5636" t="str">
        <f t="shared" ref="C5636:C5699" si="178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77"/>
        <v>-3</v>
      </c>
    </row>
    <row r="5637" spans="1:8" x14ac:dyDescent="0.2">
      <c r="A5637" t="s">
        <v>7</v>
      </c>
      <c r="B5637" t="s">
        <v>23</v>
      </c>
      <c r="C5637" t="str">
        <f t="shared" si="178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77"/>
        <v>-3</v>
      </c>
    </row>
    <row r="5638" spans="1:8" x14ac:dyDescent="0.2">
      <c r="A5638" t="s">
        <v>7</v>
      </c>
      <c r="B5638" t="s">
        <v>23</v>
      </c>
      <c r="C5638" t="str">
        <f t="shared" si="178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77"/>
        <v>-3</v>
      </c>
    </row>
    <row r="5639" spans="1:8" x14ac:dyDescent="0.2">
      <c r="A5639" t="s">
        <v>7</v>
      </c>
      <c r="B5639" t="s">
        <v>23</v>
      </c>
      <c r="C5639" t="str">
        <f t="shared" si="178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77"/>
        <v>-3</v>
      </c>
    </row>
    <row r="5640" spans="1:8" x14ac:dyDescent="0.2">
      <c r="A5640" t="s">
        <v>7</v>
      </c>
      <c r="B5640" t="s">
        <v>23</v>
      </c>
      <c r="C5640" t="str">
        <f t="shared" si="178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77"/>
        <v>-3</v>
      </c>
    </row>
    <row r="5641" spans="1:8" x14ac:dyDescent="0.2">
      <c r="A5641" t="s">
        <v>7</v>
      </c>
      <c r="B5641" t="s">
        <v>23</v>
      </c>
      <c r="C5641" t="str">
        <f t="shared" si="178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77"/>
        <v>0</v>
      </c>
    </row>
    <row r="5642" spans="1:8" x14ac:dyDescent="0.2">
      <c r="A5642" t="s">
        <v>7</v>
      </c>
      <c r="B5642" t="s">
        <v>23</v>
      </c>
      <c r="C5642" t="str">
        <f t="shared" si="178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77"/>
        <v>0</v>
      </c>
    </row>
    <row r="5643" spans="1:8" x14ac:dyDescent="0.2">
      <c r="A5643" t="s">
        <v>7</v>
      </c>
      <c r="B5643" t="s">
        <v>23</v>
      </c>
      <c r="C5643" t="str">
        <f t="shared" si="178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77"/>
        <v>-3</v>
      </c>
    </row>
    <row r="5644" spans="1:8" x14ac:dyDescent="0.2">
      <c r="A5644" t="s">
        <v>7</v>
      </c>
      <c r="B5644" t="s">
        <v>23</v>
      </c>
      <c r="C5644" t="str">
        <f t="shared" si="178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77"/>
        <v>-3</v>
      </c>
    </row>
    <row r="5645" spans="1:8" x14ac:dyDescent="0.2">
      <c r="A5645" t="s">
        <v>7</v>
      </c>
      <c r="B5645" t="s">
        <v>23</v>
      </c>
      <c r="C5645" t="str">
        <f t="shared" si="178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77"/>
        <v>-3</v>
      </c>
    </row>
    <row r="5646" spans="1:8" x14ac:dyDescent="0.2">
      <c r="A5646" t="s">
        <v>7</v>
      </c>
      <c r="B5646" t="s">
        <v>23</v>
      </c>
      <c r="C5646" t="str">
        <f t="shared" si="178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77"/>
        <v>0</v>
      </c>
    </row>
    <row r="5647" spans="1:8" x14ac:dyDescent="0.2">
      <c r="A5647" t="s">
        <v>7</v>
      </c>
      <c r="B5647" t="s">
        <v>23</v>
      </c>
      <c r="C5647" t="str">
        <f t="shared" si="178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77"/>
        <v>-4</v>
      </c>
    </row>
    <row r="5648" spans="1:8" x14ac:dyDescent="0.2">
      <c r="A5648" t="s">
        <v>7</v>
      </c>
      <c r="B5648" t="s">
        <v>23</v>
      </c>
      <c r="C5648" t="str">
        <f t="shared" si="178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77"/>
        <v>-4</v>
      </c>
    </row>
    <row r="5649" spans="1:8" x14ac:dyDescent="0.2">
      <c r="A5649" t="s">
        <v>7</v>
      </c>
      <c r="B5649" t="s">
        <v>23</v>
      </c>
      <c r="C5649" t="str">
        <f t="shared" si="178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77"/>
        <v>-4</v>
      </c>
    </row>
    <row r="5650" spans="1:8" x14ac:dyDescent="0.2">
      <c r="A5650" t="s">
        <v>7</v>
      </c>
      <c r="B5650" t="s">
        <v>23</v>
      </c>
      <c r="C5650" t="str">
        <f t="shared" si="178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77"/>
        <v>-4</v>
      </c>
    </row>
    <row r="5651" spans="1:8" x14ac:dyDescent="0.2">
      <c r="A5651" t="s">
        <v>7</v>
      </c>
      <c r="B5651" t="s">
        <v>23</v>
      </c>
      <c r="C5651" t="str">
        <f t="shared" si="178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77"/>
        <v>-4</v>
      </c>
    </row>
    <row r="5652" spans="1:8" x14ac:dyDescent="0.2">
      <c r="A5652" t="s">
        <v>7</v>
      </c>
      <c r="B5652" t="s">
        <v>23</v>
      </c>
      <c r="C5652" t="str">
        <f t="shared" si="178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77"/>
        <v>-4</v>
      </c>
    </row>
    <row r="5653" spans="1:8" x14ac:dyDescent="0.2">
      <c r="A5653" t="s">
        <v>7</v>
      </c>
      <c r="B5653" t="s">
        <v>23</v>
      </c>
      <c r="C5653" t="str">
        <f t="shared" si="178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77"/>
        <v>-4</v>
      </c>
    </row>
    <row r="5654" spans="1:8" x14ac:dyDescent="0.2">
      <c r="A5654" t="s">
        <v>7</v>
      </c>
      <c r="B5654" t="s">
        <v>23</v>
      </c>
      <c r="C5654" t="str">
        <f t="shared" si="178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77"/>
        <v>-4</v>
      </c>
    </row>
    <row r="5655" spans="1:8" x14ac:dyDescent="0.2">
      <c r="A5655" t="s">
        <v>7</v>
      </c>
      <c r="B5655" t="s">
        <v>23</v>
      </c>
      <c r="C5655" t="str">
        <f t="shared" si="178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77"/>
        <v>-4</v>
      </c>
    </row>
    <row r="5656" spans="1:8" x14ac:dyDescent="0.2">
      <c r="A5656" t="s">
        <v>7</v>
      </c>
      <c r="B5656" t="s">
        <v>23</v>
      </c>
      <c r="C5656" t="str">
        <f t="shared" si="178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77"/>
        <v>-4</v>
      </c>
    </row>
    <row r="5657" spans="1:8" x14ac:dyDescent="0.2">
      <c r="A5657" t="s">
        <v>7</v>
      </c>
      <c r="B5657" t="s">
        <v>23</v>
      </c>
      <c r="C5657" t="str">
        <f t="shared" si="178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77"/>
        <v>-4</v>
      </c>
    </row>
    <row r="5658" spans="1:8" x14ac:dyDescent="0.2">
      <c r="A5658" t="s">
        <v>7</v>
      </c>
      <c r="B5658" t="s">
        <v>23</v>
      </c>
      <c r="C5658" t="str">
        <f t="shared" si="178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77"/>
        <v>-4</v>
      </c>
    </row>
    <row r="5659" spans="1:8" x14ac:dyDescent="0.2">
      <c r="A5659" t="s">
        <v>7</v>
      </c>
      <c r="B5659" t="s">
        <v>23</v>
      </c>
      <c r="C5659" t="str">
        <f t="shared" si="178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77"/>
        <v>0</v>
      </c>
    </row>
    <row r="5660" spans="1:8" x14ac:dyDescent="0.2">
      <c r="A5660" t="s">
        <v>7</v>
      </c>
      <c r="B5660" t="s">
        <v>23</v>
      </c>
      <c r="C5660" t="str">
        <f t="shared" si="178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77"/>
        <v>-4</v>
      </c>
    </row>
    <row r="5661" spans="1:8" x14ac:dyDescent="0.2">
      <c r="A5661" t="s">
        <v>7</v>
      </c>
      <c r="B5661" t="s">
        <v>23</v>
      </c>
      <c r="C5661" t="str">
        <f t="shared" si="178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77"/>
        <v>-4</v>
      </c>
    </row>
    <row r="5662" spans="1:8" x14ac:dyDescent="0.2">
      <c r="A5662" t="s">
        <v>7</v>
      </c>
      <c r="B5662" t="s">
        <v>23</v>
      </c>
      <c r="C5662" t="str">
        <f t="shared" si="178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77"/>
        <v>0</v>
      </c>
    </row>
    <row r="5663" spans="1:8" x14ac:dyDescent="0.2">
      <c r="A5663" t="s">
        <v>7</v>
      </c>
      <c r="B5663" t="s">
        <v>23</v>
      </c>
      <c r="C5663" t="str">
        <f t="shared" si="178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77"/>
        <v>-4</v>
      </c>
    </row>
    <row r="5664" spans="1:8" x14ac:dyDescent="0.2">
      <c r="A5664" t="s">
        <v>7</v>
      </c>
      <c r="B5664" t="s">
        <v>23</v>
      </c>
      <c r="C5664" t="str">
        <f t="shared" si="178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77"/>
        <v>-4</v>
      </c>
    </row>
    <row r="5665" spans="1:8" x14ac:dyDescent="0.2">
      <c r="A5665" t="s">
        <v>7</v>
      </c>
      <c r="B5665" t="s">
        <v>23</v>
      </c>
      <c r="C5665" t="str">
        <f t="shared" si="178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77"/>
        <v>-4</v>
      </c>
    </row>
    <row r="5666" spans="1:8" x14ac:dyDescent="0.2">
      <c r="A5666" t="s">
        <v>7</v>
      </c>
      <c r="B5666" t="s">
        <v>23</v>
      </c>
      <c r="C5666" t="str">
        <f t="shared" si="178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77"/>
        <v>-4</v>
      </c>
    </row>
    <row r="5667" spans="1:8" x14ac:dyDescent="0.2">
      <c r="A5667" t="s">
        <v>7</v>
      </c>
      <c r="B5667" t="s">
        <v>23</v>
      </c>
      <c r="C5667" t="str">
        <f t="shared" si="178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77"/>
        <v>0</v>
      </c>
    </row>
    <row r="5668" spans="1:8" x14ac:dyDescent="0.2">
      <c r="A5668" t="s">
        <v>7</v>
      </c>
      <c r="B5668" t="s">
        <v>23</v>
      </c>
      <c r="C5668" t="str">
        <f t="shared" si="178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77"/>
        <v>-4</v>
      </c>
    </row>
    <row r="5669" spans="1:8" x14ac:dyDescent="0.2">
      <c r="A5669" t="s">
        <v>7</v>
      </c>
      <c r="B5669" t="s">
        <v>23</v>
      </c>
      <c r="C5669" t="str">
        <f t="shared" si="178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77"/>
        <v>-4</v>
      </c>
    </row>
    <row r="5670" spans="1:8" x14ac:dyDescent="0.2">
      <c r="A5670" t="s">
        <v>7</v>
      </c>
      <c r="B5670" t="s">
        <v>23</v>
      </c>
      <c r="C5670" t="str">
        <f t="shared" si="178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77"/>
        <v>-4</v>
      </c>
    </row>
    <row r="5671" spans="1:8" x14ac:dyDescent="0.2">
      <c r="A5671" t="s">
        <v>7</v>
      </c>
      <c r="B5671" t="s">
        <v>23</v>
      </c>
      <c r="C5671" t="str">
        <f t="shared" si="178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77"/>
        <v>0</v>
      </c>
    </row>
    <row r="5672" spans="1:8" x14ac:dyDescent="0.2">
      <c r="A5672" t="s">
        <v>7</v>
      </c>
      <c r="B5672" t="s">
        <v>23</v>
      </c>
      <c r="C5672" t="str">
        <f t="shared" si="178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77"/>
        <v>-5</v>
      </c>
    </row>
    <row r="5673" spans="1:8" x14ac:dyDescent="0.2">
      <c r="A5673" t="s">
        <v>7</v>
      </c>
      <c r="B5673" t="s">
        <v>23</v>
      </c>
      <c r="C5673" t="str">
        <f t="shared" si="178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77"/>
        <v>-5</v>
      </c>
    </row>
    <row r="5674" spans="1:8" x14ac:dyDescent="0.2">
      <c r="A5674" t="s">
        <v>7</v>
      </c>
      <c r="B5674" t="s">
        <v>23</v>
      </c>
      <c r="C5674" t="str">
        <f t="shared" si="178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77"/>
        <v>-5</v>
      </c>
    </row>
    <row r="5675" spans="1:8" x14ac:dyDescent="0.2">
      <c r="A5675" t="s">
        <v>7</v>
      </c>
      <c r="B5675" t="s">
        <v>23</v>
      </c>
      <c r="C5675" t="str">
        <f t="shared" si="178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77"/>
        <v>-5</v>
      </c>
    </row>
    <row r="5676" spans="1:8" x14ac:dyDescent="0.2">
      <c r="A5676" t="s">
        <v>7</v>
      </c>
      <c r="B5676" t="s">
        <v>23</v>
      </c>
      <c r="C5676" t="str">
        <f t="shared" si="178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77"/>
        <v>-5</v>
      </c>
    </row>
    <row r="5677" spans="1:8" x14ac:dyDescent="0.2">
      <c r="A5677" t="s">
        <v>7</v>
      </c>
      <c r="B5677" t="s">
        <v>23</v>
      </c>
      <c r="C5677" t="str">
        <f t="shared" si="178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77"/>
        <v>-5</v>
      </c>
    </row>
    <row r="5678" spans="1:8" x14ac:dyDescent="0.2">
      <c r="A5678" t="s">
        <v>7</v>
      </c>
      <c r="B5678" t="s">
        <v>23</v>
      </c>
      <c r="C5678" t="str">
        <f t="shared" si="178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77"/>
        <v>-5</v>
      </c>
    </row>
    <row r="5679" spans="1:8" x14ac:dyDescent="0.2">
      <c r="A5679" t="s">
        <v>7</v>
      </c>
      <c r="B5679" t="s">
        <v>23</v>
      </c>
      <c r="C5679" t="str">
        <f t="shared" si="178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si="177"/>
        <v>-5</v>
      </c>
    </row>
    <row r="5680" spans="1:8" x14ac:dyDescent="0.2">
      <c r="A5680" t="s">
        <v>7</v>
      </c>
      <c r="B5680" t="s">
        <v>23</v>
      </c>
      <c r="C5680" t="str">
        <f t="shared" si="178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77"/>
        <v>-5</v>
      </c>
    </row>
    <row r="5681" spans="1:8" x14ac:dyDescent="0.2">
      <c r="A5681" t="s">
        <v>7</v>
      </c>
      <c r="B5681" t="s">
        <v>23</v>
      </c>
      <c r="C5681" t="str">
        <f t="shared" si="178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77"/>
        <v>-5</v>
      </c>
    </row>
    <row r="5682" spans="1:8" x14ac:dyDescent="0.2">
      <c r="A5682" t="s">
        <v>7</v>
      </c>
      <c r="B5682" t="s">
        <v>23</v>
      </c>
      <c r="C5682" t="str">
        <f t="shared" si="178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77"/>
        <v>-5</v>
      </c>
    </row>
    <row r="5683" spans="1:8" x14ac:dyDescent="0.2">
      <c r="A5683" t="s">
        <v>7</v>
      </c>
      <c r="B5683" t="s">
        <v>23</v>
      </c>
      <c r="C5683" t="str">
        <f t="shared" si="178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77"/>
        <v>-5</v>
      </c>
    </row>
    <row r="5684" spans="1:8" x14ac:dyDescent="0.2">
      <c r="A5684" t="s">
        <v>7</v>
      </c>
      <c r="B5684" t="s">
        <v>23</v>
      </c>
      <c r="C5684" t="str">
        <f t="shared" si="178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77"/>
        <v>-5</v>
      </c>
    </row>
    <row r="5685" spans="1:8" x14ac:dyDescent="0.2">
      <c r="A5685" t="s">
        <v>7</v>
      </c>
      <c r="B5685" t="s">
        <v>23</v>
      </c>
      <c r="C5685" t="str">
        <f t="shared" si="178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77"/>
        <v>-5</v>
      </c>
    </row>
    <row r="5686" spans="1:8" x14ac:dyDescent="0.2">
      <c r="A5686" t="s">
        <v>7</v>
      </c>
      <c r="B5686" t="s">
        <v>23</v>
      </c>
      <c r="C5686" t="str">
        <f t="shared" si="178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77"/>
        <v>-5</v>
      </c>
    </row>
    <row r="5687" spans="1:8" x14ac:dyDescent="0.2">
      <c r="A5687" t="s">
        <v>7</v>
      </c>
      <c r="B5687" t="s">
        <v>23</v>
      </c>
      <c r="C5687" t="str">
        <f t="shared" si="178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77"/>
        <v>-5</v>
      </c>
    </row>
    <row r="5688" spans="1:8" x14ac:dyDescent="0.2">
      <c r="A5688" t="s">
        <v>7</v>
      </c>
      <c r="B5688" t="s">
        <v>23</v>
      </c>
      <c r="C5688" t="str">
        <f t="shared" si="178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77"/>
        <v>-5</v>
      </c>
    </row>
    <row r="5689" spans="1:8" x14ac:dyDescent="0.2">
      <c r="A5689" t="s">
        <v>7</v>
      </c>
      <c r="B5689" t="s">
        <v>23</v>
      </c>
      <c r="C5689" t="str">
        <f t="shared" si="178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77"/>
        <v>-5</v>
      </c>
    </row>
    <row r="5690" spans="1:8" x14ac:dyDescent="0.2">
      <c r="A5690" t="s">
        <v>7</v>
      </c>
      <c r="B5690" t="s">
        <v>23</v>
      </c>
      <c r="C5690" t="str">
        <f t="shared" si="178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77"/>
        <v>-5</v>
      </c>
    </row>
    <row r="5691" spans="1:8" x14ac:dyDescent="0.2">
      <c r="A5691" t="s">
        <v>7</v>
      </c>
      <c r="B5691" t="s">
        <v>23</v>
      </c>
      <c r="C5691" t="str">
        <f t="shared" si="178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77"/>
        <v>0</v>
      </c>
    </row>
    <row r="5692" spans="1:8" x14ac:dyDescent="0.2">
      <c r="A5692" t="s">
        <v>7</v>
      </c>
      <c r="B5692" t="s">
        <v>23</v>
      </c>
      <c r="C5692" t="str">
        <f t="shared" si="178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77"/>
        <v>-5</v>
      </c>
    </row>
    <row r="5693" spans="1:8" x14ac:dyDescent="0.2">
      <c r="A5693" t="s">
        <v>7</v>
      </c>
      <c r="B5693" t="s">
        <v>23</v>
      </c>
      <c r="C5693" t="str">
        <f t="shared" si="178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77"/>
        <v>-5</v>
      </c>
    </row>
    <row r="5694" spans="1:8" x14ac:dyDescent="0.2">
      <c r="A5694" t="s">
        <v>7</v>
      </c>
      <c r="B5694" t="s">
        <v>23</v>
      </c>
      <c r="C5694" t="str">
        <f t="shared" si="178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77"/>
        <v>-5</v>
      </c>
    </row>
    <row r="5695" spans="1:8" x14ac:dyDescent="0.2">
      <c r="A5695" t="s">
        <v>7</v>
      </c>
      <c r="B5695" t="s">
        <v>23</v>
      </c>
      <c r="C5695" t="str">
        <f t="shared" si="178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77"/>
        <v>-6</v>
      </c>
    </row>
    <row r="5696" spans="1:8" x14ac:dyDescent="0.2">
      <c r="A5696" t="s">
        <v>7</v>
      </c>
      <c r="B5696" t="s">
        <v>23</v>
      </c>
      <c r="C5696" t="str">
        <f t="shared" si="178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77"/>
        <v>-6</v>
      </c>
    </row>
    <row r="5697" spans="1:8" x14ac:dyDescent="0.2">
      <c r="A5697" t="s">
        <v>7</v>
      </c>
      <c r="B5697" t="s">
        <v>23</v>
      </c>
      <c r="C5697" t="str">
        <f t="shared" si="178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77"/>
        <v>-6</v>
      </c>
    </row>
    <row r="5698" spans="1:8" x14ac:dyDescent="0.2">
      <c r="A5698" t="s">
        <v>18</v>
      </c>
      <c r="B5698" t="s">
        <v>23</v>
      </c>
      <c r="C5698" t="str">
        <f t="shared" si="178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77"/>
        <v>-6</v>
      </c>
    </row>
    <row r="5699" spans="1:8" x14ac:dyDescent="0.2">
      <c r="A5699" t="s">
        <v>7</v>
      </c>
      <c r="B5699" t="s">
        <v>23</v>
      </c>
      <c r="C5699" t="str">
        <f t="shared" si="178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ref="H5699:H5762" si="179">F5699-G5699</f>
        <v>0</v>
      </c>
    </row>
    <row r="5700" spans="1:8" x14ac:dyDescent="0.2">
      <c r="A5700" t="s">
        <v>7</v>
      </c>
      <c r="B5700" t="s">
        <v>23</v>
      </c>
      <c r="C5700" t="str">
        <f t="shared" ref="C5700:C5763" si="180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79"/>
        <v>-6</v>
      </c>
    </row>
    <row r="5701" spans="1:8" x14ac:dyDescent="0.2">
      <c r="A5701" t="s">
        <v>18</v>
      </c>
      <c r="B5701" t="s">
        <v>23</v>
      </c>
      <c r="C5701" t="str">
        <f t="shared" si="180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79"/>
        <v>-6</v>
      </c>
    </row>
    <row r="5702" spans="1:8" x14ac:dyDescent="0.2">
      <c r="A5702" t="s">
        <v>19</v>
      </c>
      <c r="B5702" t="s">
        <v>23</v>
      </c>
      <c r="C5702" t="str">
        <f t="shared" si="180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79"/>
        <v>-6</v>
      </c>
    </row>
    <row r="5703" spans="1:8" x14ac:dyDescent="0.2">
      <c r="A5703" t="s">
        <v>7</v>
      </c>
      <c r="B5703" t="s">
        <v>23</v>
      </c>
      <c r="C5703" t="str">
        <f t="shared" si="180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79"/>
        <v>-6</v>
      </c>
    </row>
    <row r="5704" spans="1:8" x14ac:dyDescent="0.2">
      <c r="A5704" t="s">
        <v>18</v>
      </c>
      <c r="B5704" t="s">
        <v>23</v>
      </c>
      <c r="C5704" t="str">
        <f t="shared" si="180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79"/>
        <v>-6</v>
      </c>
    </row>
    <row r="5705" spans="1:8" x14ac:dyDescent="0.2">
      <c r="A5705" t="s">
        <v>7</v>
      </c>
      <c r="B5705" t="s">
        <v>23</v>
      </c>
      <c r="C5705" t="str">
        <f t="shared" si="180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79"/>
        <v>-6</v>
      </c>
    </row>
    <row r="5706" spans="1:8" x14ac:dyDescent="0.2">
      <c r="A5706" t="s">
        <v>7</v>
      </c>
      <c r="B5706" t="s">
        <v>23</v>
      </c>
      <c r="C5706" t="str">
        <f t="shared" si="180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79"/>
        <v>-6</v>
      </c>
    </row>
    <row r="5707" spans="1:8" x14ac:dyDescent="0.2">
      <c r="A5707" t="s">
        <v>7</v>
      </c>
      <c r="B5707" t="s">
        <v>23</v>
      </c>
      <c r="C5707" t="str">
        <f t="shared" si="180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79"/>
        <v>-6</v>
      </c>
    </row>
    <row r="5708" spans="1:8" x14ac:dyDescent="0.2">
      <c r="A5708" t="s">
        <v>7</v>
      </c>
      <c r="B5708" t="s">
        <v>23</v>
      </c>
      <c r="C5708" t="str">
        <f t="shared" si="180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79"/>
        <v>-6</v>
      </c>
    </row>
    <row r="5709" spans="1:8" x14ac:dyDescent="0.2">
      <c r="A5709" t="s">
        <v>7</v>
      </c>
      <c r="B5709" t="s">
        <v>23</v>
      </c>
      <c r="C5709" t="str">
        <f t="shared" si="180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79"/>
        <v>-6</v>
      </c>
    </row>
    <row r="5710" spans="1:8" x14ac:dyDescent="0.2">
      <c r="A5710" t="s">
        <v>19</v>
      </c>
      <c r="B5710" t="s">
        <v>23</v>
      </c>
      <c r="C5710" t="str">
        <f t="shared" si="180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79"/>
        <v>-6</v>
      </c>
    </row>
    <row r="5711" spans="1:8" x14ac:dyDescent="0.2">
      <c r="A5711" t="s">
        <v>7</v>
      </c>
      <c r="B5711" t="s">
        <v>23</v>
      </c>
      <c r="C5711" t="str">
        <f t="shared" si="180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79"/>
        <v>-6</v>
      </c>
    </row>
    <row r="5712" spans="1:8" x14ac:dyDescent="0.2">
      <c r="A5712" t="s">
        <v>18</v>
      </c>
      <c r="B5712" t="s">
        <v>23</v>
      </c>
      <c r="C5712" t="str">
        <f t="shared" si="180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79"/>
        <v>-6</v>
      </c>
    </row>
    <row r="5713" spans="1:8" x14ac:dyDescent="0.2">
      <c r="A5713" t="s">
        <v>7</v>
      </c>
      <c r="B5713" t="s">
        <v>23</v>
      </c>
      <c r="C5713" t="str">
        <f t="shared" si="180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79"/>
        <v>-6</v>
      </c>
    </row>
    <row r="5714" spans="1:8" x14ac:dyDescent="0.2">
      <c r="A5714" t="s">
        <v>7</v>
      </c>
      <c r="B5714" t="s">
        <v>23</v>
      </c>
      <c r="C5714" t="str">
        <f t="shared" si="180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79"/>
        <v>-6</v>
      </c>
    </row>
    <row r="5715" spans="1:8" x14ac:dyDescent="0.2">
      <c r="A5715" t="s">
        <v>19</v>
      </c>
      <c r="B5715" t="s">
        <v>23</v>
      </c>
      <c r="C5715" t="str">
        <f t="shared" si="180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79"/>
        <v>-6</v>
      </c>
    </row>
    <row r="5716" spans="1:8" x14ac:dyDescent="0.2">
      <c r="A5716" t="s">
        <v>18</v>
      </c>
      <c r="B5716" t="s">
        <v>23</v>
      </c>
      <c r="C5716" t="str">
        <f t="shared" si="180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79"/>
        <v>-6</v>
      </c>
    </row>
    <row r="5717" spans="1:8" x14ac:dyDescent="0.2">
      <c r="A5717" t="s">
        <v>7</v>
      </c>
      <c r="B5717" t="s">
        <v>23</v>
      </c>
      <c r="C5717" t="str">
        <f t="shared" si="180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79"/>
        <v>-6</v>
      </c>
    </row>
    <row r="5718" spans="1:8" x14ac:dyDescent="0.2">
      <c r="A5718" t="s">
        <v>7</v>
      </c>
      <c r="B5718" t="s">
        <v>23</v>
      </c>
      <c r="C5718" t="str">
        <f t="shared" si="180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79"/>
        <v>-6</v>
      </c>
    </row>
    <row r="5719" spans="1:8" x14ac:dyDescent="0.2">
      <c r="A5719" t="s">
        <v>18</v>
      </c>
      <c r="B5719" t="s">
        <v>23</v>
      </c>
      <c r="C5719" t="str">
        <f t="shared" si="180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79"/>
        <v>-6</v>
      </c>
    </row>
    <row r="5720" spans="1:8" x14ac:dyDescent="0.2">
      <c r="A5720" t="s">
        <v>18</v>
      </c>
      <c r="B5720" t="s">
        <v>23</v>
      </c>
      <c r="C5720" t="str">
        <f t="shared" si="180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79"/>
        <v>-6</v>
      </c>
    </row>
    <row r="5721" spans="1:8" x14ac:dyDescent="0.2">
      <c r="A5721" t="s">
        <v>18</v>
      </c>
      <c r="B5721" t="s">
        <v>23</v>
      </c>
      <c r="C5721" t="str">
        <f t="shared" si="180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79"/>
        <v>-6</v>
      </c>
    </row>
    <row r="5722" spans="1:8" x14ac:dyDescent="0.2">
      <c r="A5722" t="s">
        <v>7</v>
      </c>
      <c r="B5722" t="s">
        <v>23</v>
      </c>
      <c r="C5722" t="str">
        <f t="shared" si="180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79"/>
        <v>-6</v>
      </c>
    </row>
    <row r="5723" spans="1:8" x14ac:dyDescent="0.2">
      <c r="A5723" t="s">
        <v>18</v>
      </c>
      <c r="B5723" t="s">
        <v>23</v>
      </c>
      <c r="C5723" t="str">
        <f t="shared" si="180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79"/>
        <v>-6</v>
      </c>
    </row>
    <row r="5724" spans="1:8" x14ac:dyDescent="0.2">
      <c r="A5724" t="s">
        <v>18</v>
      </c>
      <c r="B5724" t="s">
        <v>23</v>
      </c>
      <c r="C5724" t="str">
        <f t="shared" si="180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79"/>
        <v>-6</v>
      </c>
    </row>
    <row r="5725" spans="1:8" x14ac:dyDescent="0.2">
      <c r="A5725" t="s">
        <v>18</v>
      </c>
      <c r="B5725" t="s">
        <v>23</v>
      </c>
      <c r="C5725" t="str">
        <f t="shared" si="180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79"/>
        <v>-6</v>
      </c>
    </row>
    <row r="5726" spans="1:8" x14ac:dyDescent="0.2">
      <c r="A5726" t="s">
        <v>18</v>
      </c>
      <c r="B5726" t="s">
        <v>23</v>
      </c>
      <c r="C5726" t="str">
        <f t="shared" si="180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79"/>
        <v>-6</v>
      </c>
    </row>
    <row r="5727" spans="1:8" x14ac:dyDescent="0.2">
      <c r="A5727" t="s">
        <v>18</v>
      </c>
      <c r="B5727" t="s">
        <v>23</v>
      </c>
      <c r="C5727" t="str">
        <f t="shared" si="180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79"/>
        <v>-6</v>
      </c>
    </row>
    <row r="5728" spans="1:8" x14ac:dyDescent="0.2">
      <c r="A5728" t="s">
        <v>18</v>
      </c>
      <c r="B5728" t="s">
        <v>23</v>
      </c>
      <c r="C5728" t="str">
        <f t="shared" si="180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79"/>
        <v>-6</v>
      </c>
    </row>
    <row r="5729" spans="1:8" x14ac:dyDescent="0.2">
      <c r="A5729" t="s">
        <v>18</v>
      </c>
      <c r="B5729" t="s">
        <v>23</v>
      </c>
      <c r="C5729" t="str">
        <f t="shared" si="180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79"/>
        <v>-6</v>
      </c>
    </row>
    <row r="5730" spans="1:8" x14ac:dyDescent="0.2">
      <c r="A5730" t="s">
        <v>18</v>
      </c>
      <c r="B5730" t="s">
        <v>23</v>
      </c>
      <c r="C5730" t="str">
        <f t="shared" si="180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79"/>
        <v>-6</v>
      </c>
    </row>
    <row r="5731" spans="1:8" x14ac:dyDescent="0.2">
      <c r="A5731" t="s">
        <v>18</v>
      </c>
      <c r="B5731" t="s">
        <v>23</v>
      </c>
      <c r="C5731" t="str">
        <f t="shared" si="180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79"/>
        <v>-6</v>
      </c>
    </row>
    <row r="5732" spans="1:8" x14ac:dyDescent="0.2">
      <c r="A5732" t="s">
        <v>18</v>
      </c>
      <c r="B5732" t="s">
        <v>23</v>
      </c>
      <c r="C5732" t="str">
        <f t="shared" si="180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79"/>
        <v>-6</v>
      </c>
    </row>
    <row r="5733" spans="1:8" x14ac:dyDescent="0.2">
      <c r="A5733" t="s">
        <v>7</v>
      </c>
      <c r="B5733" t="s">
        <v>23</v>
      </c>
      <c r="C5733" t="str">
        <f t="shared" si="180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79"/>
        <v>-6</v>
      </c>
    </row>
    <row r="5734" spans="1:8" x14ac:dyDescent="0.2">
      <c r="A5734" t="s">
        <v>18</v>
      </c>
      <c r="B5734" t="s">
        <v>23</v>
      </c>
      <c r="C5734" t="str">
        <f t="shared" si="180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79"/>
        <v>-6</v>
      </c>
    </row>
    <row r="5735" spans="1:8" x14ac:dyDescent="0.2">
      <c r="A5735" t="s">
        <v>7</v>
      </c>
      <c r="B5735" t="s">
        <v>23</v>
      </c>
      <c r="C5735" t="str">
        <f t="shared" si="180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79"/>
        <v>-6</v>
      </c>
    </row>
    <row r="5736" spans="1:8" x14ac:dyDescent="0.2">
      <c r="A5736" t="s">
        <v>7</v>
      </c>
      <c r="B5736" t="s">
        <v>23</v>
      </c>
      <c r="C5736" t="str">
        <f t="shared" si="180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79"/>
        <v>-6</v>
      </c>
    </row>
    <row r="5737" spans="1:8" x14ac:dyDescent="0.2">
      <c r="A5737" t="s">
        <v>18</v>
      </c>
      <c r="B5737" t="s">
        <v>23</v>
      </c>
      <c r="C5737" t="str">
        <f t="shared" si="180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79"/>
        <v>-6</v>
      </c>
    </row>
    <row r="5738" spans="1:8" x14ac:dyDescent="0.2">
      <c r="A5738" t="s">
        <v>18</v>
      </c>
      <c r="B5738" t="s">
        <v>23</v>
      </c>
      <c r="C5738" t="str">
        <f t="shared" si="180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79"/>
        <v>-6</v>
      </c>
    </row>
    <row r="5739" spans="1:8" x14ac:dyDescent="0.2">
      <c r="A5739" t="s">
        <v>7</v>
      </c>
      <c r="B5739" t="s">
        <v>23</v>
      </c>
      <c r="C5739" t="str">
        <f t="shared" si="180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79"/>
        <v>-6</v>
      </c>
    </row>
    <row r="5740" spans="1:8" x14ac:dyDescent="0.2">
      <c r="A5740" t="s">
        <v>7</v>
      </c>
      <c r="B5740" t="s">
        <v>23</v>
      </c>
      <c r="C5740" t="str">
        <f t="shared" si="180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79"/>
        <v>-6</v>
      </c>
    </row>
    <row r="5741" spans="1:8" x14ac:dyDescent="0.2">
      <c r="A5741" t="s">
        <v>7</v>
      </c>
      <c r="B5741" t="s">
        <v>23</v>
      </c>
      <c r="C5741" t="str">
        <f t="shared" si="180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79"/>
        <v>-6</v>
      </c>
    </row>
    <row r="5742" spans="1:8" x14ac:dyDescent="0.2">
      <c r="A5742" t="s">
        <v>18</v>
      </c>
      <c r="B5742" t="s">
        <v>23</v>
      </c>
      <c r="C5742" t="str">
        <f t="shared" si="180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79"/>
        <v>-6</v>
      </c>
    </row>
    <row r="5743" spans="1:8" x14ac:dyDescent="0.2">
      <c r="A5743" t="s">
        <v>19</v>
      </c>
      <c r="B5743" t="s">
        <v>23</v>
      </c>
      <c r="C5743" t="str">
        <f t="shared" si="180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si="179"/>
        <v>-6</v>
      </c>
    </row>
    <row r="5744" spans="1:8" x14ac:dyDescent="0.2">
      <c r="A5744" t="s">
        <v>7</v>
      </c>
      <c r="B5744" t="s">
        <v>23</v>
      </c>
      <c r="C5744" t="str">
        <f t="shared" si="180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79"/>
        <v>-6</v>
      </c>
    </row>
    <row r="5745" spans="1:8" x14ac:dyDescent="0.2">
      <c r="A5745" t="s">
        <v>7</v>
      </c>
      <c r="B5745" t="s">
        <v>23</v>
      </c>
      <c r="C5745" t="str">
        <f t="shared" si="180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79"/>
        <v>-6</v>
      </c>
    </row>
    <row r="5746" spans="1:8" x14ac:dyDescent="0.2">
      <c r="A5746" t="s">
        <v>7</v>
      </c>
      <c r="B5746" t="s">
        <v>23</v>
      </c>
      <c r="C5746" t="str">
        <f t="shared" si="180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79"/>
        <v>-6</v>
      </c>
    </row>
    <row r="5747" spans="1:8" x14ac:dyDescent="0.2">
      <c r="A5747" t="s">
        <v>7</v>
      </c>
      <c r="B5747" t="s">
        <v>23</v>
      </c>
      <c r="C5747" t="str">
        <f t="shared" si="180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79"/>
        <v>-6</v>
      </c>
    </row>
    <row r="5748" spans="1:8" x14ac:dyDescent="0.2">
      <c r="A5748" t="s">
        <v>7</v>
      </c>
      <c r="B5748" t="s">
        <v>23</v>
      </c>
      <c r="C5748" t="str">
        <f t="shared" si="180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79"/>
        <v>0</v>
      </c>
    </row>
    <row r="5749" spans="1:8" x14ac:dyDescent="0.2">
      <c r="A5749" t="s">
        <v>7</v>
      </c>
      <c r="B5749" t="s">
        <v>23</v>
      </c>
      <c r="C5749" t="str">
        <f t="shared" si="180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79"/>
        <v>-6</v>
      </c>
    </row>
    <row r="5750" spans="1:8" x14ac:dyDescent="0.2">
      <c r="A5750" t="s">
        <v>19</v>
      </c>
      <c r="B5750" t="s">
        <v>23</v>
      </c>
      <c r="C5750" t="str">
        <f t="shared" si="180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79"/>
        <v>-6</v>
      </c>
    </row>
    <row r="5751" spans="1:8" x14ac:dyDescent="0.2">
      <c r="A5751" t="s">
        <v>7</v>
      </c>
      <c r="B5751" t="s">
        <v>23</v>
      </c>
      <c r="C5751" t="str">
        <f t="shared" si="180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79"/>
        <v>-6</v>
      </c>
    </row>
    <row r="5752" spans="1:8" x14ac:dyDescent="0.2">
      <c r="A5752" t="s">
        <v>19</v>
      </c>
      <c r="B5752" t="s">
        <v>23</v>
      </c>
      <c r="C5752" t="str">
        <f t="shared" si="180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79"/>
        <v>-6</v>
      </c>
    </row>
    <row r="5753" spans="1:8" x14ac:dyDescent="0.2">
      <c r="A5753" t="s">
        <v>7</v>
      </c>
      <c r="B5753" t="s">
        <v>23</v>
      </c>
      <c r="C5753" t="str">
        <f t="shared" si="180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79"/>
        <v>-6</v>
      </c>
    </row>
    <row r="5754" spans="1:8" x14ac:dyDescent="0.2">
      <c r="A5754" t="s">
        <v>19</v>
      </c>
      <c r="B5754" t="s">
        <v>23</v>
      </c>
      <c r="C5754" t="str">
        <f t="shared" si="180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79"/>
        <v>-6</v>
      </c>
    </row>
    <row r="5755" spans="1:8" x14ac:dyDescent="0.2">
      <c r="A5755" t="s">
        <v>7</v>
      </c>
      <c r="B5755" t="s">
        <v>23</v>
      </c>
      <c r="C5755" t="str">
        <f t="shared" si="180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79"/>
        <v>-6</v>
      </c>
    </row>
    <row r="5756" spans="1:8" x14ac:dyDescent="0.2">
      <c r="A5756" t="s">
        <v>7</v>
      </c>
      <c r="B5756" t="s">
        <v>23</v>
      </c>
      <c r="C5756" t="str">
        <f t="shared" si="180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79"/>
        <v>-6</v>
      </c>
    </row>
    <row r="5757" spans="1:8" x14ac:dyDescent="0.2">
      <c r="A5757" t="s">
        <v>7</v>
      </c>
      <c r="B5757" t="s">
        <v>23</v>
      </c>
      <c r="C5757" t="str">
        <f t="shared" si="180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79"/>
        <v>-6</v>
      </c>
    </row>
    <row r="5758" spans="1:8" x14ac:dyDescent="0.2">
      <c r="A5758" t="s">
        <v>7</v>
      </c>
      <c r="B5758" t="s">
        <v>23</v>
      </c>
      <c r="C5758" t="str">
        <f t="shared" si="180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79"/>
        <v>-6</v>
      </c>
    </row>
    <row r="5759" spans="1:8" x14ac:dyDescent="0.2">
      <c r="A5759" t="s">
        <v>18</v>
      </c>
      <c r="B5759" t="s">
        <v>23</v>
      </c>
      <c r="C5759" t="str">
        <f t="shared" si="180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79"/>
        <v>-6</v>
      </c>
    </row>
    <row r="5760" spans="1:8" x14ac:dyDescent="0.2">
      <c r="A5760" t="s">
        <v>7</v>
      </c>
      <c r="B5760" t="s">
        <v>23</v>
      </c>
      <c r="C5760" t="str">
        <f t="shared" si="180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79"/>
        <v>-6</v>
      </c>
    </row>
    <row r="5761" spans="1:8" x14ac:dyDescent="0.2">
      <c r="A5761" t="s">
        <v>7</v>
      </c>
      <c r="B5761" t="s">
        <v>23</v>
      </c>
      <c r="C5761" t="str">
        <f t="shared" si="180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79"/>
        <v>-6</v>
      </c>
    </row>
    <row r="5762" spans="1:8" x14ac:dyDescent="0.2">
      <c r="A5762" t="s">
        <v>7</v>
      </c>
      <c r="B5762" t="s">
        <v>23</v>
      </c>
      <c r="C5762" t="str">
        <f t="shared" si="180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79"/>
        <v>0</v>
      </c>
    </row>
    <row r="5763" spans="1:8" x14ac:dyDescent="0.2">
      <c r="A5763" t="s">
        <v>7</v>
      </c>
      <c r="B5763" t="s">
        <v>23</v>
      </c>
      <c r="C5763" t="str">
        <f t="shared" si="180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ref="H5763:H5826" si="181">F5763-G5763</f>
        <v>-6</v>
      </c>
    </row>
    <row r="5764" spans="1:8" x14ac:dyDescent="0.2">
      <c r="A5764" t="s">
        <v>18</v>
      </c>
      <c r="B5764" t="s">
        <v>23</v>
      </c>
      <c r="C5764" t="str">
        <f t="shared" ref="C5764:C5827" si="182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1"/>
        <v>-6</v>
      </c>
    </row>
    <row r="5765" spans="1:8" x14ac:dyDescent="0.2">
      <c r="A5765" t="s">
        <v>18</v>
      </c>
      <c r="B5765" t="s">
        <v>23</v>
      </c>
      <c r="C5765" t="str">
        <f t="shared" si="182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1"/>
        <v>-6</v>
      </c>
    </row>
    <row r="5766" spans="1:8" x14ac:dyDescent="0.2">
      <c r="A5766" t="s">
        <v>18</v>
      </c>
      <c r="B5766" t="s">
        <v>23</v>
      </c>
      <c r="C5766" t="str">
        <f t="shared" si="182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1"/>
        <v>-6</v>
      </c>
    </row>
    <row r="5767" spans="1:8" x14ac:dyDescent="0.2">
      <c r="A5767" t="s">
        <v>7</v>
      </c>
      <c r="B5767" t="s">
        <v>23</v>
      </c>
      <c r="C5767" t="str">
        <f t="shared" si="182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1"/>
        <v>-6</v>
      </c>
    </row>
    <row r="5768" spans="1:8" x14ac:dyDescent="0.2">
      <c r="A5768" t="s">
        <v>7</v>
      </c>
      <c r="B5768" t="s">
        <v>23</v>
      </c>
      <c r="C5768" t="str">
        <f t="shared" si="182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1"/>
        <v>-6</v>
      </c>
    </row>
    <row r="5769" spans="1:8" x14ac:dyDescent="0.2">
      <c r="A5769" t="s">
        <v>7</v>
      </c>
      <c r="B5769" t="s">
        <v>23</v>
      </c>
      <c r="C5769" t="str">
        <f t="shared" si="182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1"/>
        <v>-6</v>
      </c>
    </row>
    <row r="5770" spans="1:8" x14ac:dyDescent="0.2">
      <c r="A5770" t="s">
        <v>19</v>
      </c>
      <c r="B5770" t="s">
        <v>23</v>
      </c>
      <c r="C5770" t="str">
        <f t="shared" si="182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1"/>
        <v>-6</v>
      </c>
    </row>
    <row r="5771" spans="1:8" x14ac:dyDescent="0.2">
      <c r="A5771" t="s">
        <v>7</v>
      </c>
      <c r="B5771" t="s">
        <v>23</v>
      </c>
      <c r="C5771" t="str">
        <f t="shared" si="182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1"/>
        <v>-6</v>
      </c>
    </row>
    <row r="5772" spans="1:8" x14ac:dyDescent="0.2">
      <c r="A5772" t="s">
        <v>18</v>
      </c>
      <c r="B5772" t="s">
        <v>23</v>
      </c>
      <c r="C5772" t="str">
        <f t="shared" si="182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1"/>
        <v>-6</v>
      </c>
    </row>
    <row r="5773" spans="1:8" x14ac:dyDescent="0.2">
      <c r="A5773" t="s">
        <v>7</v>
      </c>
      <c r="B5773" t="s">
        <v>23</v>
      </c>
      <c r="C5773" t="str">
        <f t="shared" si="182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1"/>
        <v>-6</v>
      </c>
    </row>
    <row r="5774" spans="1:8" x14ac:dyDescent="0.2">
      <c r="A5774" t="s">
        <v>7</v>
      </c>
      <c r="B5774" t="s">
        <v>23</v>
      </c>
      <c r="C5774" t="str">
        <f t="shared" si="182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1"/>
        <v>-6</v>
      </c>
    </row>
    <row r="5775" spans="1:8" x14ac:dyDescent="0.2">
      <c r="A5775" t="s">
        <v>7</v>
      </c>
      <c r="B5775" t="s">
        <v>23</v>
      </c>
      <c r="C5775" t="str">
        <f t="shared" si="182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1"/>
        <v>-6</v>
      </c>
    </row>
    <row r="5776" spans="1:8" x14ac:dyDescent="0.2">
      <c r="A5776" t="s">
        <v>7</v>
      </c>
      <c r="B5776" t="s">
        <v>23</v>
      </c>
      <c r="C5776" t="str">
        <f t="shared" si="182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1"/>
        <v>-6</v>
      </c>
    </row>
    <row r="5777" spans="1:8" x14ac:dyDescent="0.2">
      <c r="A5777" t="s">
        <v>7</v>
      </c>
      <c r="B5777" t="s">
        <v>23</v>
      </c>
      <c r="C5777" t="str">
        <f t="shared" si="182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1"/>
        <v>-6</v>
      </c>
    </row>
    <row r="5778" spans="1:8" x14ac:dyDescent="0.2">
      <c r="A5778" t="s">
        <v>7</v>
      </c>
      <c r="B5778" t="s">
        <v>23</v>
      </c>
      <c r="C5778" t="str">
        <f t="shared" si="182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 t="shared" si="181"/>
        <v>25</v>
      </c>
    </row>
    <row r="5779" spans="1:8" x14ac:dyDescent="0.2">
      <c r="A5779" t="s">
        <v>7</v>
      </c>
      <c r="B5779" t="s">
        <v>23</v>
      </c>
      <c r="C5779" t="str">
        <f t="shared" si="182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si="181"/>
        <v>21</v>
      </c>
    </row>
    <row r="5780" spans="1:8" x14ac:dyDescent="0.2">
      <c r="A5780" t="s">
        <v>7</v>
      </c>
      <c r="B5780" t="s">
        <v>23</v>
      </c>
      <c r="C5780" t="str">
        <f t="shared" si="182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81"/>
        <v>20</v>
      </c>
    </row>
    <row r="5781" spans="1:8" x14ac:dyDescent="0.2">
      <c r="A5781" t="s">
        <v>7</v>
      </c>
      <c r="B5781" t="s">
        <v>23</v>
      </c>
      <c r="C5781" t="str">
        <f t="shared" si="182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81"/>
        <v>16</v>
      </c>
    </row>
    <row r="5782" spans="1:8" x14ac:dyDescent="0.2">
      <c r="A5782" t="s">
        <v>7</v>
      </c>
      <c r="B5782" t="s">
        <v>23</v>
      </c>
      <c r="C5782" t="str">
        <f t="shared" si="182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81"/>
        <v>12</v>
      </c>
    </row>
    <row r="5783" spans="1:8" x14ac:dyDescent="0.2">
      <c r="A5783" t="s">
        <v>7</v>
      </c>
      <c r="B5783" t="s">
        <v>23</v>
      </c>
      <c r="C5783" t="str">
        <f t="shared" si="182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81"/>
        <v>10</v>
      </c>
    </row>
    <row r="5784" spans="1:8" x14ac:dyDescent="0.2">
      <c r="A5784" t="s">
        <v>7</v>
      </c>
      <c r="B5784" t="s">
        <v>23</v>
      </c>
      <c r="C5784" t="str">
        <f t="shared" si="182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81"/>
        <v>9</v>
      </c>
    </row>
    <row r="5785" spans="1:8" x14ac:dyDescent="0.2">
      <c r="A5785" t="s">
        <v>7</v>
      </c>
      <c r="B5785" t="s">
        <v>23</v>
      </c>
      <c r="C5785" t="str">
        <f t="shared" si="182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81"/>
        <v>8</v>
      </c>
    </row>
    <row r="5786" spans="1:8" x14ac:dyDescent="0.2">
      <c r="A5786" t="s">
        <v>7</v>
      </c>
      <c r="B5786" t="s">
        <v>23</v>
      </c>
      <c r="C5786" t="str">
        <f t="shared" si="182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81"/>
        <v>7</v>
      </c>
    </row>
    <row r="5787" spans="1:8" x14ac:dyDescent="0.2">
      <c r="A5787" t="s">
        <v>7</v>
      </c>
      <c r="B5787" t="s">
        <v>23</v>
      </c>
      <c r="C5787" t="str">
        <f t="shared" si="182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81"/>
        <v>4</v>
      </c>
    </row>
    <row r="5788" spans="1:8" x14ac:dyDescent="0.2">
      <c r="A5788" t="s">
        <v>7</v>
      </c>
      <c r="B5788" t="s">
        <v>23</v>
      </c>
      <c r="C5788" t="str">
        <f t="shared" si="182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81"/>
        <v>4</v>
      </c>
    </row>
    <row r="5789" spans="1:8" x14ac:dyDescent="0.2">
      <c r="A5789" t="s">
        <v>7</v>
      </c>
      <c r="B5789" t="s">
        <v>23</v>
      </c>
      <c r="C5789" t="str">
        <f t="shared" si="182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81"/>
        <v>4</v>
      </c>
    </row>
    <row r="5790" spans="1:8" x14ac:dyDescent="0.2">
      <c r="A5790" t="s">
        <v>7</v>
      </c>
      <c r="B5790" t="s">
        <v>23</v>
      </c>
      <c r="C5790" t="str">
        <f t="shared" si="182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81"/>
        <v>4</v>
      </c>
    </row>
    <row r="5791" spans="1:8" x14ac:dyDescent="0.2">
      <c r="A5791" t="s">
        <v>7</v>
      </c>
      <c r="B5791" t="s">
        <v>23</v>
      </c>
      <c r="C5791" t="str">
        <f t="shared" si="182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81"/>
        <v>3</v>
      </c>
    </row>
    <row r="5792" spans="1:8" x14ac:dyDescent="0.2">
      <c r="A5792" t="s">
        <v>7</v>
      </c>
      <c r="B5792" t="s">
        <v>23</v>
      </c>
      <c r="C5792" t="str">
        <f t="shared" si="182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81"/>
        <v>3</v>
      </c>
    </row>
    <row r="5793" spans="1:8" x14ac:dyDescent="0.2">
      <c r="A5793" t="s">
        <v>7</v>
      </c>
      <c r="B5793" t="s">
        <v>23</v>
      </c>
      <c r="C5793" t="str">
        <f t="shared" si="182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81"/>
        <v>3</v>
      </c>
    </row>
    <row r="5794" spans="1:8" x14ac:dyDescent="0.2">
      <c r="A5794" t="s">
        <v>7</v>
      </c>
      <c r="B5794" t="s">
        <v>23</v>
      </c>
      <c r="C5794" t="str">
        <f t="shared" si="182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81"/>
        <v>2</v>
      </c>
    </row>
    <row r="5795" spans="1:8" x14ac:dyDescent="0.2">
      <c r="A5795" t="s">
        <v>7</v>
      </c>
      <c r="B5795" t="s">
        <v>23</v>
      </c>
      <c r="C5795" t="str">
        <f t="shared" si="182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81"/>
        <v>2</v>
      </c>
    </row>
    <row r="5796" spans="1:8" x14ac:dyDescent="0.2">
      <c r="A5796" t="s">
        <v>7</v>
      </c>
      <c r="B5796" t="s">
        <v>23</v>
      </c>
      <c r="C5796" t="str">
        <f t="shared" si="182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81"/>
        <v>2</v>
      </c>
    </row>
    <row r="5797" spans="1:8" x14ac:dyDescent="0.2">
      <c r="A5797" t="s">
        <v>7</v>
      </c>
      <c r="B5797" t="s">
        <v>23</v>
      </c>
      <c r="C5797" t="str">
        <f t="shared" si="182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81"/>
        <v>2</v>
      </c>
    </row>
    <row r="5798" spans="1:8" x14ac:dyDescent="0.2">
      <c r="A5798" t="s">
        <v>7</v>
      </c>
      <c r="B5798" t="s">
        <v>23</v>
      </c>
      <c r="C5798" t="str">
        <f t="shared" si="182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81"/>
        <v>2</v>
      </c>
    </row>
    <row r="5799" spans="1:8" x14ac:dyDescent="0.2">
      <c r="A5799" t="s">
        <v>7</v>
      </c>
      <c r="B5799" t="s">
        <v>23</v>
      </c>
      <c r="C5799" t="str">
        <f t="shared" si="182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81"/>
        <v>1</v>
      </c>
    </row>
    <row r="5800" spans="1:8" x14ac:dyDescent="0.2">
      <c r="A5800" t="s">
        <v>7</v>
      </c>
      <c r="B5800" t="s">
        <v>23</v>
      </c>
      <c r="C5800" t="str">
        <f t="shared" si="182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81"/>
        <v>1</v>
      </c>
    </row>
    <row r="5801" spans="1:8" x14ac:dyDescent="0.2">
      <c r="A5801" t="s">
        <v>7</v>
      </c>
      <c r="B5801" t="s">
        <v>23</v>
      </c>
      <c r="C5801" t="str">
        <f t="shared" si="182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81"/>
        <v>1</v>
      </c>
    </row>
    <row r="5802" spans="1:8" x14ac:dyDescent="0.2">
      <c r="A5802" t="s">
        <v>7</v>
      </c>
      <c r="B5802" t="s">
        <v>23</v>
      </c>
      <c r="C5802" t="str">
        <f t="shared" si="182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81"/>
        <v>0</v>
      </c>
    </row>
    <row r="5803" spans="1:8" x14ac:dyDescent="0.2">
      <c r="A5803" t="s">
        <v>7</v>
      </c>
      <c r="B5803" t="s">
        <v>23</v>
      </c>
      <c r="C5803" t="str">
        <f t="shared" si="182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81"/>
        <v>0</v>
      </c>
    </row>
    <row r="5804" spans="1:8" x14ac:dyDescent="0.2">
      <c r="A5804" t="s">
        <v>7</v>
      </c>
      <c r="B5804" t="s">
        <v>23</v>
      </c>
      <c r="C5804" t="str">
        <f t="shared" si="182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81"/>
        <v>0</v>
      </c>
    </row>
    <row r="5805" spans="1:8" x14ac:dyDescent="0.2">
      <c r="A5805" t="s">
        <v>7</v>
      </c>
      <c r="B5805" t="s">
        <v>23</v>
      </c>
      <c r="C5805" t="str">
        <f t="shared" si="182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81"/>
        <v>0</v>
      </c>
    </row>
    <row r="5806" spans="1:8" x14ac:dyDescent="0.2">
      <c r="A5806" t="s">
        <v>7</v>
      </c>
      <c r="B5806" t="s">
        <v>23</v>
      </c>
      <c r="C5806" t="str">
        <f t="shared" si="182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81"/>
        <v>-1</v>
      </c>
    </row>
    <row r="5807" spans="1:8" x14ac:dyDescent="0.2">
      <c r="A5807" t="s">
        <v>7</v>
      </c>
      <c r="B5807" t="s">
        <v>23</v>
      </c>
      <c r="C5807" t="str">
        <f t="shared" si="182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81"/>
        <v>-1</v>
      </c>
    </row>
    <row r="5808" spans="1:8" x14ac:dyDescent="0.2">
      <c r="A5808" t="s">
        <v>7</v>
      </c>
      <c r="B5808" t="s">
        <v>23</v>
      </c>
      <c r="C5808" t="str">
        <f t="shared" si="182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81"/>
        <v>-1</v>
      </c>
    </row>
    <row r="5809" spans="1:8" x14ac:dyDescent="0.2">
      <c r="A5809" t="s">
        <v>7</v>
      </c>
      <c r="B5809" t="s">
        <v>23</v>
      </c>
      <c r="C5809" t="str">
        <f t="shared" si="182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81"/>
        <v>-2</v>
      </c>
    </row>
    <row r="5810" spans="1:8" x14ac:dyDescent="0.2">
      <c r="A5810" t="s">
        <v>7</v>
      </c>
      <c r="B5810" t="s">
        <v>23</v>
      </c>
      <c r="C5810" t="str">
        <f t="shared" si="182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81"/>
        <v>-2</v>
      </c>
    </row>
    <row r="5811" spans="1:8" x14ac:dyDescent="0.2">
      <c r="A5811" t="s">
        <v>7</v>
      </c>
      <c r="B5811" t="s">
        <v>23</v>
      </c>
      <c r="C5811" t="str">
        <f t="shared" si="182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81"/>
        <v>-2</v>
      </c>
    </row>
    <row r="5812" spans="1:8" x14ac:dyDescent="0.2">
      <c r="A5812" t="s">
        <v>7</v>
      </c>
      <c r="B5812" t="s">
        <v>23</v>
      </c>
      <c r="C5812" t="str">
        <f t="shared" si="182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81"/>
        <v>-2</v>
      </c>
    </row>
    <row r="5813" spans="1:8" x14ac:dyDescent="0.2">
      <c r="A5813" t="s">
        <v>7</v>
      </c>
      <c r="B5813" t="s">
        <v>23</v>
      </c>
      <c r="C5813" t="str">
        <f t="shared" si="182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81"/>
        <v>-2</v>
      </c>
    </row>
    <row r="5814" spans="1:8" x14ac:dyDescent="0.2">
      <c r="A5814" t="s">
        <v>7</v>
      </c>
      <c r="B5814" t="s">
        <v>23</v>
      </c>
      <c r="C5814" t="str">
        <f t="shared" si="182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81"/>
        <v>-3</v>
      </c>
    </row>
    <row r="5815" spans="1:8" x14ac:dyDescent="0.2">
      <c r="A5815" t="s">
        <v>7</v>
      </c>
      <c r="B5815" t="s">
        <v>23</v>
      </c>
      <c r="C5815" t="str">
        <f t="shared" si="182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81"/>
        <v>-3</v>
      </c>
    </row>
    <row r="5816" spans="1:8" x14ac:dyDescent="0.2">
      <c r="A5816" t="s">
        <v>7</v>
      </c>
      <c r="B5816" t="s">
        <v>23</v>
      </c>
      <c r="C5816" t="str">
        <f t="shared" si="182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81"/>
        <v>-3</v>
      </c>
    </row>
    <row r="5817" spans="1:8" x14ac:dyDescent="0.2">
      <c r="A5817" t="s">
        <v>7</v>
      </c>
      <c r="B5817" t="s">
        <v>23</v>
      </c>
      <c r="C5817" t="str">
        <f t="shared" si="182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81"/>
        <v>-3</v>
      </c>
    </row>
    <row r="5818" spans="1:8" x14ac:dyDescent="0.2">
      <c r="A5818" t="s">
        <v>7</v>
      </c>
      <c r="B5818" t="s">
        <v>23</v>
      </c>
      <c r="C5818" t="str">
        <f t="shared" si="182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81"/>
        <v>-3</v>
      </c>
    </row>
    <row r="5819" spans="1:8" x14ac:dyDescent="0.2">
      <c r="A5819" t="s">
        <v>7</v>
      </c>
      <c r="B5819" t="s">
        <v>23</v>
      </c>
      <c r="C5819" t="str">
        <f t="shared" si="182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81"/>
        <v>-4</v>
      </c>
    </row>
    <row r="5820" spans="1:8" x14ac:dyDescent="0.2">
      <c r="A5820" t="s">
        <v>7</v>
      </c>
      <c r="B5820" t="s">
        <v>23</v>
      </c>
      <c r="C5820" t="str">
        <f t="shared" si="182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81"/>
        <v>-4</v>
      </c>
    </row>
    <row r="5821" spans="1:8" x14ac:dyDescent="0.2">
      <c r="A5821" t="s">
        <v>7</v>
      </c>
      <c r="B5821" t="s">
        <v>23</v>
      </c>
      <c r="C5821" t="str">
        <f t="shared" si="182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81"/>
        <v>-4</v>
      </c>
    </row>
    <row r="5822" spans="1:8" x14ac:dyDescent="0.2">
      <c r="A5822" t="s">
        <v>7</v>
      </c>
      <c r="B5822" t="s">
        <v>23</v>
      </c>
      <c r="C5822" t="str">
        <f t="shared" si="182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81"/>
        <v>-4</v>
      </c>
    </row>
    <row r="5823" spans="1:8" x14ac:dyDescent="0.2">
      <c r="A5823" t="s">
        <v>7</v>
      </c>
      <c r="B5823" t="s">
        <v>23</v>
      </c>
      <c r="C5823" t="str">
        <f t="shared" si="182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81"/>
        <v>-4</v>
      </c>
    </row>
    <row r="5824" spans="1:8" x14ac:dyDescent="0.2">
      <c r="A5824" t="s">
        <v>7</v>
      </c>
      <c r="B5824" t="s">
        <v>23</v>
      </c>
      <c r="C5824" t="str">
        <f t="shared" si="182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81"/>
        <v>-4</v>
      </c>
    </row>
    <row r="5825" spans="1:8" x14ac:dyDescent="0.2">
      <c r="A5825" t="s">
        <v>7</v>
      </c>
      <c r="B5825" t="s">
        <v>23</v>
      </c>
      <c r="C5825" t="str">
        <f t="shared" si="182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81"/>
        <v>-4</v>
      </c>
    </row>
    <row r="5826" spans="1:8" x14ac:dyDescent="0.2">
      <c r="A5826" t="s">
        <v>7</v>
      </c>
      <c r="B5826" t="s">
        <v>23</v>
      </c>
      <c r="C5826" t="str">
        <f t="shared" si="182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81"/>
        <v>-4</v>
      </c>
    </row>
    <row r="5827" spans="1:8" x14ac:dyDescent="0.2">
      <c r="A5827" t="s">
        <v>7</v>
      </c>
      <c r="B5827" t="s">
        <v>23</v>
      </c>
      <c r="C5827" t="str">
        <f t="shared" si="182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ref="H5827:H5890" si="183">F5827-G5827</f>
        <v>-4</v>
      </c>
    </row>
    <row r="5828" spans="1:8" x14ac:dyDescent="0.2">
      <c r="A5828" t="s">
        <v>7</v>
      </c>
      <c r="B5828" t="s">
        <v>23</v>
      </c>
      <c r="C5828" t="str">
        <f t="shared" ref="C5828:C5892" si="184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83"/>
        <v>-4</v>
      </c>
    </row>
    <row r="5829" spans="1:8" x14ac:dyDescent="0.2">
      <c r="A5829" t="s">
        <v>7</v>
      </c>
      <c r="B5829" t="s">
        <v>23</v>
      </c>
      <c r="C5829" t="str">
        <f t="shared" si="184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83"/>
        <v>-5</v>
      </c>
    </row>
    <row r="5830" spans="1:8" x14ac:dyDescent="0.2">
      <c r="A5830" t="s">
        <v>7</v>
      </c>
      <c r="B5830" t="s">
        <v>23</v>
      </c>
      <c r="C5830" t="str">
        <f t="shared" si="184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83"/>
        <v>-5</v>
      </c>
    </row>
    <row r="5831" spans="1:8" x14ac:dyDescent="0.2">
      <c r="A5831" t="s">
        <v>7</v>
      </c>
      <c r="B5831" t="s">
        <v>23</v>
      </c>
      <c r="C5831" t="str">
        <f t="shared" si="184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83"/>
        <v>-5</v>
      </c>
    </row>
    <row r="5832" spans="1:8" x14ac:dyDescent="0.2">
      <c r="A5832" t="s">
        <v>7</v>
      </c>
      <c r="B5832" t="s">
        <v>23</v>
      </c>
      <c r="C5832" t="str">
        <f t="shared" si="184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83"/>
        <v>-5</v>
      </c>
    </row>
    <row r="5833" spans="1:8" x14ac:dyDescent="0.2">
      <c r="A5833" t="s">
        <v>7</v>
      </c>
      <c r="B5833" t="s">
        <v>23</v>
      </c>
      <c r="C5833" t="str">
        <f t="shared" si="184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83"/>
        <v>-5</v>
      </c>
    </row>
    <row r="5834" spans="1:8" x14ac:dyDescent="0.2">
      <c r="A5834" t="s">
        <v>7</v>
      </c>
      <c r="B5834" t="s">
        <v>23</v>
      </c>
      <c r="C5834" t="str">
        <f t="shared" si="184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83"/>
        <v>-5</v>
      </c>
    </row>
    <row r="5835" spans="1:8" x14ac:dyDescent="0.2">
      <c r="A5835" t="s">
        <v>7</v>
      </c>
      <c r="B5835" t="s">
        <v>23</v>
      </c>
      <c r="C5835" t="str">
        <f t="shared" si="184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83"/>
        <v>-5</v>
      </c>
    </row>
    <row r="5836" spans="1:8" x14ac:dyDescent="0.2">
      <c r="A5836" t="s">
        <v>7</v>
      </c>
      <c r="B5836" t="s">
        <v>23</v>
      </c>
      <c r="C5836" t="str">
        <f t="shared" si="184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83"/>
        <v>-5</v>
      </c>
    </row>
    <row r="5837" spans="1:8" x14ac:dyDescent="0.2">
      <c r="A5837" t="s">
        <v>7</v>
      </c>
      <c r="B5837" t="s">
        <v>23</v>
      </c>
      <c r="C5837" t="str">
        <f t="shared" si="184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83"/>
        <v>-5</v>
      </c>
    </row>
    <row r="5838" spans="1:8" x14ac:dyDescent="0.2">
      <c r="A5838" t="s">
        <v>7</v>
      </c>
      <c r="B5838" t="s">
        <v>23</v>
      </c>
      <c r="C5838" t="str">
        <f t="shared" si="184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83"/>
        <v>-6</v>
      </c>
    </row>
    <row r="5839" spans="1:8" x14ac:dyDescent="0.2">
      <c r="A5839" t="s">
        <v>7</v>
      </c>
      <c r="B5839" t="s">
        <v>23</v>
      </c>
      <c r="C5839" t="str">
        <f t="shared" si="184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83"/>
        <v>-6</v>
      </c>
    </row>
    <row r="5840" spans="1:8" x14ac:dyDescent="0.2">
      <c r="A5840" t="s">
        <v>7</v>
      </c>
      <c r="B5840" t="s">
        <v>23</v>
      </c>
      <c r="C5840" t="str">
        <f t="shared" si="184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83"/>
        <v>-6</v>
      </c>
    </row>
    <row r="5841" spans="1:8" x14ac:dyDescent="0.2">
      <c r="A5841" t="s">
        <v>7</v>
      </c>
      <c r="B5841" t="s">
        <v>23</v>
      </c>
      <c r="C5841" t="str">
        <f t="shared" si="184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83"/>
        <v>-6</v>
      </c>
    </row>
    <row r="5842" spans="1:8" x14ac:dyDescent="0.2">
      <c r="A5842" t="s">
        <v>7</v>
      </c>
      <c r="B5842" t="s">
        <v>23</v>
      </c>
      <c r="C5842" t="str">
        <f t="shared" si="184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83"/>
        <v>-6</v>
      </c>
    </row>
    <row r="5843" spans="1:8" x14ac:dyDescent="0.2">
      <c r="A5843" t="s">
        <v>7</v>
      </c>
      <c r="B5843" t="s">
        <v>23</v>
      </c>
      <c r="C5843" t="str">
        <f t="shared" si="184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si="183"/>
        <v>-6</v>
      </c>
    </row>
    <row r="5844" spans="1:8" x14ac:dyDescent="0.2">
      <c r="A5844" t="s">
        <v>19</v>
      </c>
      <c r="B5844" t="s">
        <v>23</v>
      </c>
      <c r="C5844" t="str">
        <f t="shared" si="184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83"/>
        <v>-6</v>
      </c>
    </row>
    <row r="5845" spans="1:8" x14ac:dyDescent="0.2">
      <c r="A5845" t="s">
        <v>7</v>
      </c>
      <c r="B5845" t="s">
        <v>23</v>
      </c>
      <c r="C5845" t="str">
        <f t="shared" si="184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83"/>
        <v>-6</v>
      </c>
    </row>
    <row r="5846" spans="1:8" x14ac:dyDescent="0.2">
      <c r="A5846" t="s">
        <v>7</v>
      </c>
      <c r="B5846" t="s">
        <v>23</v>
      </c>
      <c r="C5846" t="str">
        <f t="shared" si="184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83"/>
        <v>-6</v>
      </c>
    </row>
    <row r="5847" spans="1:8" x14ac:dyDescent="0.2">
      <c r="A5847" t="s">
        <v>7</v>
      </c>
      <c r="B5847" t="s">
        <v>23</v>
      </c>
      <c r="C5847" t="str">
        <f t="shared" si="184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83"/>
        <v>-6</v>
      </c>
    </row>
    <row r="5848" spans="1:8" x14ac:dyDescent="0.2">
      <c r="A5848" t="s">
        <v>7</v>
      </c>
      <c r="B5848" t="s">
        <v>23</v>
      </c>
      <c r="C5848" t="str">
        <f t="shared" si="184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83"/>
        <v>-6</v>
      </c>
    </row>
    <row r="5849" spans="1:8" x14ac:dyDescent="0.2">
      <c r="A5849" t="s">
        <v>7</v>
      </c>
      <c r="B5849" t="s">
        <v>23</v>
      </c>
      <c r="C5849" t="str">
        <f t="shared" si="184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83"/>
        <v>-6</v>
      </c>
    </row>
    <row r="5850" spans="1:8" x14ac:dyDescent="0.2">
      <c r="A5850" t="s">
        <v>7</v>
      </c>
      <c r="B5850" t="s">
        <v>23</v>
      </c>
      <c r="C5850" t="str">
        <f t="shared" si="184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83"/>
        <v>-6</v>
      </c>
    </row>
    <row r="5851" spans="1:8" x14ac:dyDescent="0.2">
      <c r="A5851" t="s">
        <v>7</v>
      </c>
      <c r="B5851" t="s">
        <v>23</v>
      </c>
      <c r="C5851" t="str">
        <f t="shared" si="184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83"/>
        <v>-6</v>
      </c>
    </row>
    <row r="5852" spans="1:8" x14ac:dyDescent="0.2">
      <c r="A5852" t="s">
        <v>7</v>
      </c>
      <c r="B5852" t="s">
        <v>23</v>
      </c>
      <c r="C5852" t="str">
        <f t="shared" si="184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83"/>
        <v>-6</v>
      </c>
    </row>
    <row r="5853" spans="1:8" x14ac:dyDescent="0.2">
      <c r="A5853" t="s">
        <v>7</v>
      </c>
      <c r="B5853" t="s">
        <v>23</v>
      </c>
      <c r="C5853" t="str">
        <f t="shared" si="184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83"/>
        <v>-6</v>
      </c>
    </row>
    <row r="5854" spans="1:8" x14ac:dyDescent="0.2">
      <c r="A5854" t="s">
        <v>7</v>
      </c>
      <c r="B5854" t="s">
        <v>23</v>
      </c>
      <c r="C5854" t="str">
        <f t="shared" si="184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83"/>
        <v>-6</v>
      </c>
    </row>
    <row r="5855" spans="1:8" x14ac:dyDescent="0.2">
      <c r="A5855" t="s">
        <v>7</v>
      </c>
      <c r="B5855" t="s">
        <v>23</v>
      </c>
      <c r="C5855" t="str">
        <f t="shared" si="184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83"/>
        <v>-6</v>
      </c>
    </row>
    <row r="5856" spans="1:8" x14ac:dyDescent="0.2">
      <c r="A5856" t="s">
        <v>7</v>
      </c>
      <c r="B5856" t="s">
        <v>23</v>
      </c>
      <c r="C5856" t="str">
        <f t="shared" si="184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83"/>
        <v>-6</v>
      </c>
    </row>
    <row r="5857" spans="1:8" x14ac:dyDescent="0.2">
      <c r="A5857" t="s">
        <v>7</v>
      </c>
      <c r="B5857" t="s">
        <v>23</v>
      </c>
      <c r="C5857" t="str">
        <f t="shared" si="184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83"/>
        <v>-6</v>
      </c>
    </row>
    <row r="5858" spans="1:8" x14ac:dyDescent="0.2">
      <c r="A5858" t="s">
        <v>7</v>
      </c>
      <c r="B5858" t="s">
        <v>23</v>
      </c>
      <c r="C5858" t="str">
        <f t="shared" si="184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83"/>
        <v>-6</v>
      </c>
    </row>
    <row r="5859" spans="1:8" x14ac:dyDescent="0.2">
      <c r="A5859" t="s">
        <v>7</v>
      </c>
      <c r="B5859" t="s">
        <v>23</v>
      </c>
      <c r="C5859" t="str">
        <f t="shared" si="184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83"/>
        <v>-6</v>
      </c>
    </row>
    <row r="5860" spans="1:8" x14ac:dyDescent="0.2">
      <c r="A5860" t="s">
        <v>7</v>
      </c>
      <c r="B5860" t="s">
        <v>23</v>
      </c>
      <c r="C5860" t="str">
        <f t="shared" si="184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83"/>
        <v>-6</v>
      </c>
    </row>
    <row r="5861" spans="1:8" x14ac:dyDescent="0.2">
      <c r="A5861" t="s">
        <v>7</v>
      </c>
      <c r="B5861" t="s">
        <v>23</v>
      </c>
      <c r="C5861" t="str">
        <f t="shared" si="184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83"/>
        <v>-6</v>
      </c>
    </row>
    <row r="5862" spans="1:8" x14ac:dyDescent="0.2">
      <c r="A5862" t="s">
        <v>7</v>
      </c>
      <c r="B5862" t="s">
        <v>23</v>
      </c>
      <c r="C5862" t="str">
        <f t="shared" si="184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83"/>
        <v>-6</v>
      </c>
    </row>
    <row r="5863" spans="1:8" x14ac:dyDescent="0.2">
      <c r="A5863" t="s">
        <v>7</v>
      </c>
      <c r="B5863" t="s">
        <v>23</v>
      </c>
      <c r="C5863" t="str">
        <f t="shared" si="184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83"/>
        <v>-6</v>
      </c>
    </row>
    <row r="5864" spans="1:8" x14ac:dyDescent="0.2">
      <c r="A5864" t="s">
        <v>7</v>
      </c>
      <c r="B5864" t="s">
        <v>23</v>
      </c>
      <c r="C5864" t="str">
        <f t="shared" si="184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83"/>
        <v>-6</v>
      </c>
    </row>
    <row r="5865" spans="1:8" x14ac:dyDescent="0.2">
      <c r="A5865" t="s">
        <v>7</v>
      </c>
      <c r="B5865" t="s">
        <v>23</v>
      </c>
      <c r="C5865" t="str">
        <f t="shared" si="184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83"/>
        <v>-6</v>
      </c>
    </row>
    <row r="5866" spans="1:8" x14ac:dyDescent="0.2">
      <c r="A5866" t="s">
        <v>7</v>
      </c>
      <c r="B5866" t="s">
        <v>23</v>
      </c>
      <c r="C5866" t="str">
        <f t="shared" si="184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83"/>
        <v>-6</v>
      </c>
    </row>
    <row r="5867" spans="1:8" x14ac:dyDescent="0.2">
      <c r="A5867" t="s">
        <v>7</v>
      </c>
      <c r="B5867" t="s">
        <v>23</v>
      </c>
      <c r="C5867" t="str">
        <f t="shared" si="184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83"/>
        <v>-6</v>
      </c>
    </row>
    <row r="5868" spans="1:8" x14ac:dyDescent="0.2">
      <c r="A5868" t="s">
        <v>7</v>
      </c>
      <c r="B5868" t="s">
        <v>23</v>
      </c>
      <c r="C5868" t="str">
        <f t="shared" si="184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83"/>
        <v>-6</v>
      </c>
    </row>
    <row r="5869" spans="1:8" x14ac:dyDescent="0.2">
      <c r="A5869" t="s">
        <v>7</v>
      </c>
      <c r="B5869" t="s">
        <v>23</v>
      </c>
      <c r="C5869" t="str">
        <f t="shared" si="184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83"/>
        <v>-6</v>
      </c>
    </row>
    <row r="5870" spans="1:8" x14ac:dyDescent="0.2">
      <c r="A5870" t="s">
        <v>7</v>
      </c>
      <c r="B5870" t="s">
        <v>23</v>
      </c>
      <c r="C5870" t="str">
        <f t="shared" si="184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83"/>
        <v>-6</v>
      </c>
    </row>
    <row r="5871" spans="1:8" x14ac:dyDescent="0.2">
      <c r="A5871" t="s">
        <v>7</v>
      </c>
      <c r="B5871" t="s">
        <v>23</v>
      </c>
      <c r="C5871" t="str">
        <f t="shared" si="184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83"/>
        <v>-6</v>
      </c>
    </row>
    <row r="5872" spans="1:8" x14ac:dyDescent="0.2">
      <c r="A5872" t="s">
        <v>7</v>
      </c>
      <c r="B5872" t="s">
        <v>23</v>
      </c>
      <c r="C5872" t="str">
        <f t="shared" si="184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83"/>
        <v>-6</v>
      </c>
    </row>
    <row r="5873" spans="1:8" x14ac:dyDescent="0.2">
      <c r="A5873" t="s">
        <v>7</v>
      </c>
      <c r="B5873" t="s">
        <v>23</v>
      </c>
      <c r="C5873" t="str">
        <f t="shared" si="184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83"/>
        <v>-6</v>
      </c>
    </row>
    <row r="5874" spans="1:8" x14ac:dyDescent="0.2">
      <c r="A5874" t="s">
        <v>7</v>
      </c>
      <c r="B5874" t="s">
        <v>23</v>
      </c>
      <c r="C5874" t="str">
        <f t="shared" si="184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83"/>
        <v>-6</v>
      </c>
    </row>
    <row r="5875" spans="1:8" x14ac:dyDescent="0.2">
      <c r="A5875" t="s">
        <v>7</v>
      </c>
      <c r="B5875" t="s">
        <v>23</v>
      </c>
      <c r="C5875" t="str">
        <f t="shared" si="184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83"/>
        <v>-6</v>
      </c>
    </row>
    <row r="5876" spans="1:8" x14ac:dyDescent="0.2">
      <c r="A5876" t="s">
        <v>7</v>
      </c>
      <c r="B5876" t="s">
        <v>23</v>
      </c>
      <c r="C5876" t="str">
        <f t="shared" si="184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83"/>
        <v>-6</v>
      </c>
    </row>
    <row r="5877" spans="1:8" x14ac:dyDescent="0.2">
      <c r="A5877" t="s">
        <v>7</v>
      </c>
      <c r="B5877" t="s">
        <v>23</v>
      </c>
      <c r="C5877" t="str">
        <f t="shared" si="184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83"/>
        <v>-6</v>
      </c>
    </row>
    <row r="5878" spans="1:8" x14ac:dyDescent="0.2">
      <c r="A5878" t="s">
        <v>7</v>
      </c>
      <c r="B5878" t="s">
        <v>23</v>
      </c>
      <c r="C5878" t="str">
        <f t="shared" si="184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83"/>
        <v>-6</v>
      </c>
    </row>
    <row r="5879" spans="1:8" x14ac:dyDescent="0.2">
      <c r="A5879" t="s">
        <v>7</v>
      </c>
      <c r="B5879" t="s">
        <v>23</v>
      </c>
      <c r="C5879" t="str">
        <f t="shared" si="184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83"/>
        <v>-6</v>
      </c>
    </row>
    <row r="5880" spans="1:8" x14ac:dyDescent="0.2">
      <c r="A5880" t="s">
        <v>7</v>
      </c>
      <c r="B5880" t="s">
        <v>23</v>
      </c>
      <c r="C5880" t="str">
        <f t="shared" si="184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83"/>
        <v>-6</v>
      </c>
    </row>
    <row r="5881" spans="1:8" x14ac:dyDescent="0.2">
      <c r="A5881" t="s">
        <v>7</v>
      </c>
      <c r="B5881" t="s">
        <v>23</v>
      </c>
      <c r="C5881" t="str">
        <f t="shared" si="184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83"/>
        <v>-6</v>
      </c>
    </row>
    <row r="5882" spans="1:8" x14ac:dyDescent="0.2">
      <c r="A5882" t="s">
        <v>7</v>
      </c>
      <c r="B5882" t="s">
        <v>23</v>
      </c>
      <c r="C5882" t="str">
        <f t="shared" si="184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83"/>
        <v>-6</v>
      </c>
    </row>
    <row r="5883" spans="1:8" x14ac:dyDescent="0.2">
      <c r="A5883" t="s">
        <v>7</v>
      </c>
      <c r="B5883" t="s">
        <v>23</v>
      </c>
      <c r="C5883" t="str">
        <f t="shared" si="184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83"/>
        <v>-6</v>
      </c>
    </row>
    <row r="5884" spans="1:8" x14ac:dyDescent="0.2">
      <c r="A5884" t="s">
        <v>7</v>
      </c>
      <c r="B5884" t="s">
        <v>23</v>
      </c>
      <c r="C5884" t="str">
        <f t="shared" si="184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83"/>
        <v>-6</v>
      </c>
    </row>
    <row r="5885" spans="1:8" x14ac:dyDescent="0.2">
      <c r="A5885" t="s">
        <v>7</v>
      </c>
      <c r="B5885" t="s">
        <v>23</v>
      </c>
      <c r="C5885" t="str">
        <f t="shared" si="184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83"/>
        <v>-6</v>
      </c>
    </row>
    <row r="5886" spans="1:8" x14ac:dyDescent="0.2">
      <c r="A5886" t="s">
        <v>7</v>
      </c>
      <c r="B5886" t="s">
        <v>23</v>
      </c>
      <c r="C5886" t="str">
        <f t="shared" si="184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83"/>
        <v>-6</v>
      </c>
    </row>
    <row r="5887" spans="1:8" x14ac:dyDescent="0.2">
      <c r="A5887" t="s">
        <v>7</v>
      </c>
      <c r="B5887" t="s">
        <v>23</v>
      </c>
      <c r="C5887" t="str">
        <f t="shared" si="184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83"/>
        <v>-6</v>
      </c>
    </row>
    <row r="5888" spans="1:8" x14ac:dyDescent="0.2">
      <c r="A5888" t="s">
        <v>7</v>
      </c>
      <c r="B5888" t="s">
        <v>23</v>
      </c>
      <c r="C5888" t="str">
        <f t="shared" si="184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83"/>
        <v>-6</v>
      </c>
    </row>
    <row r="5889" spans="1:8" x14ac:dyDescent="0.2">
      <c r="A5889" t="s">
        <v>7</v>
      </c>
      <c r="B5889" t="s">
        <v>23</v>
      </c>
      <c r="C5889" t="str">
        <f t="shared" si="184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83"/>
        <v>-6</v>
      </c>
    </row>
    <row r="5890" spans="1:8" x14ac:dyDescent="0.2">
      <c r="A5890" t="s">
        <v>7</v>
      </c>
      <c r="B5890" t="s">
        <v>23</v>
      </c>
      <c r="C5890" t="str">
        <f t="shared" si="184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83"/>
        <v>-6</v>
      </c>
    </row>
    <row r="5891" spans="1:8" x14ac:dyDescent="0.2">
      <c r="A5891" t="s">
        <v>7</v>
      </c>
      <c r="B5891" t="s">
        <v>23</v>
      </c>
      <c r="C5891" t="str">
        <f t="shared" si="184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ref="H5891:H5954" si="185">F5891-G5891</f>
        <v>-6</v>
      </c>
    </row>
    <row r="5892" spans="1:8" x14ac:dyDescent="0.2">
      <c r="A5892" t="s">
        <v>7</v>
      </c>
      <c r="B5892" t="s">
        <v>25</v>
      </c>
      <c r="C5892" t="str">
        <f t="shared" si="184"/>
        <v>Cumple</v>
      </c>
      <c r="D5892">
        <v>2349</v>
      </c>
      <c r="E5892" s="19" t="s">
        <v>8</v>
      </c>
      <c r="F5892">
        <v>22</v>
      </c>
      <c r="G5892">
        <v>8</v>
      </c>
      <c r="H5892">
        <f t="shared" si="185"/>
        <v>14</v>
      </c>
    </row>
    <row r="5893" spans="1:8" x14ac:dyDescent="0.2">
      <c r="A5893" t="s">
        <v>7</v>
      </c>
      <c r="B5893" t="s">
        <v>25</v>
      </c>
      <c r="C5893" t="str">
        <f t="shared" ref="C5893:C5956" si="186">IF(H5893&gt;=0,"Cumple","No cumple")</f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si="185"/>
        <v>13</v>
      </c>
    </row>
    <row r="5894" spans="1:8" x14ac:dyDescent="0.2">
      <c r="A5894" t="s">
        <v>7</v>
      </c>
      <c r="B5894" t="s">
        <v>25</v>
      </c>
      <c r="C5894" t="str">
        <f t="shared" si="186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85"/>
        <v>10</v>
      </c>
    </row>
    <row r="5895" spans="1:8" x14ac:dyDescent="0.2">
      <c r="A5895" t="s">
        <v>7</v>
      </c>
      <c r="B5895" t="s">
        <v>25</v>
      </c>
      <c r="C5895" t="str">
        <f t="shared" si="186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85"/>
        <v>10</v>
      </c>
    </row>
    <row r="5896" spans="1:8" x14ac:dyDescent="0.2">
      <c r="A5896" t="s">
        <v>7</v>
      </c>
      <c r="B5896" t="s">
        <v>25</v>
      </c>
      <c r="C5896" t="str">
        <f t="shared" si="186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85"/>
        <v>10</v>
      </c>
    </row>
    <row r="5897" spans="1:8" x14ac:dyDescent="0.2">
      <c r="A5897" t="s">
        <v>7</v>
      </c>
      <c r="B5897" t="s">
        <v>25</v>
      </c>
      <c r="C5897" t="str">
        <f t="shared" si="186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85"/>
        <v>10</v>
      </c>
    </row>
    <row r="5898" spans="1:8" x14ac:dyDescent="0.2">
      <c r="A5898" t="s">
        <v>7</v>
      </c>
      <c r="B5898" t="s">
        <v>25</v>
      </c>
      <c r="C5898" t="str">
        <f t="shared" si="186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85"/>
        <v>8</v>
      </c>
    </row>
    <row r="5899" spans="1:8" x14ac:dyDescent="0.2">
      <c r="A5899" t="s">
        <v>7</v>
      </c>
      <c r="B5899" t="s">
        <v>25</v>
      </c>
      <c r="C5899" t="str">
        <f t="shared" si="186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85"/>
        <v>8</v>
      </c>
    </row>
    <row r="5900" spans="1:8" x14ac:dyDescent="0.2">
      <c r="A5900" t="s">
        <v>7</v>
      </c>
      <c r="B5900" t="s">
        <v>25</v>
      </c>
      <c r="C5900" t="str">
        <f t="shared" si="186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85"/>
        <v>8</v>
      </c>
    </row>
    <row r="5901" spans="1:8" x14ac:dyDescent="0.2">
      <c r="A5901" t="s">
        <v>7</v>
      </c>
      <c r="B5901" t="s">
        <v>25</v>
      </c>
      <c r="C5901" t="str">
        <f t="shared" si="186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85"/>
        <v>8</v>
      </c>
    </row>
    <row r="5902" spans="1:8" x14ac:dyDescent="0.2">
      <c r="A5902" t="s">
        <v>7</v>
      </c>
      <c r="B5902" t="s">
        <v>25</v>
      </c>
      <c r="C5902" t="str">
        <f t="shared" si="186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85"/>
        <v>8</v>
      </c>
    </row>
    <row r="5903" spans="1:8" x14ac:dyDescent="0.2">
      <c r="A5903" t="s">
        <v>7</v>
      </c>
      <c r="B5903" t="s">
        <v>25</v>
      </c>
      <c r="C5903" t="str">
        <f t="shared" si="186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85"/>
        <v>7</v>
      </c>
    </row>
    <row r="5904" spans="1:8" x14ac:dyDescent="0.2">
      <c r="A5904" t="s">
        <v>7</v>
      </c>
      <c r="B5904" t="s">
        <v>25</v>
      </c>
      <c r="C5904" t="str">
        <f t="shared" si="186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85"/>
        <v>7</v>
      </c>
    </row>
    <row r="5905" spans="1:8" x14ac:dyDescent="0.2">
      <c r="A5905" t="s">
        <v>7</v>
      </c>
      <c r="B5905" t="s">
        <v>25</v>
      </c>
      <c r="C5905" t="str">
        <f t="shared" si="186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85"/>
        <v>9</v>
      </c>
    </row>
    <row r="5906" spans="1:8" x14ac:dyDescent="0.2">
      <c r="A5906" t="s">
        <v>7</v>
      </c>
      <c r="B5906" t="s">
        <v>25</v>
      </c>
      <c r="C5906" t="str">
        <f t="shared" si="186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85"/>
        <v>6</v>
      </c>
    </row>
    <row r="5907" spans="1:8" x14ac:dyDescent="0.2">
      <c r="A5907" t="s">
        <v>7</v>
      </c>
      <c r="B5907" t="s">
        <v>25</v>
      </c>
      <c r="C5907" t="str">
        <f t="shared" si="186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85"/>
        <v>6</v>
      </c>
    </row>
    <row r="5908" spans="1:8" x14ac:dyDescent="0.2">
      <c r="A5908" t="s">
        <v>7</v>
      </c>
      <c r="B5908" t="s">
        <v>25</v>
      </c>
      <c r="C5908" t="str">
        <f t="shared" si="186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85"/>
        <v>6</v>
      </c>
    </row>
    <row r="5909" spans="1:8" x14ac:dyDescent="0.2">
      <c r="A5909" t="s">
        <v>7</v>
      </c>
      <c r="B5909" t="s">
        <v>25</v>
      </c>
      <c r="C5909" t="str">
        <f t="shared" si="186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85"/>
        <v>6</v>
      </c>
    </row>
    <row r="5910" spans="1:8" x14ac:dyDescent="0.2">
      <c r="A5910" t="s">
        <v>7</v>
      </c>
      <c r="B5910" t="s">
        <v>25</v>
      </c>
      <c r="C5910" t="str">
        <f t="shared" si="186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85"/>
        <v>6</v>
      </c>
    </row>
    <row r="5911" spans="1:8" x14ac:dyDescent="0.2">
      <c r="A5911" t="s">
        <v>7</v>
      </c>
      <c r="B5911" t="s">
        <v>25</v>
      </c>
      <c r="C5911" t="str">
        <f t="shared" si="186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85"/>
        <v>5</v>
      </c>
    </row>
    <row r="5912" spans="1:8" x14ac:dyDescent="0.2">
      <c r="A5912" t="s">
        <v>7</v>
      </c>
      <c r="B5912" t="s">
        <v>25</v>
      </c>
      <c r="C5912" t="str">
        <f t="shared" si="186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85"/>
        <v>5</v>
      </c>
    </row>
    <row r="5913" spans="1:8" x14ac:dyDescent="0.2">
      <c r="A5913" t="s">
        <v>7</v>
      </c>
      <c r="B5913" t="s">
        <v>25</v>
      </c>
      <c r="C5913" t="str">
        <f t="shared" si="186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85"/>
        <v>5</v>
      </c>
    </row>
    <row r="5914" spans="1:8" x14ac:dyDescent="0.2">
      <c r="A5914" t="s">
        <v>7</v>
      </c>
      <c r="B5914" t="s">
        <v>25</v>
      </c>
      <c r="C5914" t="str">
        <f t="shared" si="186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85"/>
        <v>5</v>
      </c>
    </row>
    <row r="5915" spans="1:8" x14ac:dyDescent="0.2">
      <c r="A5915" t="s">
        <v>7</v>
      </c>
      <c r="B5915" t="s">
        <v>25</v>
      </c>
      <c r="C5915" t="str">
        <f t="shared" si="186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85"/>
        <v>5</v>
      </c>
    </row>
    <row r="5916" spans="1:8" x14ac:dyDescent="0.2">
      <c r="A5916" t="s">
        <v>7</v>
      </c>
      <c r="B5916" t="s">
        <v>25</v>
      </c>
      <c r="C5916" t="str">
        <f t="shared" si="186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85"/>
        <v>5</v>
      </c>
    </row>
    <row r="5917" spans="1:8" x14ac:dyDescent="0.2">
      <c r="A5917" t="s">
        <v>7</v>
      </c>
      <c r="B5917" t="s">
        <v>25</v>
      </c>
      <c r="C5917" t="str">
        <f t="shared" si="186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85"/>
        <v>5</v>
      </c>
    </row>
    <row r="5918" spans="1:8" x14ac:dyDescent="0.2">
      <c r="A5918" t="s">
        <v>7</v>
      </c>
      <c r="B5918" t="s">
        <v>25</v>
      </c>
      <c r="C5918" t="str">
        <f t="shared" si="186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85"/>
        <v>4</v>
      </c>
    </row>
    <row r="5919" spans="1:8" x14ac:dyDescent="0.2">
      <c r="A5919" t="s">
        <v>7</v>
      </c>
      <c r="B5919" t="s">
        <v>25</v>
      </c>
      <c r="C5919" t="str">
        <f t="shared" si="186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85"/>
        <v>4</v>
      </c>
    </row>
    <row r="5920" spans="1:8" x14ac:dyDescent="0.2">
      <c r="A5920" t="s">
        <v>7</v>
      </c>
      <c r="B5920" t="s">
        <v>25</v>
      </c>
      <c r="C5920" t="str">
        <f t="shared" si="186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85"/>
        <v>4</v>
      </c>
    </row>
    <row r="5921" spans="1:8" x14ac:dyDescent="0.2">
      <c r="A5921" t="s">
        <v>7</v>
      </c>
      <c r="B5921" t="s">
        <v>25</v>
      </c>
      <c r="C5921" t="str">
        <f t="shared" si="186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85"/>
        <v>4</v>
      </c>
    </row>
    <row r="5922" spans="1:8" x14ac:dyDescent="0.2">
      <c r="A5922" t="s">
        <v>7</v>
      </c>
      <c r="B5922" t="s">
        <v>25</v>
      </c>
      <c r="C5922" t="str">
        <f t="shared" si="186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85"/>
        <v>4</v>
      </c>
    </row>
    <row r="5923" spans="1:8" x14ac:dyDescent="0.2">
      <c r="A5923" t="s">
        <v>7</v>
      </c>
      <c r="B5923" t="s">
        <v>25</v>
      </c>
      <c r="C5923" t="str">
        <f t="shared" si="186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85"/>
        <v>3</v>
      </c>
    </row>
    <row r="5924" spans="1:8" x14ac:dyDescent="0.2">
      <c r="A5924" t="s">
        <v>7</v>
      </c>
      <c r="B5924" t="s">
        <v>25</v>
      </c>
      <c r="C5924" t="str">
        <f t="shared" si="186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85"/>
        <v>3</v>
      </c>
    </row>
    <row r="5925" spans="1:8" x14ac:dyDescent="0.2">
      <c r="A5925" t="s">
        <v>7</v>
      </c>
      <c r="B5925" t="s">
        <v>25</v>
      </c>
      <c r="C5925" t="str">
        <f t="shared" si="186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85"/>
        <v>5</v>
      </c>
    </row>
    <row r="5926" spans="1:8" x14ac:dyDescent="0.2">
      <c r="A5926" t="s">
        <v>7</v>
      </c>
      <c r="B5926" t="s">
        <v>25</v>
      </c>
      <c r="C5926" t="str">
        <f t="shared" si="186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85"/>
        <v>3</v>
      </c>
    </row>
    <row r="5927" spans="1:8" x14ac:dyDescent="0.2">
      <c r="A5927" t="s">
        <v>7</v>
      </c>
      <c r="B5927" t="s">
        <v>25</v>
      </c>
      <c r="C5927" t="str">
        <f t="shared" si="186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85"/>
        <v>3</v>
      </c>
    </row>
    <row r="5928" spans="1:8" x14ac:dyDescent="0.2">
      <c r="A5928" t="s">
        <v>7</v>
      </c>
      <c r="B5928" t="s">
        <v>25</v>
      </c>
      <c r="C5928" t="str">
        <f t="shared" si="186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85"/>
        <v>5</v>
      </c>
    </row>
    <row r="5929" spans="1:8" x14ac:dyDescent="0.2">
      <c r="A5929" t="s">
        <v>7</v>
      </c>
      <c r="B5929" t="s">
        <v>25</v>
      </c>
      <c r="C5929" t="str">
        <f t="shared" si="186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85"/>
        <v>2</v>
      </c>
    </row>
    <row r="5930" spans="1:8" x14ac:dyDescent="0.2">
      <c r="A5930" t="s">
        <v>7</v>
      </c>
      <c r="B5930" t="s">
        <v>25</v>
      </c>
      <c r="C5930" t="str">
        <f t="shared" si="186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85"/>
        <v>4</v>
      </c>
    </row>
    <row r="5931" spans="1:8" x14ac:dyDescent="0.2">
      <c r="A5931" t="s">
        <v>7</v>
      </c>
      <c r="B5931" t="s">
        <v>25</v>
      </c>
      <c r="C5931" t="str">
        <f t="shared" si="186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85"/>
        <v>2</v>
      </c>
    </row>
    <row r="5932" spans="1:8" x14ac:dyDescent="0.2">
      <c r="A5932" t="s">
        <v>7</v>
      </c>
      <c r="B5932" t="s">
        <v>25</v>
      </c>
      <c r="C5932" t="str">
        <f t="shared" si="186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85"/>
        <v>4</v>
      </c>
    </row>
    <row r="5933" spans="1:8" x14ac:dyDescent="0.2">
      <c r="A5933" t="s">
        <v>7</v>
      </c>
      <c r="B5933" t="s">
        <v>25</v>
      </c>
      <c r="C5933" t="str">
        <f t="shared" si="186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85"/>
        <v>2</v>
      </c>
    </row>
    <row r="5934" spans="1:8" x14ac:dyDescent="0.2">
      <c r="A5934" t="s">
        <v>7</v>
      </c>
      <c r="B5934" t="s">
        <v>25</v>
      </c>
      <c r="C5934" t="str">
        <f t="shared" si="186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85"/>
        <v>2</v>
      </c>
    </row>
    <row r="5935" spans="1:8" x14ac:dyDescent="0.2">
      <c r="A5935" t="s">
        <v>7</v>
      </c>
      <c r="B5935" t="s">
        <v>25</v>
      </c>
      <c r="C5935" t="str">
        <f t="shared" si="186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85"/>
        <v>4</v>
      </c>
    </row>
    <row r="5936" spans="1:8" x14ac:dyDescent="0.2">
      <c r="A5936" t="s">
        <v>7</v>
      </c>
      <c r="B5936" t="s">
        <v>25</v>
      </c>
      <c r="C5936" t="str">
        <f t="shared" si="186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85"/>
        <v>2</v>
      </c>
    </row>
    <row r="5937" spans="1:8" x14ac:dyDescent="0.2">
      <c r="A5937" t="s">
        <v>7</v>
      </c>
      <c r="B5937" t="s">
        <v>25</v>
      </c>
      <c r="C5937" t="str">
        <f t="shared" si="186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85"/>
        <v>2</v>
      </c>
    </row>
    <row r="5938" spans="1:8" x14ac:dyDescent="0.2">
      <c r="A5938" t="s">
        <v>7</v>
      </c>
      <c r="B5938" t="s">
        <v>25</v>
      </c>
      <c r="C5938" t="str">
        <f t="shared" si="186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85"/>
        <v>2</v>
      </c>
    </row>
    <row r="5939" spans="1:8" x14ac:dyDescent="0.2">
      <c r="A5939" t="s">
        <v>7</v>
      </c>
      <c r="B5939" t="s">
        <v>25</v>
      </c>
      <c r="C5939" t="str">
        <f t="shared" si="186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85"/>
        <v>4</v>
      </c>
    </row>
    <row r="5940" spans="1:8" x14ac:dyDescent="0.2">
      <c r="A5940" t="s">
        <v>7</v>
      </c>
      <c r="B5940" t="s">
        <v>25</v>
      </c>
      <c r="C5940" t="str">
        <f t="shared" si="186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85"/>
        <v>4</v>
      </c>
    </row>
    <row r="5941" spans="1:8" x14ac:dyDescent="0.2">
      <c r="A5941" t="s">
        <v>7</v>
      </c>
      <c r="B5941" t="s">
        <v>25</v>
      </c>
      <c r="C5941" t="str">
        <f t="shared" si="186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85"/>
        <v>2</v>
      </c>
    </row>
    <row r="5942" spans="1:8" x14ac:dyDescent="0.2">
      <c r="A5942" t="s">
        <v>7</v>
      </c>
      <c r="B5942" t="s">
        <v>25</v>
      </c>
      <c r="C5942" t="str">
        <f t="shared" si="186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85"/>
        <v>2</v>
      </c>
    </row>
    <row r="5943" spans="1:8" x14ac:dyDescent="0.2">
      <c r="A5943" t="s">
        <v>7</v>
      </c>
      <c r="B5943" t="s">
        <v>25</v>
      </c>
      <c r="C5943" t="str">
        <f t="shared" si="186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85"/>
        <v>2</v>
      </c>
    </row>
    <row r="5944" spans="1:8" x14ac:dyDescent="0.2">
      <c r="A5944" t="s">
        <v>7</v>
      </c>
      <c r="B5944" t="s">
        <v>25</v>
      </c>
      <c r="C5944" t="str">
        <f t="shared" si="186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85"/>
        <v>2</v>
      </c>
    </row>
    <row r="5945" spans="1:8" x14ac:dyDescent="0.2">
      <c r="A5945" t="s">
        <v>7</v>
      </c>
      <c r="B5945" t="s">
        <v>25</v>
      </c>
      <c r="C5945" t="str">
        <f t="shared" si="186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85"/>
        <v>4</v>
      </c>
    </row>
    <row r="5946" spans="1:8" x14ac:dyDescent="0.2">
      <c r="A5946" t="s">
        <v>7</v>
      </c>
      <c r="B5946" t="s">
        <v>25</v>
      </c>
      <c r="C5946" t="str">
        <f t="shared" si="186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85"/>
        <v>1</v>
      </c>
    </row>
    <row r="5947" spans="1:8" x14ac:dyDescent="0.2">
      <c r="A5947" t="s">
        <v>7</v>
      </c>
      <c r="B5947" t="s">
        <v>25</v>
      </c>
      <c r="C5947" t="str">
        <f t="shared" si="186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85"/>
        <v>1</v>
      </c>
    </row>
    <row r="5948" spans="1:8" x14ac:dyDescent="0.2">
      <c r="A5948" t="s">
        <v>7</v>
      </c>
      <c r="B5948" t="s">
        <v>25</v>
      </c>
      <c r="C5948" t="str">
        <f t="shared" si="186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85"/>
        <v>1</v>
      </c>
    </row>
    <row r="5949" spans="1:8" x14ac:dyDescent="0.2">
      <c r="A5949" t="s">
        <v>7</v>
      </c>
      <c r="B5949" t="s">
        <v>25</v>
      </c>
      <c r="C5949" t="str">
        <f t="shared" si="186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85"/>
        <v>1</v>
      </c>
    </row>
    <row r="5950" spans="1:8" x14ac:dyDescent="0.2">
      <c r="A5950" t="s">
        <v>7</v>
      </c>
      <c r="B5950" t="s">
        <v>25</v>
      </c>
      <c r="C5950" t="str">
        <f t="shared" si="186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85"/>
        <v>1</v>
      </c>
    </row>
    <row r="5951" spans="1:8" x14ac:dyDescent="0.2">
      <c r="A5951" t="s">
        <v>7</v>
      </c>
      <c r="B5951" t="s">
        <v>25</v>
      </c>
      <c r="C5951" t="str">
        <f t="shared" si="186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85"/>
        <v>3</v>
      </c>
    </row>
    <row r="5952" spans="1:8" x14ac:dyDescent="0.2">
      <c r="A5952" t="s">
        <v>7</v>
      </c>
      <c r="B5952" t="s">
        <v>25</v>
      </c>
      <c r="C5952" t="str">
        <f t="shared" si="186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85"/>
        <v>1</v>
      </c>
    </row>
    <row r="5953" spans="1:8" x14ac:dyDescent="0.2">
      <c r="A5953" t="s">
        <v>7</v>
      </c>
      <c r="B5953" t="s">
        <v>25</v>
      </c>
      <c r="C5953" t="str">
        <f t="shared" si="186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85"/>
        <v>3</v>
      </c>
    </row>
    <row r="5954" spans="1:8" x14ac:dyDescent="0.2">
      <c r="A5954" t="s">
        <v>7</v>
      </c>
      <c r="B5954" t="s">
        <v>25</v>
      </c>
      <c r="C5954" t="str">
        <f t="shared" si="186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85"/>
        <v>1</v>
      </c>
    </row>
    <row r="5955" spans="1:8" x14ac:dyDescent="0.2">
      <c r="A5955" t="s">
        <v>7</v>
      </c>
      <c r="B5955" t="s">
        <v>25</v>
      </c>
      <c r="C5955" t="str">
        <f t="shared" si="186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ref="H5955:H6018" si="187">F5955-G5955</f>
        <v>3</v>
      </c>
    </row>
    <row r="5956" spans="1:8" x14ac:dyDescent="0.2">
      <c r="A5956" t="s">
        <v>7</v>
      </c>
      <c r="B5956" t="s">
        <v>25</v>
      </c>
      <c r="C5956" t="str">
        <f t="shared" si="186"/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87"/>
        <v>3</v>
      </c>
    </row>
    <row r="5957" spans="1:8" x14ac:dyDescent="0.2">
      <c r="A5957" t="s">
        <v>7</v>
      </c>
      <c r="B5957" t="s">
        <v>25</v>
      </c>
      <c r="C5957" t="str">
        <f t="shared" ref="C5957:C6020" si="188">IF(H5957&gt;=0,"Cumple","No cumple")</f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si="187"/>
        <v>1</v>
      </c>
    </row>
    <row r="5958" spans="1:8" x14ac:dyDescent="0.2">
      <c r="A5958" t="s">
        <v>7</v>
      </c>
      <c r="B5958" t="s">
        <v>25</v>
      </c>
      <c r="C5958" t="str">
        <f t="shared" si="188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87"/>
        <v>1</v>
      </c>
    </row>
    <row r="5959" spans="1:8" x14ac:dyDescent="0.2">
      <c r="A5959" t="s">
        <v>7</v>
      </c>
      <c r="B5959" t="s">
        <v>25</v>
      </c>
      <c r="C5959" t="str">
        <f t="shared" si="188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87"/>
        <v>2</v>
      </c>
    </row>
    <row r="5960" spans="1:8" x14ac:dyDescent="0.2">
      <c r="A5960" t="s">
        <v>7</v>
      </c>
      <c r="B5960" t="s">
        <v>25</v>
      </c>
      <c r="C5960" t="str">
        <f t="shared" si="188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87"/>
        <v>0</v>
      </c>
    </row>
    <row r="5961" spans="1:8" x14ac:dyDescent="0.2">
      <c r="A5961" t="s">
        <v>7</v>
      </c>
      <c r="B5961" t="s">
        <v>25</v>
      </c>
      <c r="C5961" t="str">
        <f t="shared" si="188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87"/>
        <v>2</v>
      </c>
    </row>
    <row r="5962" spans="1:8" x14ac:dyDescent="0.2">
      <c r="A5962" t="s">
        <v>7</v>
      </c>
      <c r="B5962" t="s">
        <v>25</v>
      </c>
      <c r="C5962" t="str">
        <f t="shared" si="188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87"/>
        <v>0</v>
      </c>
    </row>
    <row r="5963" spans="1:8" x14ac:dyDescent="0.2">
      <c r="A5963" t="s">
        <v>7</v>
      </c>
      <c r="B5963" t="s">
        <v>25</v>
      </c>
      <c r="C5963" t="str">
        <f t="shared" si="188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87"/>
        <v>0</v>
      </c>
    </row>
    <row r="5964" spans="1:8" x14ac:dyDescent="0.2">
      <c r="A5964" t="s">
        <v>7</v>
      </c>
      <c r="B5964" t="s">
        <v>25</v>
      </c>
      <c r="C5964" t="str">
        <f t="shared" si="188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87"/>
        <v>2</v>
      </c>
    </row>
    <row r="5965" spans="1:8" x14ac:dyDescent="0.2">
      <c r="A5965" t="s">
        <v>7</v>
      </c>
      <c r="B5965" t="s">
        <v>25</v>
      </c>
      <c r="C5965" t="str">
        <f t="shared" si="188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87"/>
        <v>0</v>
      </c>
    </row>
    <row r="5966" spans="1:8" x14ac:dyDescent="0.2">
      <c r="A5966" t="s">
        <v>7</v>
      </c>
      <c r="B5966" t="s">
        <v>25</v>
      </c>
      <c r="C5966" t="str">
        <f t="shared" si="188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87"/>
        <v>0</v>
      </c>
    </row>
    <row r="5967" spans="1:8" x14ac:dyDescent="0.2">
      <c r="A5967" t="s">
        <v>7</v>
      </c>
      <c r="B5967" t="s">
        <v>25</v>
      </c>
      <c r="C5967" t="str">
        <f t="shared" si="188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87"/>
        <v>2</v>
      </c>
    </row>
    <row r="5968" spans="1:8" x14ac:dyDescent="0.2">
      <c r="A5968" t="s">
        <v>7</v>
      </c>
      <c r="B5968" t="s">
        <v>25</v>
      </c>
      <c r="C5968" t="str">
        <f t="shared" si="188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87"/>
        <v>0</v>
      </c>
    </row>
    <row r="5969" spans="1:8" x14ac:dyDescent="0.2">
      <c r="A5969" t="s">
        <v>7</v>
      </c>
      <c r="B5969" t="s">
        <v>25</v>
      </c>
      <c r="C5969" t="str">
        <f t="shared" si="188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87"/>
        <v>-1</v>
      </c>
    </row>
    <row r="5970" spans="1:8" x14ac:dyDescent="0.2">
      <c r="A5970" t="s">
        <v>7</v>
      </c>
      <c r="B5970" t="s">
        <v>25</v>
      </c>
      <c r="C5970" t="str">
        <f t="shared" si="188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87"/>
        <v>1</v>
      </c>
    </row>
    <row r="5971" spans="1:8" x14ac:dyDescent="0.2">
      <c r="A5971" t="s">
        <v>7</v>
      </c>
      <c r="B5971" t="s">
        <v>25</v>
      </c>
      <c r="C5971" t="str">
        <f t="shared" si="188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87"/>
        <v>1</v>
      </c>
    </row>
    <row r="5972" spans="1:8" x14ac:dyDescent="0.2">
      <c r="A5972" t="s">
        <v>7</v>
      </c>
      <c r="B5972" t="s">
        <v>25</v>
      </c>
      <c r="C5972" t="str">
        <f t="shared" si="188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87"/>
        <v>1</v>
      </c>
    </row>
    <row r="5973" spans="1:8" x14ac:dyDescent="0.2">
      <c r="A5973" t="s">
        <v>7</v>
      </c>
      <c r="B5973" t="s">
        <v>25</v>
      </c>
      <c r="C5973" t="str">
        <f t="shared" si="188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87"/>
        <v>1</v>
      </c>
    </row>
    <row r="5974" spans="1:8" x14ac:dyDescent="0.2">
      <c r="A5974" t="s">
        <v>7</v>
      </c>
      <c r="B5974" t="s">
        <v>25</v>
      </c>
      <c r="C5974" t="str">
        <f t="shared" si="188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87"/>
        <v>1</v>
      </c>
    </row>
    <row r="5975" spans="1:8" x14ac:dyDescent="0.2">
      <c r="A5975" t="s">
        <v>7</v>
      </c>
      <c r="B5975" t="s">
        <v>25</v>
      </c>
      <c r="C5975" t="str">
        <f t="shared" si="188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87"/>
        <v>1</v>
      </c>
    </row>
    <row r="5976" spans="1:8" x14ac:dyDescent="0.2">
      <c r="A5976" t="s">
        <v>7</v>
      </c>
      <c r="B5976" t="s">
        <v>25</v>
      </c>
      <c r="C5976" t="str">
        <f t="shared" si="188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87"/>
        <v>1</v>
      </c>
    </row>
    <row r="5977" spans="1:8" x14ac:dyDescent="0.2">
      <c r="A5977" t="s">
        <v>7</v>
      </c>
      <c r="B5977" t="s">
        <v>25</v>
      </c>
      <c r="C5977" t="str">
        <f t="shared" si="188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87"/>
        <v>1</v>
      </c>
    </row>
    <row r="5978" spans="1:8" x14ac:dyDescent="0.2">
      <c r="A5978" t="s">
        <v>7</v>
      </c>
      <c r="B5978" t="s">
        <v>25</v>
      </c>
      <c r="C5978" t="str">
        <f t="shared" si="188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87"/>
        <v>1</v>
      </c>
    </row>
    <row r="5979" spans="1:8" x14ac:dyDescent="0.2">
      <c r="A5979" t="s">
        <v>7</v>
      </c>
      <c r="B5979" t="s">
        <v>25</v>
      </c>
      <c r="C5979" t="str">
        <f t="shared" si="188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87"/>
        <v>1</v>
      </c>
    </row>
    <row r="5980" spans="1:8" x14ac:dyDescent="0.2">
      <c r="A5980" t="s">
        <v>7</v>
      </c>
      <c r="B5980" t="s">
        <v>25</v>
      </c>
      <c r="C5980" t="str">
        <f t="shared" si="188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87"/>
        <v>-1</v>
      </c>
    </row>
    <row r="5981" spans="1:8" x14ac:dyDescent="0.2">
      <c r="A5981" t="s">
        <v>7</v>
      </c>
      <c r="B5981" t="s">
        <v>25</v>
      </c>
      <c r="C5981" t="str">
        <f t="shared" si="188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87"/>
        <v>1</v>
      </c>
    </row>
    <row r="5982" spans="1:8" x14ac:dyDescent="0.2">
      <c r="A5982" t="s">
        <v>7</v>
      </c>
      <c r="B5982" t="s">
        <v>25</v>
      </c>
      <c r="C5982" t="str">
        <f t="shared" si="188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87"/>
        <v>1</v>
      </c>
    </row>
    <row r="5983" spans="1:8" x14ac:dyDescent="0.2">
      <c r="A5983" t="s">
        <v>7</v>
      </c>
      <c r="B5983" t="s">
        <v>25</v>
      </c>
      <c r="C5983" t="str">
        <f t="shared" si="188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87"/>
        <v>3</v>
      </c>
    </row>
    <row r="5984" spans="1:8" x14ac:dyDescent="0.2">
      <c r="A5984" t="s">
        <v>7</v>
      </c>
      <c r="B5984" t="s">
        <v>25</v>
      </c>
      <c r="C5984" t="str">
        <f t="shared" si="188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87"/>
        <v>-1</v>
      </c>
    </row>
    <row r="5985" spans="1:8" x14ac:dyDescent="0.2">
      <c r="A5985" t="s">
        <v>7</v>
      </c>
      <c r="B5985" t="s">
        <v>25</v>
      </c>
      <c r="C5985" t="str">
        <f t="shared" si="188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87"/>
        <v>-1</v>
      </c>
    </row>
    <row r="5986" spans="1:8" x14ac:dyDescent="0.2">
      <c r="A5986" t="s">
        <v>7</v>
      </c>
      <c r="B5986" t="s">
        <v>25</v>
      </c>
      <c r="C5986" t="str">
        <f t="shared" si="188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87"/>
        <v>-2</v>
      </c>
    </row>
    <row r="5987" spans="1:8" x14ac:dyDescent="0.2">
      <c r="A5987" t="s">
        <v>7</v>
      </c>
      <c r="B5987" t="s">
        <v>25</v>
      </c>
      <c r="C5987" t="str">
        <f t="shared" si="188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87"/>
        <v>0</v>
      </c>
    </row>
    <row r="5988" spans="1:8" x14ac:dyDescent="0.2">
      <c r="A5988" t="s">
        <v>7</v>
      </c>
      <c r="B5988" t="s">
        <v>25</v>
      </c>
      <c r="C5988" t="str">
        <f t="shared" si="188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87"/>
        <v>0</v>
      </c>
    </row>
    <row r="5989" spans="1:8" x14ac:dyDescent="0.2">
      <c r="A5989" t="s">
        <v>7</v>
      </c>
      <c r="B5989" t="s">
        <v>25</v>
      </c>
      <c r="C5989" t="str">
        <f t="shared" si="188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87"/>
        <v>0</v>
      </c>
    </row>
    <row r="5990" spans="1:8" x14ac:dyDescent="0.2">
      <c r="A5990" t="s">
        <v>7</v>
      </c>
      <c r="B5990" t="s">
        <v>25</v>
      </c>
      <c r="C5990" t="str">
        <f t="shared" si="188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87"/>
        <v>0</v>
      </c>
    </row>
    <row r="5991" spans="1:8" x14ac:dyDescent="0.2">
      <c r="A5991" t="s">
        <v>7</v>
      </c>
      <c r="B5991" t="s">
        <v>25</v>
      </c>
      <c r="C5991" t="str">
        <f t="shared" si="188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87"/>
        <v>0</v>
      </c>
    </row>
    <row r="5992" spans="1:8" x14ac:dyDescent="0.2">
      <c r="A5992" t="s">
        <v>7</v>
      </c>
      <c r="B5992" t="s">
        <v>25</v>
      </c>
      <c r="C5992" t="str">
        <f t="shared" si="188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87"/>
        <v>0</v>
      </c>
    </row>
    <row r="5993" spans="1:8" x14ac:dyDescent="0.2">
      <c r="A5993" t="s">
        <v>7</v>
      </c>
      <c r="B5993" t="s">
        <v>25</v>
      </c>
      <c r="C5993" t="str">
        <f t="shared" si="188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87"/>
        <v>0</v>
      </c>
    </row>
    <row r="5994" spans="1:8" x14ac:dyDescent="0.2">
      <c r="A5994" t="s">
        <v>7</v>
      </c>
      <c r="B5994" t="s">
        <v>25</v>
      </c>
      <c r="C5994" t="str">
        <f t="shared" si="188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87"/>
        <v>0</v>
      </c>
    </row>
    <row r="5995" spans="1:8" x14ac:dyDescent="0.2">
      <c r="A5995" t="s">
        <v>7</v>
      </c>
      <c r="B5995" t="s">
        <v>25</v>
      </c>
      <c r="C5995" t="str">
        <f t="shared" si="188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87"/>
        <v>0</v>
      </c>
    </row>
    <row r="5996" spans="1:8" x14ac:dyDescent="0.2">
      <c r="A5996" t="s">
        <v>7</v>
      </c>
      <c r="B5996" t="s">
        <v>25</v>
      </c>
      <c r="C5996" t="str">
        <f t="shared" si="188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87"/>
        <v>0</v>
      </c>
    </row>
    <row r="5997" spans="1:8" x14ac:dyDescent="0.2">
      <c r="A5997" t="s">
        <v>7</v>
      </c>
      <c r="B5997" t="s">
        <v>25</v>
      </c>
      <c r="C5997" t="str">
        <f t="shared" si="188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87"/>
        <v>-1</v>
      </c>
    </row>
    <row r="5998" spans="1:8" x14ac:dyDescent="0.2">
      <c r="A5998" t="s">
        <v>7</v>
      </c>
      <c r="B5998" t="s">
        <v>25</v>
      </c>
      <c r="C5998" t="str">
        <f t="shared" si="188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87"/>
        <v>-1</v>
      </c>
    </row>
    <row r="5999" spans="1:8" x14ac:dyDescent="0.2">
      <c r="A5999" t="s">
        <v>7</v>
      </c>
      <c r="B5999" t="s">
        <v>25</v>
      </c>
      <c r="C5999" t="str">
        <f t="shared" si="188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87"/>
        <v>-1</v>
      </c>
    </row>
    <row r="6000" spans="1:8" x14ac:dyDescent="0.2">
      <c r="A6000" t="s">
        <v>7</v>
      </c>
      <c r="B6000" t="s">
        <v>25</v>
      </c>
      <c r="C6000" t="str">
        <f t="shared" si="188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87"/>
        <v>0</v>
      </c>
    </row>
    <row r="6001" spans="1:8" x14ac:dyDescent="0.2">
      <c r="A6001" t="s">
        <v>7</v>
      </c>
      <c r="B6001" t="s">
        <v>25</v>
      </c>
      <c r="C6001" t="str">
        <f t="shared" si="188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87"/>
        <v>-1</v>
      </c>
    </row>
    <row r="6002" spans="1:8" x14ac:dyDescent="0.2">
      <c r="A6002" t="s">
        <v>7</v>
      </c>
      <c r="B6002" t="s">
        <v>25</v>
      </c>
      <c r="C6002" t="str">
        <f t="shared" si="188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87"/>
        <v>-1</v>
      </c>
    </row>
    <row r="6003" spans="1:8" x14ac:dyDescent="0.2">
      <c r="A6003" t="s">
        <v>7</v>
      </c>
      <c r="B6003" t="s">
        <v>25</v>
      </c>
      <c r="C6003" t="str">
        <f t="shared" si="188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87"/>
        <v>-1</v>
      </c>
    </row>
    <row r="6004" spans="1:8" x14ac:dyDescent="0.2">
      <c r="A6004" t="s">
        <v>7</v>
      </c>
      <c r="B6004" t="s">
        <v>25</v>
      </c>
      <c r="C6004" t="str">
        <f t="shared" si="188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87"/>
        <v>-1</v>
      </c>
    </row>
    <row r="6005" spans="1:8" x14ac:dyDescent="0.2">
      <c r="A6005" t="s">
        <v>7</v>
      </c>
      <c r="B6005" t="s">
        <v>25</v>
      </c>
      <c r="C6005" t="str">
        <f t="shared" si="188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87"/>
        <v>-1</v>
      </c>
    </row>
    <row r="6006" spans="1:8" x14ac:dyDescent="0.2">
      <c r="A6006" t="s">
        <v>7</v>
      </c>
      <c r="B6006" t="s">
        <v>25</v>
      </c>
      <c r="C6006" t="str">
        <f t="shared" si="188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87"/>
        <v>0</v>
      </c>
    </row>
    <row r="6007" spans="1:8" x14ac:dyDescent="0.2">
      <c r="A6007" t="s">
        <v>7</v>
      </c>
      <c r="B6007" t="s">
        <v>25</v>
      </c>
      <c r="C6007" t="str">
        <f t="shared" si="188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87"/>
        <v>-1</v>
      </c>
    </row>
    <row r="6008" spans="1:8" x14ac:dyDescent="0.2">
      <c r="A6008" t="s">
        <v>7</v>
      </c>
      <c r="B6008" t="s">
        <v>25</v>
      </c>
      <c r="C6008" t="str">
        <f t="shared" si="188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87"/>
        <v>-1</v>
      </c>
    </row>
    <row r="6009" spans="1:8" x14ac:dyDescent="0.2">
      <c r="A6009" t="s">
        <v>7</v>
      </c>
      <c r="B6009" t="s">
        <v>25</v>
      </c>
      <c r="C6009" t="str">
        <f t="shared" si="188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87"/>
        <v>-2</v>
      </c>
    </row>
    <row r="6010" spans="1:8" x14ac:dyDescent="0.2">
      <c r="A6010" t="s">
        <v>7</v>
      </c>
      <c r="B6010" t="s">
        <v>25</v>
      </c>
      <c r="C6010" t="str">
        <f t="shared" si="188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87"/>
        <v>-2</v>
      </c>
    </row>
    <row r="6011" spans="1:8" x14ac:dyDescent="0.2">
      <c r="A6011" t="s">
        <v>7</v>
      </c>
      <c r="B6011" t="s">
        <v>25</v>
      </c>
      <c r="C6011" t="str">
        <f t="shared" si="188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87"/>
        <v>-2</v>
      </c>
    </row>
    <row r="6012" spans="1:8" x14ac:dyDescent="0.2">
      <c r="A6012" t="s">
        <v>7</v>
      </c>
      <c r="B6012" t="s">
        <v>25</v>
      </c>
      <c r="C6012" t="str">
        <f t="shared" si="188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87"/>
        <v>-2</v>
      </c>
    </row>
    <row r="6013" spans="1:8" x14ac:dyDescent="0.2">
      <c r="A6013" t="s">
        <v>7</v>
      </c>
      <c r="B6013" t="s">
        <v>25</v>
      </c>
      <c r="C6013" t="str">
        <f t="shared" si="188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87"/>
        <v>-2</v>
      </c>
    </row>
    <row r="6014" spans="1:8" x14ac:dyDescent="0.2">
      <c r="A6014" t="s">
        <v>7</v>
      </c>
      <c r="B6014" t="s">
        <v>25</v>
      </c>
      <c r="C6014" t="str">
        <f t="shared" si="188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87"/>
        <v>-2</v>
      </c>
    </row>
    <row r="6015" spans="1:8" x14ac:dyDescent="0.2">
      <c r="A6015" t="s">
        <v>7</v>
      </c>
      <c r="B6015" t="s">
        <v>25</v>
      </c>
      <c r="C6015" t="str">
        <f t="shared" si="188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87"/>
        <v>0</v>
      </c>
    </row>
    <row r="6016" spans="1:8" x14ac:dyDescent="0.2">
      <c r="A6016" t="s">
        <v>7</v>
      </c>
      <c r="B6016" t="s">
        <v>25</v>
      </c>
      <c r="C6016" t="str">
        <f t="shared" si="188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87"/>
        <v>-2</v>
      </c>
    </row>
    <row r="6017" spans="1:8" x14ac:dyDescent="0.2">
      <c r="A6017" t="s">
        <v>7</v>
      </c>
      <c r="B6017" t="s">
        <v>25</v>
      </c>
      <c r="C6017" t="str">
        <f t="shared" si="188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87"/>
        <v>-4</v>
      </c>
    </row>
    <row r="6018" spans="1:8" x14ac:dyDescent="0.2">
      <c r="A6018" t="s">
        <v>7</v>
      </c>
      <c r="B6018" t="s">
        <v>25</v>
      </c>
      <c r="C6018" t="str">
        <f t="shared" si="188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87"/>
        <v>-4</v>
      </c>
    </row>
    <row r="6019" spans="1:8" x14ac:dyDescent="0.2">
      <c r="A6019" t="s">
        <v>7</v>
      </c>
      <c r="B6019" t="s">
        <v>25</v>
      </c>
      <c r="C6019" t="str">
        <f t="shared" si="188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ref="H6019:H6082" si="189">F6019-G6019</f>
        <v>-2</v>
      </c>
    </row>
    <row r="6020" spans="1:8" x14ac:dyDescent="0.2">
      <c r="A6020" t="s">
        <v>7</v>
      </c>
      <c r="B6020" t="s">
        <v>25</v>
      </c>
      <c r="C6020" t="str">
        <f t="shared" si="188"/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89"/>
        <v>-2</v>
      </c>
    </row>
    <row r="6021" spans="1:8" x14ac:dyDescent="0.2">
      <c r="A6021" t="s">
        <v>7</v>
      </c>
      <c r="B6021" t="s">
        <v>25</v>
      </c>
      <c r="C6021" t="str">
        <f t="shared" ref="C6021:C6084" si="190">IF(H6021&gt;=0,"Cumple","No cumple")</f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si="189"/>
        <v>-2</v>
      </c>
    </row>
    <row r="6022" spans="1:8" x14ac:dyDescent="0.2">
      <c r="A6022" t="s">
        <v>7</v>
      </c>
      <c r="B6022" t="s">
        <v>25</v>
      </c>
      <c r="C6022" t="str">
        <f t="shared" si="190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89"/>
        <v>-2</v>
      </c>
    </row>
    <row r="6023" spans="1:8" x14ac:dyDescent="0.2">
      <c r="A6023" t="s">
        <v>7</v>
      </c>
      <c r="B6023" t="s">
        <v>25</v>
      </c>
      <c r="C6023" t="str">
        <f t="shared" si="190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89"/>
        <v>-2</v>
      </c>
    </row>
    <row r="6024" spans="1:8" x14ac:dyDescent="0.2">
      <c r="A6024" t="s">
        <v>7</v>
      </c>
      <c r="B6024" t="s">
        <v>25</v>
      </c>
      <c r="C6024" t="str">
        <f t="shared" si="190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89"/>
        <v>-2</v>
      </c>
    </row>
    <row r="6025" spans="1:8" x14ac:dyDescent="0.2">
      <c r="A6025" t="s">
        <v>7</v>
      </c>
      <c r="B6025" t="s">
        <v>25</v>
      </c>
      <c r="C6025" t="str">
        <f t="shared" si="190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89"/>
        <v>-2</v>
      </c>
    </row>
    <row r="6026" spans="1:8" x14ac:dyDescent="0.2">
      <c r="A6026" t="s">
        <v>7</v>
      </c>
      <c r="B6026" t="s">
        <v>25</v>
      </c>
      <c r="C6026" t="str">
        <f t="shared" si="190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89"/>
        <v>-4</v>
      </c>
    </row>
    <row r="6027" spans="1:8" x14ac:dyDescent="0.2">
      <c r="A6027" t="s">
        <v>7</v>
      </c>
      <c r="B6027" t="s">
        <v>25</v>
      </c>
      <c r="C6027" t="str">
        <f t="shared" si="190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89"/>
        <v>-2</v>
      </c>
    </row>
    <row r="6028" spans="1:8" x14ac:dyDescent="0.2">
      <c r="A6028" t="s">
        <v>7</v>
      </c>
      <c r="B6028" t="s">
        <v>25</v>
      </c>
      <c r="C6028" t="str">
        <f t="shared" si="190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89"/>
        <v>-3</v>
      </c>
    </row>
    <row r="6029" spans="1:8" x14ac:dyDescent="0.2">
      <c r="A6029" t="s">
        <v>7</v>
      </c>
      <c r="B6029" t="s">
        <v>25</v>
      </c>
      <c r="C6029" t="str">
        <f t="shared" si="190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89"/>
        <v>-3</v>
      </c>
    </row>
    <row r="6030" spans="1:8" x14ac:dyDescent="0.2">
      <c r="A6030" t="s">
        <v>7</v>
      </c>
      <c r="B6030" t="s">
        <v>25</v>
      </c>
      <c r="C6030" t="str">
        <f t="shared" si="190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89"/>
        <v>-3</v>
      </c>
    </row>
    <row r="6031" spans="1:8" x14ac:dyDescent="0.2">
      <c r="A6031" t="s">
        <v>7</v>
      </c>
      <c r="B6031" t="s">
        <v>25</v>
      </c>
      <c r="C6031" t="str">
        <f t="shared" si="190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89"/>
        <v>-3</v>
      </c>
    </row>
    <row r="6032" spans="1:8" x14ac:dyDescent="0.2">
      <c r="A6032" t="s">
        <v>7</v>
      </c>
      <c r="B6032" t="s">
        <v>25</v>
      </c>
      <c r="C6032" t="str">
        <f t="shared" si="190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89"/>
        <v>-3</v>
      </c>
    </row>
    <row r="6033" spans="1:8" x14ac:dyDescent="0.2">
      <c r="A6033" t="s">
        <v>7</v>
      </c>
      <c r="B6033" t="s">
        <v>25</v>
      </c>
      <c r="C6033" t="str">
        <f t="shared" si="190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89"/>
        <v>-3</v>
      </c>
    </row>
    <row r="6034" spans="1:8" x14ac:dyDescent="0.2">
      <c r="A6034" t="s">
        <v>7</v>
      </c>
      <c r="B6034" t="s">
        <v>25</v>
      </c>
      <c r="C6034" t="str">
        <f t="shared" si="190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89"/>
        <v>-3</v>
      </c>
    </row>
    <row r="6035" spans="1:8" x14ac:dyDescent="0.2">
      <c r="A6035" t="s">
        <v>7</v>
      </c>
      <c r="B6035" t="s">
        <v>25</v>
      </c>
      <c r="C6035" t="str">
        <f t="shared" si="190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89"/>
        <v>-3</v>
      </c>
    </row>
    <row r="6036" spans="1:8" x14ac:dyDescent="0.2">
      <c r="A6036" t="s">
        <v>7</v>
      </c>
      <c r="B6036" t="s">
        <v>25</v>
      </c>
      <c r="C6036" t="str">
        <f t="shared" si="190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89"/>
        <v>-3</v>
      </c>
    </row>
    <row r="6037" spans="1:8" x14ac:dyDescent="0.2">
      <c r="A6037" t="s">
        <v>7</v>
      </c>
      <c r="B6037" t="s">
        <v>25</v>
      </c>
      <c r="C6037" t="str">
        <f t="shared" si="190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89"/>
        <v>-3</v>
      </c>
    </row>
    <row r="6038" spans="1:8" x14ac:dyDescent="0.2">
      <c r="A6038" t="s">
        <v>7</v>
      </c>
      <c r="B6038" t="s">
        <v>25</v>
      </c>
      <c r="C6038" t="str">
        <f t="shared" si="190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89"/>
        <v>-3</v>
      </c>
    </row>
    <row r="6039" spans="1:8" x14ac:dyDescent="0.2">
      <c r="A6039" t="s">
        <v>7</v>
      </c>
      <c r="B6039" t="s">
        <v>25</v>
      </c>
      <c r="C6039" t="str">
        <f t="shared" si="190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89"/>
        <v>-3</v>
      </c>
    </row>
    <row r="6040" spans="1:8" x14ac:dyDescent="0.2">
      <c r="A6040" t="s">
        <v>7</v>
      </c>
      <c r="B6040" t="s">
        <v>25</v>
      </c>
      <c r="C6040" t="str">
        <f t="shared" si="190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89"/>
        <v>-3</v>
      </c>
    </row>
    <row r="6041" spans="1:8" x14ac:dyDescent="0.2">
      <c r="A6041" t="s">
        <v>7</v>
      </c>
      <c r="B6041" t="s">
        <v>25</v>
      </c>
      <c r="C6041" t="str">
        <f t="shared" si="190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89"/>
        <v>-3</v>
      </c>
    </row>
    <row r="6042" spans="1:8" x14ac:dyDescent="0.2">
      <c r="A6042" t="s">
        <v>7</v>
      </c>
      <c r="B6042" t="s">
        <v>25</v>
      </c>
      <c r="C6042" t="str">
        <f t="shared" si="190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89"/>
        <v>-3</v>
      </c>
    </row>
    <row r="6043" spans="1:8" x14ac:dyDescent="0.2">
      <c r="A6043" t="s">
        <v>7</v>
      </c>
      <c r="B6043" t="s">
        <v>25</v>
      </c>
      <c r="C6043" t="str">
        <f t="shared" si="190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89"/>
        <v>-3</v>
      </c>
    </row>
    <row r="6044" spans="1:8" x14ac:dyDescent="0.2">
      <c r="A6044" t="s">
        <v>7</v>
      </c>
      <c r="B6044" t="s">
        <v>25</v>
      </c>
      <c r="C6044" t="str">
        <f t="shared" si="190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89"/>
        <v>-3</v>
      </c>
    </row>
    <row r="6045" spans="1:8" x14ac:dyDescent="0.2">
      <c r="A6045" t="s">
        <v>7</v>
      </c>
      <c r="B6045" t="s">
        <v>25</v>
      </c>
      <c r="C6045" t="str">
        <f t="shared" si="190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89"/>
        <v>0</v>
      </c>
    </row>
    <row r="6046" spans="1:8" x14ac:dyDescent="0.2">
      <c r="A6046" t="s">
        <v>7</v>
      </c>
      <c r="B6046" t="s">
        <v>25</v>
      </c>
      <c r="C6046" t="str">
        <f t="shared" si="190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89"/>
        <v>-3</v>
      </c>
    </row>
    <row r="6047" spans="1:8" x14ac:dyDescent="0.2">
      <c r="A6047" t="s">
        <v>7</v>
      </c>
      <c r="B6047" t="s">
        <v>25</v>
      </c>
      <c r="C6047" t="str">
        <f t="shared" si="190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89"/>
        <v>-3</v>
      </c>
    </row>
    <row r="6048" spans="1:8" x14ac:dyDescent="0.2">
      <c r="A6048" t="s">
        <v>7</v>
      </c>
      <c r="B6048" t="s">
        <v>25</v>
      </c>
      <c r="C6048" t="str">
        <f t="shared" si="190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89"/>
        <v>-5</v>
      </c>
    </row>
    <row r="6049" spans="1:8" x14ac:dyDescent="0.2">
      <c r="A6049" t="s">
        <v>7</v>
      </c>
      <c r="B6049" t="s">
        <v>25</v>
      </c>
      <c r="C6049" t="str">
        <f t="shared" si="190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89"/>
        <v>-3</v>
      </c>
    </row>
    <row r="6050" spans="1:8" x14ac:dyDescent="0.2">
      <c r="A6050" t="s">
        <v>7</v>
      </c>
      <c r="B6050" t="s">
        <v>25</v>
      </c>
      <c r="C6050" t="str">
        <f t="shared" si="190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89"/>
        <v>-3</v>
      </c>
    </row>
    <row r="6051" spans="1:8" x14ac:dyDescent="0.2">
      <c r="A6051" t="s">
        <v>7</v>
      </c>
      <c r="B6051" t="s">
        <v>25</v>
      </c>
      <c r="C6051" t="str">
        <f t="shared" si="190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89"/>
        <v>-3</v>
      </c>
    </row>
    <row r="6052" spans="1:8" x14ac:dyDescent="0.2">
      <c r="A6052" t="s">
        <v>7</v>
      </c>
      <c r="B6052" t="s">
        <v>25</v>
      </c>
      <c r="C6052" t="str">
        <f t="shared" si="190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89"/>
        <v>-3</v>
      </c>
    </row>
    <row r="6053" spans="1:8" x14ac:dyDescent="0.2">
      <c r="A6053" t="s">
        <v>7</v>
      </c>
      <c r="B6053" t="s">
        <v>25</v>
      </c>
      <c r="C6053" t="str">
        <f t="shared" si="190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89"/>
        <v>-3</v>
      </c>
    </row>
    <row r="6054" spans="1:8" x14ac:dyDescent="0.2">
      <c r="A6054" t="s">
        <v>7</v>
      </c>
      <c r="B6054" t="s">
        <v>25</v>
      </c>
      <c r="C6054" t="str">
        <f t="shared" si="190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89"/>
        <v>-3</v>
      </c>
    </row>
    <row r="6055" spans="1:8" x14ac:dyDescent="0.2">
      <c r="A6055" t="s">
        <v>7</v>
      </c>
      <c r="B6055" t="s">
        <v>25</v>
      </c>
      <c r="C6055" t="str">
        <f t="shared" si="190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89"/>
        <v>-3</v>
      </c>
    </row>
    <row r="6056" spans="1:8" x14ac:dyDescent="0.2">
      <c r="A6056" t="s">
        <v>7</v>
      </c>
      <c r="B6056" t="s">
        <v>25</v>
      </c>
      <c r="C6056" t="str">
        <f t="shared" si="190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89"/>
        <v>-3</v>
      </c>
    </row>
    <row r="6057" spans="1:8" x14ac:dyDescent="0.2">
      <c r="A6057" t="s">
        <v>7</v>
      </c>
      <c r="B6057" t="s">
        <v>25</v>
      </c>
      <c r="C6057" t="str">
        <f t="shared" si="190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89"/>
        <v>-3</v>
      </c>
    </row>
    <row r="6058" spans="1:8" x14ac:dyDescent="0.2">
      <c r="A6058" t="s">
        <v>7</v>
      </c>
      <c r="B6058" t="s">
        <v>25</v>
      </c>
      <c r="C6058" t="str">
        <f t="shared" si="190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89"/>
        <v>-3</v>
      </c>
    </row>
    <row r="6059" spans="1:8" x14ac:dyDescent="0.2">
      <c r="A6059" t="s">
        <v>7</v>
      </c>
      <c r="B6059" t="s">
        <v>25</v>
      </c>
      <c r="C6059" t="str">
        <f t="shared" si="190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89"/>
        <v>-3</v>
      </c>
    </row>
    <row r="6060" spans="1:8" x14ac:dyDescent="0.2">
      <c r="A6060" t="s">
        <v>7</v>
      </c>
      <c r="B6060" t="s">
        <v>25</v>
      </c>
      <c r="C6060" t="str">
        <f t="shared" si="190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89"/>
        <v>-3</v>
      </c>
    </row>
    <row r="6061" spans="1:8" x14ac:dyDescent="0.2">
      <c r="A6061" t="s">
        <v>7</v>
      </c>
      <c r="B6061" t="s">
        <v>25</v>
      </c>
      <c r="C6061" t="str">
        <f t="shared" si="190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89"/>
        <v>-4</v>
      </c>
    </row>
    <row r="6062" spans="1:8" x14ac:dyDescent="0.2">
      <c r="A6062" t="s">
        <v>7</v>
      </c>
      <c r="B6062" t="s">
        <v>25</v>
      </c>
      <c r="C6062" t="str">
        <f t="shared" si="190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89"/>
        <v>-4</v>
      </c>
    </row>
    <row r="6063" spans="1:8" x14ac:dyDescent="0.2">
      <c r="A6063" t="s">
        <v>7</v>
      </c>
      <c r="B6063" t="s">
        <v>25</v>
      </c>
      <c r="C6063" t="str">
        <f t="shared" si="190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89"/>
        <v>-4</v>
      </c>
    </row>
    <row r="6064" spans="1:8" x14ac:dyDescent="0.2">
      <c r="A6064" t="s">
        <v>7</v>
      </c>
      <c r="B6064" t="s">
        <v>25</v>
      </c>
      <c r="C6064" t="str">
        <f t="shared" si="190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89"/>
        <v>-4</v>
      </c>
    </row>
    <row r="6065" spans="1:8" x14ac:dyDescent="0.2">
      <c r="A6065" t="s">
        <v>7</v>
      </c>
      <c r="B6065" t="s">
        <v>25</v>
      </c>
      <c r="C6065" t="str">
        <f t="shared" si="190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89"/>
        <v>-4</v>
      </c>
    </row>
    <row r="6066" spans="1:8" x14ac:dyDescent="0.2">
      <c r="A6066" t="s">
        <v>7</v>
      </c>
      <c r="B6066" t="s">
        <v>25</v>
      </c>
      <c r="C6066" t="str">
        <f t="shared" si="190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89"/>
        <v>-4</v>
      </c>
    </row>
    <row r="6067" spans="1:8" x14ac:dyDescent="0.2">
      <c r="A6067" t="s">
        <v>7</v>
      </c>
      <c r="B6067" t="s">
        <v>25</v>
      </c>
      <c r="C6067" t="str">
        <f t="shared" si="190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89"/>
        <v>-4</v>
      </c>
    </row>
    <row r="6068" spans="1:8" x14ac:dyDescent="0.2">
      <c r="A6068" t="s">
        <v>7</v>
      </c>
      <c r="B6068" t="s">
        <v>25</v>
      </c>
      <c r="C6068" t="str">
        <f t="shared" si="190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89"/>
        <v>-4</v>
      </c>
    </row>
    <row r="6069" spans="1:8" x14ac:dyDescent="0.2">
      <c r="A6069" t="s">
        <v>7</v>
      </c>
      <c r="B6069" t="s">
        <v>25</v>
      </c>
      <c r="C6069" t="str">
        <f t="shared" si="190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89"/>
        <v>-4</v>
      </c>
    </row>
    <row r="6070" spans="1:8" x14ac:dyDescent="0.2">
      <c r="A6070" t="s">
        <v>7</v>
      </c>
      <c r="B6070" t="s">
        <v>25</v>
      </c>
      <c r="C6070" t="str">
        <f t="shared" si="190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89"/>
        <v>-4</v>
      </c>
    </row>
    <row r="6071" spans="1:8" x14ac:dyDescent="0.2">
      <c r="A6071" t="s">
        <v>7</v>
      </c>
      <c r="B6071" t="s">
        <v>25</v>
      </c>
      <c r="C6071" t="str">
        <f t="shared" si="190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89"/>
        <v>-4</v>
      </c>
    </row>
    <row r="6072" spans="1:8" x14ac:dyDescent="0.2">
      <c r="A6072" t="s">
        <v>7</v>
      </c>
      <c r="B6072" t="s">
        <v>25</v>
      </c>
      <c r="C6072" t="str">
        <f t="shared" si="190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89"/>
        <v>-4</v>
      </c>
    </row>
    <row r="6073" spans="1:8" x14ac:dyDescent="0.2">
      <c r="A6073" t="s">
        <v>7</v>
      </c>
      <c r="B6073" t="s">
        <v>25</v>
      </c>
      <c r="C6073" t="str">
        <f t="shared" si="190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89"/>
        <v>-4</v>
      </c>
    </row>
    <row r="6074" spans="1:8" x14ac:dyDescent="0.2">
      <c r="A6074" t="s">
        <v>7</v>
      </c>
      <c r="B6074" t="s">
        <v>25</v>
      </c>
      <c r="C6074" t="str">
        <f t="shared" si="190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89"/>
        <v>-4</v>
      </c>
    </row>
    <row r="6075" spans="1:8" x14ac:dyDescent="0.2">
      <c r="A6075" t="s">
        <v>7</v>
      </c>
      <c r="B6075" t="s">
        <v>25</v>
      </c>
      <c r="C6075" t="str">
        <f t="shared" si="190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89"/>
        <v>-4</v>
      </c>
    </row>
    <row r="6076" spans="1:8" x14ac:dyDescent="0.2">
      <c r="A6076" t="s">
        <v>7</v>
      </c>
      <c r="B6076" t="s">
        <v>25</v>
      </c>
      <c r="C6076" t="str">
        <f t="shared" si="190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89"/>
        <v>-4</v>
      </c>
    </row>
    <row r="6077" spans="1:8" x14ac:dyDescent="0.2">
      <c r="A6077" t="s">
        <v>7</v>
      </c>
      <c r="B6077" t="s">
        <v>25</v>
      </c>
      <c r="C6077" t="str">
        <f t="shared" si="190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89"/>
        <v>-4</v>
      </c>
    </row>
    <row r="6078" spans="1:8" x14ac:dyDescent="0.2">
      <c r="A6078" t="s">
        <v>7</v>
      </c>
      <c r="B6078" t="s">
        <v>25</v>
      </c>
      <c r="C6078" t="str">
        <f t="shared" si="190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89"/>
        <v>-4</v>
      </c>
    </row>
    <row r="6079" spans="1:8" x14ac:dyDescent="0.2">
      <c r="A6079" t="s">
        <v>7</v>
      </c>
      <c r="B6079" t="s">
        <v>25</v>
      </c>
      <c r="C6079" t="str">
        <f t="shared" si="190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89"/>
        <v>-4</v>
      </c>
    </row>
    <row r="6080" spans="1:8" x14ac:dyDescent="0.2">
      <c r="A6080" t="s">
        <v>7</v>
      </c>
      <c r="B6080" t="s">
        <v>25</v>
      </c>
      <c r="C6080" t="str">
        <f t="shared" si="190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89"/>
        <v>-4</v>
      </c>
    </row>
    <row r="6081" spans="1:8" x14ac:dyDescent="0.2">
      <c r="A6081" t="s">
        <v>7</v>
      </c>
      <c r="B6081" t="s">
        <v>25</v>
      </c>
      <c r="C6081" t="str">
        <f t="shared" si="190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89"/>
        <v>-4</v>
      </c>
    </row>
    <row r="6082" spans="1:8" x14ac:dyDescent="0.2">
      <c r="A6082" t="s">
        <v>7</v>
      </c>
      <c r="B6082" t="s">
        <v>25</v>
      </c>
      <c r="C6082" t="str">
        <f t="shared" si="190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89"/>
        <v>-4</v>
      </c>
    </row>
    <row r="6083" spans="1:8" x14ac:dyDescent="0.2">
      <c r="A6083" t="s">
        <v>7</v>
      </c>
      <c r="B6083" t="s">
        <v>25</v>
      </c>
      <c r="C6083" t="str">
        <f t="shared" si="190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ref="H6083:H6146" si="191">F6083-G6083</f>
        <v>-4</v>
      </c>
    </row>
    <row r="6084" spans="1:8" x14ac:dyDescent="0.2">
      <c r="A6084" t="s">
        <v>7</v>
      </c>
      <c r="B6084" t="s">
        <v>25</v>
      </c>
      <c r="C6084" t="str">
        <f t="shared" si="190"/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1"/>
        <v>-4</v>
      </c>
    </row>
    <row r="6085" spans="1:8" x14ac:dyDescent="0.2">
      <c r="A6085" t="s">
        <v>7</v>
      </c>
      <c r="B6085" t="s">
        <v>25</v>
      </c>
      <c r="C6085" t="str">
        <f t="shared" ref="C6085:C6148" si="192">IF(H6085&gt;=0,"Cumple","No cumple")</f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si="191"/>
        <v>-4</v>
      </c>
    </row>
    <row r="6086" spans="1:8" x14ac:dyDescent="0.2">
      <c r="A6086" t="s">
        <v>7</v>
      </c>
      <c r="B6086" t="s">
        <v>25</v>
      </c>
      <c r="C6086" t="str">
        <f t="shared" si="192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191"/>
        <v>-4</v>
      </c>
    </row>
    <row r="6087" spans="1:8" x14ac:dyDescent="0.2">
      <c r="A6087" t="s">
        <v>7</v>
      </c>
      <c r="B6087" t="s">
        <v>25</v>
      </c>
      <c r="C6087" t="str">
        <f t="shared" si="192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191"/>
        <v>-4</v>
      </c>
    </row>
    <row r="6088" spans="1:8" x14ac:dyDescent="0.2">
      <c r="A6088" t="s">
        <v>7</v>
      </c>
      <c r="B6088" t="s">
        <v>25</v>
      </c>
      <c r="C6088" t="str">
        <f t="shared" si="192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191"/>
        <v>-4</v>
      </c>
    </row>
    <row r="6089" spans="1:8" x14ac:dyDescent="0.2">
      <c r="A6089" t="s">
        <v>7</v>
      </c>
      <c r="B6089" t="s">
        <v>25</v>
      </c>
      <c r="C6089" t="str">
        <f t="shared" si="192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191"/>
        <v>-4</v>
      </c>
    </row>
    <row r="6090" spans="1:8" x14ac:dyDescent="0.2">
      <c r="A6090" t="s">
        <v>7</v>
      </c>
      <c r="B6090" t="s">
        <v>25</v>
      </c>
      <c r="C6090" t="str">
        <f t="shared" si="192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191"/>
        <v>-4</v>
      </c>
    </row>
    <row r="6091" spans="1:8" x14ac:dyDescent="0.2">
      <c r="A6091" t="s">
        <v>7</v>
      </c>
      <c r="B6091" t="s">
        <v>25</v>
      </c>
      <c r="C6091" t="str">
        <f t="shared" si="192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191"/>
        <v>-6</v>
      </c>
    </row>
    <row r="6092" spans="1:8" x14ac:dyDescent="0.2">
      <c r="A6092" t="s">
        <v>7</v>
      </c>
      <c r="B6092" t="s">
        <v>25</v>
      </c>
      <c r="C6092" t="str">
        <f t="shared" si="192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191"/>
        <v>-6</v>
      </c>
    </row>
    <row r="6093" spans="1:8" x14ac:dyDescent="0.2">
      <c r="A6093" t="s">
        <v>7</v>
      </c>
      <c r="B6093" t="s">
        <v>25</v>
      </c>
      <c r="C6093" t="str">
        <f t="shared" si="192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191"/>
        <v>-6</v>
      </c>
    </row>
    <row r="6094" spans="1:8" x14ac:dyDescent="0.2">
      <c r="A6094" t="s">
        <v>7</v>
      </c>
      <c r="B6094" t="s">
        <v>25</v>
      </c>
      <c r="C6094" t="str">
        <f t="shared" si="192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191"/>
        <v>-4</v>
      </c>
    </row>
    <row r="6095" spans="1:8" x14ac:dyDescent="0.2">
      <c r="A6095" t="s">
        <v>7</v>
      </c>
      <c r="B6095" t="s">
        <v>25</v>
      </c>
      <c r="C6095" t="str">
        <f t="shared" si="192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191"/>
        <v>-4</v>
      </c>
    </row>
    <row r="6096" spans="1:8" x14ac:dyDescent="0.2">
      <c r="A6096" t="s">
        <v>7</v>
      </c>
      <c r="B6096" t="s">
        <v>25</v>
      </c>
      <c r="C6096" t="str">
        <f t="shared" si="192"/>
        <v>No cumple</v>
      </c>
      <c r="D6096">
        <v>3796</v>
      </c>
      <c r="E6096" s="19" t="s">
        <v>8</v>
      </c>
      <c r="F6096">
        <v>0</v>
      </c>
      <c r="G6096">
        <v>3</v>
      </c>
      <c r="H6096">
        <f t="shared" si="191"/>
        <v>-3</v>
      </c>
    </row>
    <row r="6097" spans="1:8" x14ac:dyDescent="0.2">
      <c r="A6097" t="s">
        <v>7</v>
      </c>
      <c r="B6097" t="s">
        <v>25</v>
      </c>
      <c r="C6097" t="str">
        <f t="shared" si="192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191"/>
        <v>-5</v>
      </c>
    </row>
    <row r="6098" spans="1:8" x14ac:dyDescent="0.2">
      <c r="A6098" t="s">
        <v>7</v>
      </c>
      <c r="B6098" t="s">
        <v>25</v>
      </c>
      <c r="C6098" t="str">
        <f t="shared" si="192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191"/>
        <v>-5</v>
      </c>
    </row>
    <row r="6099" spans="1:8" x14ac:dyDescent="0.2">
      <c r="A6099" t="s">
        <v>7</v>
      </c>
      <c r="B6099" t="s">
        <v>25</v>
      </c>
      <c r="C6099" t="str">
        <f t="shared" si="192"/>
        <v>No cumple</v>
      </c>
      <c r="D6099">
        <v>692</v>
      </c>
      <c r="E6099" s="19" t="s">
        <v>8</v>
      </c>
      <c r="F6099">
        <v>1</v>
      </c>
      <c r="G6099" s="9">
        <v>6</v>
      </c>
      <c r="H6099">
        <f t="shared" si="191"/>
        <v>-5</v>
      </c>
    </row>
    <row r="6100" spans="1:8" x14ac:dyDescent="0.2">
      <c r="A6100" t="s">
        <v>7</v>
      </c>
      <c r="B6100" t="s">
        <v>25</v>
      </c>
      <c r="C6100" t="str">
        <f t="shared" si="192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191"/>
        <v>0</v>
      </c>
    </row>
    <row r="6101" spans="1:8" x14ac:dyDescent="0.2">
      <c r="A6101" t="s">
        <v>7</v>
      </c>
      <c r="B6101" t="s">
        <v>25</v>
      </c>
      <c r="C6101" t="str">
        <f t="shared" si="192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191"/>
        <v>-5</v>
      </c>
    </row>
    <row r="6102" spans="1:8" x14ac:dyDescent="0.2">
      <c r="A6102" t="s">
        <v>7</v>
      </c>
      <c r="B6102" t="s">
        <v>25</v>
      </c>
      <c r="C6102" t="str">
        <f t="shared" si="192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191"/>
        <v>-5</v>
      </c>
    </row>
    <row r="6103" spans="1:8" x14ac:dyDescent="0.2">
      <c r="A6103" t="s">
        <v>7</v>
      </c>
      <c r="B6103" t="s">
        <v>25</v>
      </c>
      <c r="C6103" t="str">
        <f t="shared" si="192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191"/>
        <v>-5</v>
      </c>
    </row>
    <row r="6104" spans="1:8" x14ac:dyDescent="0.2">
      <c r="A6104" t="s">
        <v>7</v>
      </c>
      <c r="B6104" t="s">
        <v>25</v>
      </c>
      <c r="C6104" t="str">
        <f t="shared" si="192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191"/>
        <v>-5</v>
      </c>
    </row>
    <row r="6105" spans="1:8" x14ac:dyDescent="0.2">
      <c r="A6105" t="s">
        <v>7</v>
      </c>
      <c r="B6105" t="s">
        <v>25</v>
      </c>
      <c r="C6105" t="str">
        <f t="shared" si="192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191"/>
        <v>-5</v>
      </c>
    </row>
    <row r="6106" spans="1:8" x14ac:dyDescent="0.2">
      <c r="A6106" t="s">
        <v>7</v>
      </c>
      <c r="B6106" t="s">
        <v>25</v>
      </c>
      <c r="C6106" t="str">
        <f t="shared" si="192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191"/>
        <v>-5</v>
      </c>
    </row>
    <row r="6107" spans="1:8" x14ac:dyDescent="0.2">
      <c r="A6107" t="s">
        <v>7</v>
      </c>
      <c r="B6107" t="s">
        <v>25</v>
      </c>
      <c r="C6107" t="str">
        <f t="shared" si="192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191"/>
        <v>-5</v>
      </c>
    </row>
    <row r="6108" spans="1:8" x14ac:dyDescent="0.2">
      <c r="A6108" t="s">
        <v>7</v>
      </c>
      <c r="B6108" t="s">
        <v>25</v>
      </c>
      <c r="C6108" t="str">
        <f t="shared" si="192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191"/>
        <v>-5</v>
      </c>
    </row>
    <row r="6109" spans="1:8" x14ac:dyDescent="0.2">
      <c r="A6109" t="s">
        <v>7</v>
      </c>
      <c r="B6109" t="s">
        <v>25</v>
      </c>
      <c r="C6109" t="str">
        <f t="shared" si="192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191"/>
        <v>-5</v>
      </c>
    </row>
    <row r="6110" spans="1:8" x14ac:dyDescent="0.2">
      <c r="A6110" t="s">
        <v>7</v>
      </c>
      <c r="B6110" t="s">
        <v>25</v>
      </c>
      <c r="C6110" t="str">
        <f t="shared" si="192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191"/>
        <v>-5</v>
      </c>
    </row>
    <row r="6111" spans="1:8" x14ac:dyDescent="0.2">
      <c r="A6111" t="s">
        <v>7</v>
      </c>
      <c r="B6111" t="s">
        <v>25</v>
      </c>
      <c r="C6111" t="str">
        <f t="shared" si="192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191"/>
        <v>-5</v>
      </c>
    </row>
    <row r="6112" spans="1:8" x14ac:dyDescent="0.2">
      <c r="A6112" t="s">
        <v>7</v>
      </c>
      <c r="B6112" t="s">
        <v>25</v>
      </c>
      <c r="C6112" t="str">
        <f t="shared" si="192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191"/>
        <v>-5</v>
      </c>
    </row>
    <row r="6113" spans="1:8" x14ac:dyDescent="0.2">
      <c r="A6113" t="s">
        <v>7</v>
      </c>
      <c r="B6113" t="s">
        <v>25</v>
      </c>
      <c r="C6113" t="str">
        <f t="shared" si="192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191"/>
        <v>-5</v>
      </c>
    </row>
    <row r="6114" spans="1:8" x14ac:dyDescent="0.2">
      <c r="A6114" t="s">
        <v>7</v>
      </c>
      <c r="B6114" t="s">
        <v>25</v>
      </c>
      <c r="C6114" t="str">
        <f t="shared" si="192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191"/>
        <v>-5</v>
      </c>
    </row>
    <row r="6115" spans="1:8" x14ac:dyDescent="0.2">
      <c r="A6115" t="s">
        <v>7</v>
      </c>
      <c r="B6115" t="s">
        <v>25</v>
      </c>
      <c r="C6115" t="str">
        <f t="shared" si="192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191"/>
        <v>-5</v>
      </c>
    </row>
    <row r="6116" spans="1:8" x14ac:dyDescent="0.2">
      <c r="A6116" t="s">
        <v>7</v>
      </c>
      <c r="B6116" t="s">
        <v>25</v>
      </c>
      <c r="C6116" t="str">
        <f t="shared" si="192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191"/>
        <v>-5</v>
      </c>
    </row>
    <row r="6117" spans="1:8" x14ac:dyDescent="0.2">
      <c r="A6117" t="s">
        <v>7</v>
      </c>
      <c r="B6117" t="s">
        <v>25</v>
      </c>
      <c r="C6117" t="str">
        <f t="shared" si="192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191"/>
        <v>-5</v>
      </c>
    </row>
    <row r="6118" spans="1:8" x14ac:dyDescent="0.2">
      <c r="A6118" t="s">
        <v>7</v>
      </c>
      <c r="B6118" t="s">
        <v>25</v>
      </c>
      <c r="C6118" t="str">
        <f t="shared" si="192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191"/>
        <v>-5</v>
      </c>
    </row>
    <row r="6119" spans="1:8" x14ac:dyDescent="0.2">
      <c r="A6119" t="s">
        <v>7</v>
      </c>
      <c r="B6119" t="s">
        <v>25</v>
      </c>
      <c r="C6119" t="str">
        <f t="shared" si="192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191"/>
        <v>-5</v>
      </c>
    </row>
    <row r="6120" spans="1:8" x14ac:dyDescent="0.2">
      <c r="A6120" t="s">
        <v>7</v>
      </c>
      <c r="B6120" t="s">
        <v>25</v>
      </c>
      <c r="C6120" t="str">
        <f t="shared" si="192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191"/>
        <v>-5</v>
      </c>
    </row>
    <row r="6121" spans="1:8" x14ac:dyDescent="0.2">
      <c r="A6121" t="s">
        <v>7</v>
      </c>
      <c r="B6121" t="s">
        <v>25</v>
      </c>
      <c r="C6121" t="str">
        <f t="shared" si="192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191"/>
        <v>-5</v>
      </c>
    </row>
    <row r="6122" spans="1:8" x14ac:dyDescent="0.2">
      <c r="A6122" t="s">
        <v>7</v>
      </c>
      <c r="B6122" t="s">
        <v>25</v>
      </c>
      <c r="C6122" t="str">
        <f t="shared" si="192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191"/>
        <v>-5</v>
      </c>
    </row>
    <row r="6123" spans="1:8" x14ac:dyDescent="0.2">
      <c r="A6123" t="s">
        <v>7</v>
      </c>
      <c r="B6123" t="s">
        <v>25</v>
      </c>
      <c r="C6123" t="str">
        <f t="shared" si="192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191"/>
        <v>-5</v>
      </c>
    </row>
    <row r="6124" spans="1:8" x14ac:dyDescent="0.2">
      <c r="A6124" t="s">
        <v>7</v>
      </c>
      <c r="B6124" t="s">
        <v>25</v>
      </c>
      <c r="C6124" t="str">
        <f t="shared" si="192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191"/>
        <v>-7</v>
      </c>
    </row>
    <row r="6125" spans="1:8" x14ac:dyDescent="0.2">
      <c r="A6125" t="s">
        <v>7</v>
      </c>
      <c r="B6125" t="s">
        <v>25</v>
      </c>
      <c r="C6125" t="str">
        <f t="shared" si="192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191"/>
        <v>-7</v>
      </c>
    </row>
    <row r="6126" spans="1:8" x14ac:dyDescent="0.2">
      <c r="A6126" t="s">
        <v>7</v>
      </c>
      <c r="B6126" t="s">
        <v>25</v>
      </c>
      <c r="C6126" t="str">
        <f t="shared" si="192"/>
        <v>No cumple</v>
      </c>
      <c r="D6126">
        <v>9381</v>
      </c>
      <c r="E6126" s="19" t="s">
        <v>8</v>
      </c>
      <c r="F6126">
        <v>0</v>
      </c>
      <c r="G6126">
        <v>3</v>
      </c>
      <c r="H6126">
        <f t="shared" si="191"/>
        <v>-3</v>
      </c>
    </row>
    <row r="6127" spans="1:8" x14ac:dyDescent="0.2">
      <c r="A6127" t="s">
        <v>7</v>
      </c>
      <c r="B6127" t="s">
        <v>25</v>
      </c>
      <c r="C6127" t="str">
        <f t="shared" si="192"/>
        <v>No cumple</v>
      </c>
      <c r="D6127">
        <v>2051</v>
      </c>
      <c r="E6127" s="19" t="s">
        <v>8</v>
      </c>
      <c r="F6127">
        <v>0</v>
      </c>
      <c r="G6127">
        <v>3</v>
      </c>
      <c r="H6127">
        <f t="shared" si="191"/>
        <v>-3</v>
      </c>
    </row>
    <row r="6128" spans="1:8" x14ac:dyDescent="0.2">
      <c r="A6128" t="s">
        <v>7</v>
      </c>
      <c r="B6128" t="s">
        <v>25</v>
      </c>
      <c r="C6128" t="str">
        <f t="shared" si="192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191"/>
        <v>-6</v>
      </c>
    </row>
    <row r="6129" spans="1:8" x14ac:dyDescent="0.2">
      <c r="A6129" t="s">
        <v>7</v>
      </c>
      <c r="B6129" t="s">
        <v>25</v>
      </c>
      <c r="C6129" t="str">
        <f t="shared" si="192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191"/>
        <v>-6</v>
      </c>
    </row>
    <row r="6130" spans="1:8" x14ac:dyDescent="0.2">
      <c r="A6130" t="s">
        <v>7</v>
      </c>
      <c r="B6130" t="s">
        <v>25</v>
      </c>
      <c r="C6130" t="str">
        <f t="shared" si="192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191"/>
        <v>-6</v>
      </c>
    </row>
    <row r="6131" spans="1:8" x14ac:dyDescent="0.2">
      <c r="A6131" t="s">
        <v>19</v>
      </c>
      <c r="B6131" t="s">
        <v>25</v>
      </c>
      <c r="C6131" t="str">
        <f t="shared" si="192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191"/>
        <v>-6</v>
      </c>
    </row>
    <row r="6132" spans="1:8" x14ac:dyDescent="0.2">
      <c r="A6132" t="s">
        <v>18</v>
      </c>
      <c r="B6132" t="s">
        <v>25</v>
      </c>
      <c r="C6132" t="str">
        <f t="shared" si="192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191"/>
        <v>-6</v>
      </c>
    </row>
    <row r="6133" spans="1:8" x14ac:dyDescent="0.2">
      <c r="A6133" t="s">
        <v>7</v>
      </c>
      <c r="B6133" t="s">
        <v>25</v>
      </c>
      <c r="C6133" t="str">
        <f t="shared" si="192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191"/>
        <v>-6</v>
      </c>
    </row>
    <row r="6134" spans="1:8" x14ac:dyDescent="0.2">
      <c r="A6134" t="s">
        <v>18</v>
      </c>
      <c r="B6134" t="s">
        <v>25</v>
      </c>
      <c r="C6134" t="str">
        <f t="shared" si="192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191"/>
        <v>-6</v>
      </c>
    </row>
    <row r="6135" spans="1:8" x14ac:dyDescent="0.2">
      <c r="A6135" t="s">
        <v>7</v>
      </c>
      <c r="B6135" t="s">
        <v>25</v>
      </c>
      <c r="C6135" t="str">
        <f t="shared" si="192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191"/>
        <v>-6</v>
      </c>
    </row>
    <row r="6136" spans="1:8" x14ac:dyDescent="0.2">
      <c r="A6136" t="s">
        <v>7</v>
      </c>
      <c r="B6136" t="s">
        <v>25</v>
      </c>
      <c r="C6136" t="str">
        <f t="shared" si="192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191"/>
        <v>-6</v>
      </c>
    </row>
    <row r="6137" spans="1:8" x14ac:dyDescent="0.2">
      <c r="A6137" t="s">
        <v>19</v>
      </c>
      <c r="B6137" t="s">
        <v>25</v>
      </c>
      <c r="C6137" t="str">
        <f t="shared" si="192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191"/>
        <v>-6</v>
      </c>
    </row>
    <row r="6138" spans="1:8" x14ac:dyDescent="0.2">
      <c r="A6138" t="s">
        <v>7</v>
      </c>
      <c r="B6138" t="s">
        <v>25</v>
      </c>
      <c r="C6138" t="str">
        <f t="shared" si="192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191"/>
        <v>-6</v>
      </c>
    </row>
    <row r="6139" spans="1:8" x14ac:dyDescent="0.2">
      <c r="A6139" t="s">
        <v>7</v>
      </c>
      <c r="B6139" t="s">
        <v>25</v>
      </c>
      <c r="C6139" t="str">
        <f t="shared" si="192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191"/>
        <v>-6</v>
      </c>
    </row>
    <row r="6140" spans="1:8" x14ac:dyDescent="0.2">
      <c r="A6140" t="s">
        <v>18</v>
      </c>
      <c r="B6140" t="s">
        <v>25</v>
      </c>
      <c r="C6140" t="str">
        <f t="shared" si="192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191"/>
        <v>-6</v>
      </c>
    </row>
    <row r="6141" spans="1:8" x14ac:dyDescent="0.2">
      <c r="A6141" t="s">
        <v>7</v>
      </c>
      <c r="B6141" t="s">
        <v>25</v>
      </c>
      <c r="C6141" t="str">
        <f t="shared" si="192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191"/>
        <v>-6</v>
      </c>
    </row>
    <row r="6142" spans="1:8" x14ac:dyDescent="0.2">
      <c r="A6142" t="s">
        <v>7</v>
      </c>
      <c r="B6142" t="s">
        <v>25</v>
      </c>
      <c r="C6142" t="str">
        <f t="shared" si="192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191"/>
        <v>-6</v>
      </c>
    </row>
    <row r="6143" spans="1:8" x14ac:dyDescent="0.2">
      <c r="A6143" t="s">
        <v>7</v>
      </c>
      <c r="B6143" t="s">
        <v>25</v>
      </c>
      <c r="C6143" t="str">
        <f t="shared" si="192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191"/>
        <v>-6</v>
      </c>
    </row>
    <row r="6144" spans="1:8" x14ac:dyDescent="0.2">
      <c r="A6144" t="s">
        <v>18</v>
      </c>
      <c r="B6144" t="s">
        <v>25</v>
      </c>
      <c r="C6144" t="str">
        <f t="shared" si="192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191"/>
        <v>-6</v>
      </c>
    </row>
    <row r="6145" spans="1:8" x14ac:dyDescent="0.2">
      <c r="A6145" t="s">
        <v>7</v>
      </c>
      <c r="B6145" t="s">
        <v>25</v>
      </c>
      <c r="C6145" t="str">
        <f t="shared" si="192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191"/>
        <v>-6</v>
      </c>
    </row>
    <row r="6146" spans="1:8" x14ac:dyDescent="0.2">
      <c r="A6146" t="s">
        <v>18</v>
      </c>
      <c r="B6146" t="s">
        <v>25</v>
      </c>
      <c r="C6146" t="str">
        <f t="shared" si="192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191"/>
        <v>-6</v>
      </c>
    </row>
    <row r="6147" spans="1:8" x14ac:dyDescent="0.2">
      <c r="A6147" t="s">
        <v>19</v>
      </c>
      <c r="B6147" t="s">
        <v>25</v>
      </c>
      <c r="C6147" t="str">
        <f t="shared" si="192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ref="H6147:H6210" si="193">F6147-G6147</f>
        <v>-6</v>
      </c>
    </row>
    <row r="6148" spans="1:8" x14ac:dyDescent="0.2">
      <c r="A6148" t="s">
        <v>7</v>
      </c>
      <c r="B6148" t="s">
        <v>25</v>
      </c>
      <c r="C6148" t="str">
        <f t="shared" si="192"/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193"/>
        <v>-6</v>
      </c>
    </row>
    <row r="6149" spans="1:8" x14ac:dyDescent="0.2">
      <c r="A6149" t="s">
        <v>18</v>
      </c>
      <c r="B6149" t="s">
        <v>25</v>
      </c>
      <c r="C6149" t="str">
        <f t="shared" ref="C6149:C6212" si="194">IF(H6149&gt;=0,"Cumple","No cumple")</f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si="193"/>
        <v>-6</v>
      </c>
    </row>
    <row r="6150" spans="1:8" x14ac:dyDescent="0.2">
      <c r="A6150" t="s">
        <v>7</v>
      </c>
      <c r="B6150" t="s">
        <v>25</v>
      </c>
      <c r="C6150" t="str">
        <f t="shared" si="194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193"/>
        <v>-6</v>
      </c>
    </row>
    <row r="6151" spans="1:8" x14ac:dyDescent="0.2">
      <c r="A6151" t="s">
        <v>7</v>
      </c>
      <c r="B6151" t="s">
        <v>25</v>
      </c>
      <c r="C6151" t="str">
        <f t="shared" si="194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193"/>
        <v>0</v>
      </c>
    </row>
    <row r="6152" spans="1:8" x14ac:dyDescent="0.2">
      <c r="A6152" t="s">
        <v>19</v>
      </c>
      <c r="B6152" t="s">
        <v>25</v>
      </c>
      <c r="C6152" t="str">
        <f t="shared" si="194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193"/>
        <v>-6</v>
      </c>
    </row>
    <row r="6153" spans="1:8" x14ac:dyDescent="0.2">
      <c r="A6153" t="s">
        <v>18</v>
      </c>
      <c r="B6153" t="s">
        <v>25</v>
      </c>
      <c r="C6153" t="str">
        <f t="shared" si="194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193"/>
        <v>-6</v>
      </c>
    </row>
    <row r="6154" spans="1:8" x14ac:dyDescent="0.2">
      <c r="A6154" t="s">
        <v>7</v>
      </c>
      <c r="B6154" t="s">
        <v>25</v>
      </c>
      <c r="C6154" t="str">
        <f t="shared" si="194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193"/>
        <v>-6</v>
      </c>
    </row>
    <row r="6155" spans="1:8" x14ac:dyDescent="0.2">
      <c r="A6155" t="s">
        <v>18</v>
      </c>
      <c r="B6155" t="s">
        <v>25</v>
      </c>
      <c r="C6155" t="str">
        <f t="shared" si="194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193"/>
        <v>-6</v>
      </c>
    </row>
    <row r="6156" spans="1:8" x14ac:dyDescent="0.2">
      <c r="A6156" t="s">
        <v>7</v>
      </c>
      <c r="B6156" t="s">
        <v>25</v>
      </c>
      <c r="C6156" t="str">
        <f t="shared" si="194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193"/>
        <v>-6</v>
      </c>
    </row>
    <row r="6157" spans="1:8" x14ac:dyDescent="0.2">
      <c r="A6157" t="s">
        <v>7</v>
      </c>
      <c r="B6157" t="s">
        <v>25</v>
      </c>
      <c r="C6157" t="str">
        <f t="shared" si="194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193"/>
        <v>-6</v>
      </c>
    </row>
    <row r="6158" spans="1:8" x14ac:dyDescent="0.2">
      <c r="A6158" t="s">
        <v>7</v>
      </c>
      <c r="B6158" t="s">
        <v>25</v>
      </c>
      <c r="C6158" t="str">
        <f t="shared" si="194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193"/>
        <v>-6</v>
      </c>
    </row>
    <row r="6159" spans="1:8" x14ac:dyDescent="0.2">
      <c r="A6159" t="s">
        <v>7</v>
      </c>
      <c r="B6159" t="s">
        <v>25</v>
      </c>
      <c r="C6159" t="str">
        <f t="shared" si="194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193"/>
        <v>-6</v>
      </c>
    </row>
    <row r="6160" spans="1:8" x14ac:dyDescent="0.2">
      <c r="A6160" t="s">
        <v>18</v>
      </c>
      <c r="B6160" t="s">
        <v>25</v>
      </c>
      <c r="C6160" t="str">
        <f t="shared" si="194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193"/>
        <v>-6</v>
      </c>
    </row>
    <row r="6161" spans="1:8" x14ac:dyDescent="0.2">
      <c r="A6161" t="s">
        <v>7</v>
      </c>
      <c r="B6161" t="s">
        <v>25</v>
      </c>
      <c r="C6161" t="str">
        <f t="shared" si="194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193"/>
        <v>-6</v>
      </c>
    </row>
    <row r="6162" spans="1:8" x14ac:dyDescent="0.2">
      <c r="A6162" t="s">
        <v>7</v>
      </c>
      <c r="B6162" t="s">
        <v>25</v>
      </c>
      <c r="C6162" t="str">
        <f t="shared" si="194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193"/>
        <v>-6</v>
      </c>
    </row>
    <row r="6163" spans="1:8" x14ac:dyDescent="0.2">
      <c r="A6163" t="s">
        <v>7</v>
      </c>
      <c r="B6163" t="s">
        <v>25</v>
      </c>
      <c r="C6163" t="str">
        <f t="shared" si="194"/>
        <v>Cumple</v>
      </c>
      <c r="D6163">
        <v>2672</v>
      </c>
      <c r="E6163" s="19" t="s">
        <v>8</v>
      </c>
      <c r="F6163" s="9">
        <v>6</v>
      </c>
      <c r="G6163">
        <v>6</v>
      </c>
      <c r="H6163">
        <f t="shared" si="193"/>
        <v>0</v>
      </c>
    </row>
    <row r="6164" spans="1:8" x14ac:dyDescent="0.2">
      <c r="A6164" t="s">
        <v>7</v>
      </c>
      <c r="B6164" t="s">
        <v>25</v>
      </c>
      <c r="C6164" t="str">
        <f t="shared" si="194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193"/>
        <v>-6</v>
      </c>
    </row>
    <row r="6165" spans="1:8" x14ac:dyDescent="0.2">
      <c r="A6165" t="s">
        <v>7</v>
      </c>
      <c r="B6165" t="s">
        <v>25</v>
      </c>
      <c r="C6165" t="str">
        <f t="shared" si="194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193"/>
        <v>-6</v>
      </c>
    </row>
    <row r="6166" spans="1:8" x14ac:dyDescent="0.2">
      <c r="A6166" t="s">
        <v>7</v>
      </c>
      <c r="B6166" t="s">
        <v>25</v>
      </c>
      <c r="C6166" t="str">
        <f t="shared" si="194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193"/>
        <v>-6</v>
      </c>
    </row>
    <row r="6167" spans="1:8" x14ac:dyDescent="0.2">
      <c r="A6167" t="s">
        <v>18</v>
      </c>
      <c r="B6167" t="s">
        <v>25</v>
      </c>
      <c r="C6167" t="str">
        <f t="shared" si="194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193"/>
        <v>-6</v>
      </c>
    </row>
    <row r="6168" spans="1:8" x14ac:dyDescent="0.2">
      <c r="A6168" t="s">
        <v>18</v>
      </c>
      <c r="B6168" t="s">
        <v>25</v>
      </c>
      <c r="C6168" t="str">
        <f t="shared" si="194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193"/>
        <v>-6</v>
      </c>
    </row>
    <row r="6169" spans="1:8" x14ac:dyDescent="0.2">
      <c r="A6169" t="s">
        <v>18</v>
      </c>
      <c r="B6169" t="s">
        <v>25</v>
      </c>
      <c r="C6169" t="str">
        <f t="shared" si="194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193"/>
        <v>-6</v>
      </c>
    </row>
    <row r="6170" spans="1:8" x14ac:dyDescent="0.2">
      <c r="A6170" t="s">
        <v>7</v>
      </c>
      <c r="B6170" t="s">
        <v>25</v>
      </c>
      <c r="C6170" t="str">
        <f t="shared" si="194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193"/>
        <v>-6</v>
      </c>
    </row>
    <row r="6171" spans="1:8" x14ac:dyDescent="0.2">
      <c r="A6171" t="s">
        <v>7</v>
      </c>
      <c r="B6171" t="s">
        <v>25</v>
      </c>
      <c r="C6171" t="str">
        <f t="shared" si="194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193"/>
        <v>-6</v>
      </c>
    </row>
    <row r="6172" spans="1:8" x14ac:dyDescent="0.2">
      <c r="A6172" t="s">
        <v>18</v>
      </c>
      <c r="B6172" t="s">
        <v>25</v>
      </c>
      <c r="C6172" t="str">
        <f t="shared" si="194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193"/>
        <v>-6</v>
      </c>
    </row>
    <row r="6173" spans="1:8" x14ac:dyDescent="0.2">
      <c r="A6173" t="s">
        <v>18</v>
      </c>
      <c r="B6173" t="s">
        <v>25</v>
      </c>
      <c r="C6173" t="str">
        <f t="shared" si="194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193"/>
        <v>-6</v>
      </c>
    </row>
    <row r="6174" spans="1:8" x14ac:dyDescent="0.2">
      <c r="A6174" t="s">
        <v>18</v>
      </c>
      <c r="B6174" t="s">
        <v>25</v>
      </c>
      <c r="C6174" t="str">
        <f t="shared" si="194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193"/>
        <v>-6</v>
      </c>
    </row>
    <row r="6175" spans="1:8" x14ac:dyDescent="0.2">
      <c r="A6175" t="s">
        <v>7</v>
      </c>
      <c r="B6175" t="s">
        <v>25</v>
      </c>
      <c r="C6175" t="str">
        <f t="shared" si="194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193"/>
        <v>-6</v>
      </c>
    </row>
    <row r="6176" spans="1:8" x14ac:dyDescent="0.2">
      <c r="A6176" t="s">
        <v>18</v>
      </c>
      <c r="B6176" t="s">
        <v>25</v>
      </c>
      <c r="C6176" t="str">
        <f t="shared" si="194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193"/>
        <v>-6</v>
      </c>
    </row>
    <row r="6177" spans="1:8" x14ac:dyDescent="0.2">
      <c r="A6177" t="s">
        <v>7</v>
      </c>
      <c r="B6177" t="s">
        <v>25</v>
      </c>
      <c r="C6177" t="str">
        <f t="shared" si="194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193"/>
        <v>-6</v>
      </c>
    </row>
    <row r="6178" spans="1:8" x14ac:dyDescent="0.2">
      <c r="A6178" t="s">
        <v>18</v>
      </c>
      <c r="B6178" t="s">
        <v>25</v>
      </c>
      <c r="C6178" t="str">
        <f t="shared" si="194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193"/>
        <v>-6</v>
      </c>
    </row>
    <row r="6179" spans="1:8" x14ac:dyDescent="0.2">
      <c r="A6179" t="s">
        <v>18</v>
      </c>
      <c r="B6179" t="s">
        <v>25</v>
      </c>
      <c r="C6179" t="str">
        <f t="shared" si="194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193"/>
        <v>-6</v>
      </c>
    </row>
    <row r="6180" spans="1:8" x14ac:dyDescent="0.2">
      <c r="A6180" t="s">
        <v>19</v>
      </c>
      <c r="B6180" t="s">
        <v>25</v>
      </c>
      <c r="C6180" t="str">
        <f t="shared" si="194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193"/>
        <v>-6</v>
      </c>
    </row>
    <row r="6181" spans="1:8" x14ac:dyDescent="0.2">
      <c r="A6181" t="s">
        <v>18</v>
      </c>
      <c r="B6181" t="s">
        <v>25</v>
      </c>
      <c r="C6181" t="str">
        <f t="shared" si="194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193"/>
        <v>-6</v>
      </c>
    </row>
    <row r="6182" spans="1:8" x14ac:dyDescent="0.2">
      <c r="A6182" t="s">
        <v>18</v>
      </c>
      <c r="B6182" t="s">
        <v>25</v>
      </c>
      <c r="C6182" t="str">
        <f t="shared" si="194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193"/>
        <v>-6</v>
      </c>
    </row>
    <row r="6183" spans="1:8" x14ac:dyDescent="0.2">
      <c r="A6183" t="s">
        <v>7</v>
      </c>
      <c r="B6183" t="s">
        <v>25</v>
      </c>
      <c r="C6183" t="str">
        <f t="shared" si="194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193"/>
        <v>-6</v>
      </c>
    </row>
    <row r="6184" spans="1:8" x14ac:dyDescent="0.2">
      <c r="A6184" t="s">
        <v>7</v>
      </c>
      <c r="B6184" t="s">
        <v>25</v>
      </c>
      <c r="C6184" t="str">
        <f t="shared" si="194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193"/>
        <v>-6</v>
      </c>
    </row>
    <row r="6185" spans="1:8" x14ac:dyDescent="0.2">
      <c r="A6185" t="s">
        <v>19</v>
      </c>
      <c r="B6185" t="s">
        <v>25</v>
      </c>
      <c r="C6185" t="str">
        <f t="shared" si="194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193"/>
        <v>-6</v>
      </c>
    </row>
    <row r="6186" spans="1:8" x14ac:dyDescent="0.2">
      <c r="A6186" t="s">
        <v>19</v>
      </c>
      <c r="B6186" t="s">
        <v>25</v>
      </c>
      <c r="C6186" t="str">
        <f t="shared" si="194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193"/>
        <v>-6</v>
      </c>
    </row>
    <row r="6187" spans="1:8" x14ac:dyDescent="0.2">
      <c r="A6187" t="s">
        <v>19</v>
      </c>
      <c r="B6187" t="s">
        <v>25</v>
      </c>
      <c r="C6187" t="str">
        <f t="shared" si="194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193"/>
        <v>-6</v>
      </c>
    </row>
    <row r="6188" spans="1:8" x14ac:dyDescent="0.2">
      <c r="A6188" t="s">
        <v>18</v>
      </c>
      <c r="B6188" t="s">
        <v>25</v>
      </c>
      <c r="C6188" t="str">
        <f t="shared" si="194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193"/>
        <v>-6</v>
      </c>
    </row>
    <row r="6189" spans="1:8" x14ac:dyDescent="0.2">
      <c r="A6189" t="s">
        <v>18</v>
      </c>
      <c r="B6189" t="s">
        <v>25</v>
      </c>
      <c r="C6189" t="str">
        <f t="shared" si="194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193"/>
        <v>-6</v>
      </c>
    </row>
    <row r="6190" spans="1:8" x14ac:dyDescent="0.2">
      <c r="A6190" t="s">
        <v>7</v>
      </c>
      <c r="B6190" t="s">
        <v>25</v>
      </c>
      <c r="C6190" t="str">
        <f t="shared" si="194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193"/>
        <v>-6</v>
      </c>
    </row>
    <row r="6191" spans="1:8" x14ac:dyDescent="0.2">
      <c r="A6191" t="s">
        <v>19</v>
      </c>
      <c r="B6191" t="s">
        <v>25</v>
      </c>
      <c r="C6191" t="str">
        <f t="shared" si="194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193"/>
        <v>-6</v>
      </c>
    </row>
    <row r="6192" spans="1:8" x14ac:dyDescent="0.2">
      <c r="A6192" t="s">
        <v>18</v>
      </c>
      <c r="B6192" t="s">
        <v>25</v>
      </c>
      <c r="C6192" t="str">
        <f t="shared" si="194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193"/>
        <v>-6</v>
      </c>
    </row>
    <row r="6193" spans="1:8" x14ac:dyDescent="0.2">
      <c r="A6193" t="s">
        <v>18</v>
      </c>
      <c r="B6193" t="s">
        <v>25</v>
      </c>
      <c r="C6193" t="str">
        <f t="shared" si="194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193"/>
        <v>-6</v>
      </c>
    </row>
    <row r="6194" spans="1:8" x14ac:dyDescent="0.2">
      <c r="A6194" t="s">
        <v>18</v>
      </c>
      <c r="B6194" t="s">
        <v>25</v>
      </c>
      <c r="C6194" t="str">
        <f t="shared" si="194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193"/>
        <v>-6</v>
      </c>
    </row>
    <row r="6195" spans="1:8" x14ac:dyDescent="0.2">
      <c r="A6195" t="s">
        <v>7</v>
      </c>
      <c r="B6195" t="s">
        <v>25</v>
      </c>
      <c r="C6195" t="str">
        <f t="shared" si="194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193"/>
        <v>0</v>
      </c>
    </row>
    <row r="6196" spans="1:8" x14ac:dyDescent="0.2">
      <c r="A6196" t="s">
        <v>18</v>
      </c>
      <c r="B6196" t="s">
        <v>25</v>
      </c>
      <c r="C6196" t="str">
        <f t="shared" si="194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193"/>
        <v>-6</v>
      </c>
    </row>
    <row r="6197" spans="1:8" x14ac:dyDescent="0.2">
      <c r="A6197" t="s">
        <v>18</v>
      </c>
      <c r="B6197" t="s">
        <v>25</v>
      </c>
      <c r="C6197" t="str">
        <f t="shared" si="194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193"/>
        <v>-6</v>
      </c>
    </row>
    <row r="6198" spans="1:8" x14ac:dyDescent="0.2">
      <c r="A6198" t="s">
        <v>7</v>
      </c>
      <c r="B6198" t="s">
        <v>25</v>
      </c>
      <c r="C6198" t="str">
        <f t="shared" si="194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193"/>
        <v>-6</v>
      </c>
    </row>
    <row r="6199" spans="1:8" x14ac:dyDescent="0.2">
      <c r="A6199" t="s">
        <v>19</v>
      </c>
      <c r="B6199" t="s">
        <v>25</v>
      </c>
      <c r="C6199" t="str">
        <f t="shared" si="194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193"/>
        <v>-6</v>
      </c>
    </row>
    <row r="6200" spans="1:8" x14ac:dyDescent="0.2">
      <c r="A6200" t="s">
        <v>18</v>
      </c>
      <c r="B6200" t="s">
        <v>25</v>
      </c>
      <c r="C6200" t="str">
        <f t="shared" si="194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193"/>
        <v>-6</v>
      </c>
    </row>
    <row r="6201" spans="1:8" x14ac:dyDescent="0.2">
      <c r="A6201" t="s">
        <v>19</v>
      </c>
      <c r="B6201" t="s">
        <v>25</v>
      </c>
      <c r="C6201" t="str">
        <f t="shared" si="194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193"/>
        <v>-6</v>
      </c>
    </row>
    <row r="6202" spans="1:8" x14ac:dyDescent="0.2">
      <c r="A6202" t="s">
        <v>18</v>
      </c>
      <c r="B6202" t="s">
        <v>25</v>
      </c>
      <c r="C6202" t="str">
        <f t="shared" si="194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193"/>
        <v>-6</v>
      </c>
    </row>
    <row r="6203" spans="1:8" x14ac:dyDescent="0.2">
      <c r="A6203" t="s">
        <v>18</v>
      </c>
      <c r="B6203" t="s">
        <v>25</v>
      </c>
      <c r="C6203" t="str">
        <f t="shared" si="194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193"/>
        <v>-6</v>
      </c>
    </row>
    <row r="6204" spans="1:8" x14ac:dyDescent="0.2">
      <c r="A6204" t="s">
        <v>7</v>
      </c>
      <c r="B6204" t="s">
        <v>25</v>
      </c>
      <c r="C6204" t="str">
        <f t="shared" si="194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193"/>
        <v>-6</v>
      </c>
    </row>
    <row r="6205" spans="1:8" x14ac:dyDescent="0.2">
      <c r="A6205" t="s">
        <v>18</v>
      </c>
      <c r="B6205" t="s">
        <v>25</v>
      </c>
      <c r="C6205" t="str">
        <f t="shared" si="194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193"/>
        <v>-6</v>
      </c>
    </row>
    <row r="6206" spans="1:8" x14ac:dyDescent="0.2">
      <c r="A6206" t="s">
        <v>18</v>
      </c>
      <c r="B6206" t="s">
        <v>25</v>
      </c>
      <c r="C6206" t="str">
        <f t="shared" si="194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193"/>
        <v>-6</v>
      </c>
    </row>
    <row r="6207" spans="1:8" x14ac:dyDescent="0.2">
      <c r="A6207" t="s">
        <v>7</v>
      </c>
      <c r="B6207" t="s">
        <v>25</v>
      </c>
      <c r="C6207" t="str">
        <f t="shared" si="194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193"/>
        <v>-6</v>
      </c>
    </row>
    <row r="6208" spans="1:8" x14ac:dyDescent="0.2">
      <c r="A6208" t="s">
        <v>18</v>
      </c>
      <c r="B6208" t="s">
        <v>25</v>
      </c>
      <c r="C6208" t="str">
        <f t="shared" si="194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193"/>
        <v>-6</v>
      </c>
    </row>
    <row r="6209" spans="1:8" x14ac:dyDescent="0.2">
      <c r="A6209" t="s">
        <v>7</v>
      </c>
      <c r="B6209" t="s">
        <v>25</v>
      </c>
      <c r="C6209" t="str">
        <f t="shared" si="194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193"/>
        <v>-6</v>
      </c>
    </row>
    <row r="6210" spans="1:8" x14ac:dyDescent="0.2">
      <c r="A6210" t="s">
        <v>18</v>
      </c>
      <c r="B6210" t="s">
        <v>25</v>
      </c>
      <c r="C6210" t="str">
        <f t="shared" si="194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193"/>
        <v>-6</v>
      </c>
    </row>
    <row r="6211" spans="1:8" x14ac:dyDescent="0.2">
      <c r="A6211" t="s">
        <v>7</v>
      </c>
      <c r="B6211" t="s">
        <v>25</v>
      </c>
      <c r="C6211" t="str">
        <f t="shared" si="194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ref="H6211:H6274" si="195">F6211-G6211</f>
        <v>-8</v>
      </c>
    </row>
    <row r="6212" spans="1:8" x14ac:dyDescent="0.2">
      <c r="A6212" t="s">
        <v>19</v>
      </c>
      <c r="B6212" t="s">
        <v>25</v>
      </c>
      <c r="C6212" t="str">
        <f t="shared" si="194"/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195"/>
        <v>-8</v>
      </c>
    </row>
    <row r="6213" spans="1:8" x14ac:dyDescent="0.2">
      <c r="A6213" t="s">
        <v>7</v>
      </c>
      <c r="B6213" t="s">
        <v>25</v>
      </c>
      <c r="C6213" t="str">
        <f t="shared" ref="C6213:C6276" si="196">IF(H6213&gt;=0,"Cumple","No cumple")</f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si="195"/>
        <v>-8</v>
      </c>
    </row>
    <row r="6214" spans="1:8" x14ac:dyDescent="0.2">
      <c r="A6214" t="s">
        <v>19</v>
      </c>
      <c r="B6214" t="s">
        <v>25</v>
      </c>
      <c r="C6214" t="str">
        <f t="shared" si="196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195"/>
        <v>-8</v>
      </c>
    </row>
    <row r="6215" spans="1:8" x14ac:dyDescent="0.2">
      <c r="A6215" t="s">
        <v>18</v>
      </c>
      <c r="B6215" t="s">
        <v>25</v>
      </c>
      <c r="C6215" t="str">
        <f t="shared" si="196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195"/>
        <v>-8</v>
      </c>
    </row>
    <row r="6216" spans="1:8" x14ac:dyDescent="0.2">
      <c r="A6216" t="s">
        <v>18</v>
      </c>
      <c r="B6216" t="s">
        <v>25</v>
      </c>
      <c r="C6216" t="str">
        <f t="shared" si="196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195"/>
        <v>-8</v>
      </c>
    </row>
    <row r="6217" spans="1:8" x14ac:dyDescent="0.2">
      <c r="A6217" t="s">
        <v>7</v>
      </c>
      <c r="B6217" t="s">
        <v>25</v>
      </c>
      <c r="C6217" t="str">
        <f t="shared" si="196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195"/>
        <v>-8</v>
      </c>
    </row>
    <row r="6218" spans="1:8" x14ac:dyDescent="0.2">
      <c r="A6218" t="s">
        <v>19</v>
      </c>
      <c r="B6218" t="s">
        <v>25</v>
      </c>
      <c r="C6218" t="str">
        <f t="shared" si="196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195"/>
        <v>-8</v>
      </c>
    </row>
    <row r="6219" spans="1:8" x14ac:dyDescent="0.2">
      <c r="A6219" t="s">
        <v>18</v>
      </c>
      <c r="B6219" t="s">
        <v>25</v>
      </c>
      <c r="C6219" t="str">
        <f t="shared" si="196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195"/>
        <v>-8</v>
      </c>
    </row>
    <row r="6220" spans="1:8" x14ac:dyDescent="0.2">
      <c r="A6220" t="s">
        <v>18</v>
      </c>
      <c r="B6220" t="s">
        <v>25</v>
      </c>
      <c r="C6220" t="str">
        <f t="shared" si="196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195"/>
        <v>-8</v>
      </c>
    </row>
    <row r="6221" spans="1:8" x14ac:dyDescent="0.2">
      <c r="A6221" t="s">
        <v>7</v>
      </c>
      <c r="B6221" t="s">
        <v>25</v>
      </c>
      <c r="C6221" t="str">
        <f t="shared" si="196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195"/>
        <v>-8</v>
      </c>
    </row>
    <row r="6222" spans="1:8" x14ac:dyDescent="0.2">
      <c r="A6222" t="s">
        <v>18</v>
      </c>
      <c r="B6222" t="s">
        <v>25</v>
      </c>
      <c r="C6222" t="str">
        <f t="shared" si="196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195"/>
        <v>-8</v>
      </c>
    </row>
    <row r="6223" spans="1:8" x14ac:dyDescent="0.2">
      <c r="A6223" t="s">
        <v>18</v>
      </c>
      <c r="B6223" t="s">
        <v>25</v>
      </c>
      <c r="C6223" t="str">
        <f t="shared" si="196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195"/>
        <v>-8</v>
      </c>
    </row>
    <row r="6224" spans="1:8" x14ac:dyDescent="0.2">
      <c r="A6224" t="s">
        <v>18</v>
      </c>
      <c r="B6224" t="s">
        <v>25</v>
      </c>
      <c r="C6224" t="str">
        <f t="shared" si="196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195"/>
        <v>-8</v>
      </c>
    </row>
    <row r="6225" spans="1:8" x14ac:dyDescent="0.2">
      <c r="A6225" t="s">
        <v>7</v>
      </c>
      <c r="B6225" t="s">
        <v>25</v>
      </c>
      <c r="C6225" t="str">
        <f t="shared" si="196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195"/>
        <v>-6</v>
      </c>
    </row>
    <row r="6226" spans="1:8" x14ac:dyDescent="0.2">
      <c r="A6226" t="s">
        <v>7</v>
      </c>
      <c r="B6226" t="s">
        <v>25</v>
      </c>
      <c r="C6226" t="str">
        <f t="shared" si="196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195"/>
        <v>-6</v>
      </c>
    </row>
    <row r="6227" spans="1:8" x14ac:dyDescent="0.2">
      <c r="A6227" t="s">
        <v>18</v>
      </c>
      <c r="B6227" t="s">
        <v>25</v>
      </c>
      <c r="C6227" t="str">
        <f t="shared" si="196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195"/>
        <v>-6</v>
      </c>
    </row>
    <row r="6228" spans="1:8" x14ac:dyDescent="0.2">
      <c r="A6228" t="s">
        <v>18</v>
      </c>
      <c r="B6228" t="s">
        <v>25</v>
      </c>
      <c r="C6228" t="str">
        <f t="shared" si="196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195"/>
        <v>-6</v>
      </c>
    </row>
    <row r="6229" spans="1:8" x14ac:dyDescent="0.2">
      <c r="A6229" t="s">
        <v>18</v>
      </c>
      <c r="B6229" t="s">
        <v>25</v>
      </c>
      <c r="C6229" t="str">
        <f t="shared" si="196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195"/>
        <v>-6</v>
      </c>
    </row>
    <row r="6230" spans="1:8" x14ac:dyDescent="0.2">
      <c r="A6230" t="s">
        <v>18</v>
      </c>
      <c r="B6230" t="s">
        <v>25</v>
      </c>
      <c r="C6230" t="str">
        <f t="shared" si="196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195"/>
        <v>-6</v>
      </c>
    </row>
    <row r="6231" spans="1:8" x14ac:dyDescent="0.2">
      <c r="A6231" t="s">
        <v>7</v>
      </c>
      <c r="B6231" t="s">
        <v>25</v>
      </c>
      <c r="C6231" t="str">
        <f t="shared" si="196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195"/>
        <v>-6</v>
      </c>
    </row>
    <row r="6232" spans="1:8" x14ac:dyDescent="0.2">
      <c r="A6232" t="s">
        <v>18</v>
      </c>
      <c r="B6232" t="s">
        <v>25</v>
      </c>
      <c r="C6232" t="str">
        <f t="shared" si="196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195"/>
        <v>-6</v>
      </c>
    </row>
    <row r="6233" spans="1:8" x14ac:dyDescent="0.2">
      <c r="A6233" t="s">
        <v>18</v>
      </c>
      <c r="B6233" t="s">
        <v>25</v>
      </c>
      <c r="C6233" t="str">
        <f t="shared" si="196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195"/>
        <v>-6</v>
      </c>
    </row>
    <row r="6234" spans="1:8" x14ac:dyDescent="0.2">
      <c r="A6234" t="s">
        <v>18</v>
      </c>
      <c r="B6234" t="s">
        <v>25</v>
      </c>
      <c r="C6234" t="str">
        <f t="shared" si="196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195"/>
        <v>-6</v>
      </c>
    </row>
    <row r="6235" spans="1:8" x14ac:dyDescent="0.2">
      <c r="A6235" t="s">
        <v>18</v>
      </c>
      <c r="B6235" t="s">
        <v>25</v>
      </c>
      <c r="C6235" t="str">
        <f t="shared" si="196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195"/>
        <v>-6</v>
      </c>
    </row>
    <row r="6236" spans="1:8" x14ac:dyDescent="0.2">
      <c r="A6236" t="s">
        <v>18</v>
      </c>
      <c r="B6236" t="s">
        <v>25</v>
      </c>
      <c r="C6236" t="str">
        <f t="shared" si="196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195"/>
        <v>-6</v>
      </c>
    </row>
    <row r="6237" spans="1:8" x14ac:dyDescent="0.2">
      <c r="A6237" t="s">
        <v>18</v>
      </c>
      <c r="B6237" t="s">
        <v>25</v>
      </c>
      <c r="C6237" t="str">
        <f t="shared" si="196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195"/>
        <v>-6</v>
      </c>
    </row>
    <row r="6238" spans="1:8" x14ac:dyDescent="0.2">
      <c r="A6238" t="s">
        <v>7</v>
      </c>
      <c r="B6238" t="s">
        <v>25</v>
      </c>
      <c r="C6238" t="str">
        <f t="shared" si="196"/>
        <v>Cumple</v>
      </c>
      <c r="D6238">
        <v>3169</v>
      </c>
      <c r="E6238" t="s">
        <v>10</v>
      </c>
      <c r="F6238">
        <v>51</v>
      </c>
      <c r="G6238">
        <v>20</v>
      </c>
      <c r="H6238">
        <f t="shared" si="195"/>
        <v>31</v>
      </c>
    </row>
    <row r="6239" spans="1:8" x14ac:dyDescent="0.2">
      <c r="A6239" t="s">
        <v>7</v>
      </c>
      <c r="B6239" t="s">
        <v>25</v>
      </c>
      <c r="C6239" t="str">
        <f t="shared" si="196"/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si="195"/>
        <v>27</v>
      </c>
    </row>
    <row r="6240" spans="1:8" x14ac:dyDescent="0.2">
      <c r="A6240" t="s">
        <v>7</v>
      </c>
      <c r="B6240" t="s">
        <v>25</v>
      </c>
      <c r="C6240" t="str">
        <f t="shared" si="19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195"/>
        <v>26</v>
      </c>
    </row>
    <row r="6241" spans="1:8" x14ac:dyDescent="0.2">
      <c r="A6241" t="s">
        <v>7</v>
      </c>
      <c r="B6241" t="s">
        <v>25</v>
      </c>
      <c r="C6241" t="str">
        <f t="shared" si="19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195"/>
        <v>25</v>
      </c>
    </row>
    <row r="6242" spans="1:8" x14ac:dyDescent="0.2">
      <c r="A6242" t="s">
        <v>7</v>
      </c>
      <c r="B6242" t="s">
        <v>25</v>
      </c>
      <c r="C6242" t="str">
        <f t="shared" si="19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195"/>
        <v>25</v>
      </c>
    </row>
    <row r="6243" spans="1:8" x14ac:dyDescent="0.2">
      <c r="A6243" t="s">
        <v>7</v>
      </c>
      <c r="B6243" t="s">
        <v>25</v>
      </c>
      <c r="C6243" t="str">
        <f t="shared" si="19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195"/>
        <v>23</v>
      </c>
    </row>
    <row r="6244" spans="1:8" x14ac:dyDescent="0.2">
      <c r="A6244" t="s">
        <v>7</v>
      </c>
      <c r="B6244" t="s">
        <v>25</v>
      </c>
      <c r="C6244" t="str">
        <f t="shared" si="19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195"/>
        <v>22</v>
      </c>
    </row>
    <row r="6245" spans="1:8" x14ac:dyDescent="0.2">
      <c r="A6245" t="s">
        <v>7</v>
      </c>
      <c r="B6245" t="s">
        <v>25</v>
      </c>
      <c r="C6245" t="str">
        <f t="shared" si="19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195"/>
        <v>20</v>
      </c>
    </row>
    <row r="6246" spans="1:8" x14ac:dyDescent="0.2">
      <c r="A6246" t="s">
        <v>7</v>
      </c>
      <c r="B6246" t="s">
        <v>25</v>
      </c>
      <c r="C6246" t="str">
        <f t="shared" si="19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195"/>
        <v>20</v>
      </c>
    </row>
    <row r="6247" spans="1:8" x14ac:dyDescent="0.2">
      <c r="A6247" t="s">
        <v>7</v>
      </c>
      <c r="B6247" t="s">
        <v>25</v>
      </c>
      <c r="C6247" t="str">
        <f t="shared" si="19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195"/>
        <v>20</v>
      </c>
    </row>
    <row r="6248" spans="1:8" x14ac:dyDescent="0.2">
      <c r="A6248" t="s">
        <v>7</v>
      </c>
      <c r="B6248" t="s">
        <v>25</v>
      </c>
      <c r="C6248" t="str">
        <f t="shared" si="19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195"/>
        <v>19</v>
      </c>
    </row>
    <row r="6249" spans="1:8" x14ac:dyDescent="0.2">
      <c r="A6249" t="s">
        <v>7</v>
      </c>
      <c r="B6249" t="s">
        <v>25</v>
      </c>
      <c r="C6249" t="str">
        <f t="shared" si="19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195"/>
        <v>19</v>
      </c>
    </row>
    <row r="6250" spans="1:8" x14ac:dyDescent="0.2">
      <c r="A6250" t="s">
        <v>7</v>
      </c>
      <c r="B6250" t="s">
        <v>25</v>
      </c>
      <c r="C6250" t="str">
        <f t="shared" si="19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195"/>
        <v>19</v>
      </c>
    </row>
    <row r="6251" spans="1:8" x14ac:dyDescent="0.2">
      <c r="A6251" t="s">
        <v>7</v>
      </c>
      <c r="B6251" t="s">
        <v>25</v>
      </c>
      <c r="C6251" t="str">
        <f t="shared" si="19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195"/>
        <v>19</v>
      </c>
    </row>
    <row r="6252" spans="1:8" x14ac:dyDescent="0.2">
      <c r="A6252" t="s">
        <v>7</v>
      </c>
      <c r="B6252" t="s">
        <v>25</v>
      </c>
      <c r="C6252" t="str">
        <f t="shared" si="19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195"/>
        <v>18</v>
      </c>
    </row>
    <row r="6253" spans="1:8" x14ac:dyDescent="0.2">
      <c r="A6253" t="s">
        <v>7</v>
      </c>
      <c r="B6253" t="s">
        <v>25</v>
      </c>
      <c r="C6253" t="str">
        <f t="shared" si="19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195"/>
        <v>17</v>
      </c>
    </row>
    <row r="6254" spans="1:8" x14ac:dyDescent="0.2">
      <c r="A6254" t="s">
        <v>7</v>
      </c>
      <c r="B6254" t="s">
        <v>25</v>
      </c>
      <c r="C6254" t="str">
        <f t="shared" si="19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195"/>
        <v>17</v>
      </c>
    </row>
    <row r="6255" spans="1:8" x14ac:dyDescent="0.2">
      <c r="A6255" t="s">
        <v>7</v>
      </c>
      <c r="B6255" t="s">
        <v>25</v>
      </c>
      <c r="C6255" t="str">
        <f t="shared" si="19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195"/>
        <v>17</v>
      </c>
    </row>
    <row r="6256" spans="1:8" x14ac:dyDescent="0.2">
      <c r="A6256" t="s">
        <v>7</v>
      </c>
      <c r="B6256" t="s">
        <v>25</v>
      </c>
      <c r="C6256" t="str">
        <f t="shared" si="19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195"/>
        <v>16</v>
      </c>
    </row>
    <row r="6257" spans="1:8" x14ac:dyDescent="0.2">
      <c r="A6257" t="s">
        <v>7</v>
      </c>
      <c r="B6257" t="s">
        <v>25</v>
      </c>
      <c r="C6257" t="str">
        <f t="shared" si="19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195"/>
        <v>16</v>
      </c>
    </row>
    <row r="6258" spans="1:8" x14ac:dyDescent="0.2">
      <c r="A6258" t="s">
        <v>7</v>
      </c>
      <c r="B6258" t="s">
        <v>25</v>
      </c>
      <c r="C6258" t="str">
        <f t="shared" si="19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195"/>
        <v>16</v>
      </c>
    </row>
    <row r="6259" spans="1:8" x14ac:dyDescent="0.2">
      <c r="A6259" t="s">
        <v>7</v>
      </c>
      <c r="B6259" t="s">
        <v>25</v>
      </c>
      <c r="C6259" t="str">
        <f t="shared" si="19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195"/>
        <v>16</v>
      </c>
    </row>
    <row r="6260" spans="1:8" x14ac:dyDescent="0.2">
      <c r="A6260" t="s">
        <v>7</v>
      </c>
      <c r="B6260" t="s">
        <v>25</v>
      </c>
      <c r="C6260" t="str">
        <f t="shared" si="19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195"/>
        <v>16</v>
      </c>
    </row>
    <row r="6261" spans="1:8" x14ac:dyDescent="0.2">
      <c r="A6261" t="s">
        <v>7</v>
      </c>
      <c r="B6261" t="s">
        <v>25</v>
      </c>
      <c r="C6261" t="str">
        <f t="shared" si="19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195"/>
        <v>15</v>
      </c>
    </row>
    <row r="6262" spans="1:8" x14ac:dyDescent="0.2">
      <c r="A6262" t="s">
        <v>7</v>
      </c>
      <c r="B6262" t="s">
        <v>25</v>
      </c>
      <c r="C6262" t="str">
        <f t="shared" si="19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195"/>
        <v>15</v>
      </c>
    </row>
    <row r="6263" spans="1:8" x14ac:dyDescent="0.2">
      <c r="A6263" t="s">
        <v>7</v>
      </c>
      <c r="B6263" t="s">
        <v>25</v>
      </c>
      <c r="C6263" t="str">
        <f t="shared" si="19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195"/>
        <v>14</v>
      </c>
    </row>
    <row r="6264" spans="1:8" x14ac:dyDescent="0.2">
      <c r="A6264" t="s">
        <v>7</v>
      </c>
      <c r="B6264" t="s">
        <v>25</v>
      </c>
      <c r="C6264" t="str">
        <f t="shared" si="19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195"/>
        <v>14</v>
      </c>
    </row>
    <row r="6265" spans="1:8" x14ac:dyDescent="0.2">
      <c r="A6265" t="s">
        <v>7</v>
      </c>
      <c r="B6265" t="s">
        <v>25</v>
      </c>
      <c r="C6265" t="str">
        <f t="shared" si="19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195"/>
        <v>14</v>
      </c>
    </row>
    <row r="6266" spans="1:8" x14ac:dyDescent="0.2">
      <c r="A6266" t="s">
        <v>7</v>
      </c>
      <c r="B6266" t="s">
        <v>25</v>
      </c>
      <c r="C6266" t="str">
        <f t="shared" si="19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195"/>
        <v>14</v>
      </c>
    </row>
    <row r="6267" spans="1:8" x14ac:dyDescent="0.2">
      <c r="A6267" t="s">
        <v>7</v>
      </c>
      <c r="B6267" t="s">
        <v>25</v>
      </c>
      <c r="C6267" t="str">
        <f t="shared" si="19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195"/>
        <v>14</v>
      </c>
    </row>
    <row r="6268" spans="1:8" x14ac:dyDescent="0.2">
      <c r="A6268" t="s">
        <v>7</v>
      </c>
      <c r="B6268" t="s">
        <v>25</v>
      </c>
      <c r="C6268" t="str">
        <f t="shared" si="19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195"/>
        <v>14</v>
      </c>
    </row>
    <row r="6269" spans="1:8" x14ac:dyDescent="0.2">
      <c r="A6269" t="s">
        <v>7</v>
      </c>
      <c r="B6269" t="s">
        <v>25</v>
      </c>
      <c r="C6269" t="str">
        <f t="shared" si="19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195"/>
        <v>14</v>
      </c>
    </row>
    <row r="6270" spans="1:8" x14ac:dyDescent="0.2">
      <c r="A6270" t="s">
        <v>7</v>
      </c>
      <c r="B6270" t="s">
        <v>25</v>
      </c>
      <c r="C6270" t="str">
        <f t="shared" si="19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195"/>
        <v>14</v>
      </c>
    </row>
    <row r="6271" spans="1:8" x14ac:dyDescent="0.2">
      <c r="A6271" t="s">
        <v>7</v>
      </c>
      <c r="B6271" t="s">
        <v>25</v>
      </c>
      <c r="C6271" t="str">
        <f t="shared" si="19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195"/>
        <v>13</v>
      </c>
    </row>
    <row r="6272" spans="1:8" x14ac:dyDescent="0.2">
      <c r="A6272" t="s">
        <v>7</v>
      </c>
      <c r="B6272" t="s">
        <v>25</v>
      </c>
      <c r="C6272" t="str">
        <f t="shared" si="19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195"/>
        <v>18</v>
      </c>
    </row>
    <row r="6273" spans="1:8" x14ac:dyDescent="0.2">
      <c r="A6273" t="s">
        <v>7</v>
      </c>
      <c r="B6273" t="s">
        <v>25</v>
      </c>
      <c r="C6273" t="str">
        <f t="shared" si="19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195"/>
        <v>13</v>
      </c>
    </row>
    <row r="6274" spans="1:8" x14ac:dyDescent="0.2">
      <c r="A6274" t="s">
        <v>7</v>
      </c>
      <c r="B6274" t="s">
        <v>25</v>
      </c>
      <c r="C6274" t="str">
        <f t="shared" si="19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195"/>
        <v>13</v>
      </c>
    </row>
    <row r="6275" spans="1:8" x14ac:dyDescent="0.2">
      <c r="A6275" t="s">
        <v>7</v>
      </c>
      <c r="B6275" t="s">
        <v>25</v>
      </c>
      <c r="C6275" t="str">
        <f t="shared" si="19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ref="H6275:H6338" si="197">F6275-G6275</f>
        <v>13</v>
      </c>
    </row>
    <row r="6276" spans="1:8" x14ac:dyDescent="0.2">
      <c r="A6276" t="s">
        <v>7</v>
      </c>
      <c r="B6276" t="s">
        <v>25</v>
      </c>
      <c r="C6276" t="str">
        <f t="shared" si="19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197"/>
        <v>12</v>
      </c>
    </row>
    <row r="6277" spans="1:8" x14ac:dyDescent="0.2">
      <c r="A6277" t="s">
        <v>7</v>
      </c>
      <c r="B6277" t="s">
        <v>25</v>
      </c>
      <c r="C6277" t="str">
        <f t="shared" ref="C6277:C6340" si="198">IF(H6277&gt;=0,"Cumple","No cumple")</f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197"/>
        <v>12</v>
      </c>
    </row>
    <row r="6278" spans="1:8" x14ac:dyDescent="0.2">
      <c r="A6278" t="s">
        <v>7</v>
      </c>
      <c r="B6278" t="s">
        <v>25</v>
      </c>
      <c r="C6278" t="str">
        <f t="shared" si="198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197"/>
        <v>12</v>
      </c>
    </row>
    <row r="6279" spans="1:8" x14ac:dyDescent="0.2">
      <c r="A6279" t="s">
        <v>7</v>
      </c>
      <c r="B6279" t="s">
        <v>25</v>
      </c>
      <c r="C6279" t="str">
        <f t="shared" si="198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197"/>
        <v>11</v>
      </c>
    </row>
    <row r="6280" spans="1:8" x14ac:dyDescent="0.2">
      <c r="A6280" t="s">
        <v>7</v>
      </c>
      <c r="B6280" t="s">
        <v>25</v>
      </c>
      <c r="C6280" t="str">
        <f t="shared" si="198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197"/>
        <v>11</v>
      </c>
    </row>
    <row r="6281" spans="1:8" x14ac:dyDescent="0.2">
      <c r="A6281" t="s">
        <v>7</v>
      </c>
      <c r="B6281" t="s">
        <v>25</v>
      </c>
      <c r="C6281" t="str">
        <f t="shared" si="198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197"/>
        <v>11</v>
      </c>
    </row>
    <row r="6282" spans="1:8" x14ac:dyDescent="0.2">
      <c r="A6282" t="s">
        <v>7</v>
      </c>
      <c r="B6282" t="s">
        <v>25</v>
      </c>
      <c r="C6282" t="str">
        <f t="shared" si="198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197"/>
        <v>11</v>
      </c>
    </row>
    <row r="6283" spans="1:8" x14ac:dyDescent="0.2">
      <c r="A6283" t="s">
        <v>7</v>
      </c>
      <c r="B6283" t="s">
        <v>25</v>
      </c>
      <c r="C6283" t="str">
        <f t="shared" si="198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197"/>
        <v>11</v>
      </c>
    </row>
    <row r="6284" spans="1:8" x14ac:dyDescent="0.2">
      <c r="A6284" t="s">
        <v>7</v>
      </c>
      <c r="B6284" t="s">
        <v>25</v>
      </c>
      <c r="C6284" t="str">
        <f t="shared" si="198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197"/>
        <v>11</v>
      </c>
    </row>
    <row r="6285" spans="1:8" x14ac:dyDescent="0.2">
      <c r="A6285" t="s">
        <v>7</v>
      </c>
      <c r="B6285" t="s">
        <v>25</v>
      </c>
      <c r="C6285" t="str">
        <f t="shared" si="198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197"/>
        <v>11</v>
      </c>
    </row>
    <row r="6286" spans="1:8" x14ac:dyDescent="0.2">
      <c r="A6286" t="s">
        <v>7</v>
      </c>
      <c r="B6286" t="s">
        <v>25</v>
      </c>
      <c r="C6286" t="str">
        <f t="shared" si="198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197"/>
        <v>11</v>
      </c>
    </row>
    <row r="6287" spans="1:8" x14ac:dyDescent="0.2">
      <c r="A6287" t="s">
        <v>7</v>
      </c>
      <c r="B6287" t="s">
        <v>25</v>
      </c>
      <c r="C6287" t="str">
        <f t="shared" si="198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197"/>
        <v>11</v>
      </c>
    </row>
    <row r="6288" spans="1:8" x14ac:dyDescent="0.2">
      <c r="A6288" t="s">
        <v>7</v>
      </c>
      <c r="B6288" t="s">
        <v>25</v>
      </c>
      <c r="C6288" t="str">
        <f t="shared" si="198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197"/>
        <v>11</v>
      </c>
    </row>
    <row r="6289" spans="1:8" x14ac:dyDescent="0.2">
      <c r="A6289" t="s">
        <v>7</v>
      </c>
      <c r="B6289" t="s">
        <v>25</v>
      </c>
      <c r="C6289" t="str">
        <f t="shared" si="198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197"/>
        <v>10</v>
      </c>
    </row>
    <row r="6290" spans="1:8" x14ac:dyDescent="0.2">
      <c r="A6290" t="s">
        <v>7</v>
      </c>
      <c r="B6290" t="s">
        <v>25</v>
      </c>
      <c r="C6290" t="str">
        <f t="shared" si="198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197"/>
        <v>10</v>
      </c>
    </row>
    <row r="6291" spans="1:8" x14ac:dyDescent="0.2">
      <c r="A6291" t="s">
        <v>7</v>
      </c>
      <c r="B6291" t="s">
        <v>25</v>
      </c>
      <c r="C6291" t="str">
        <f t="shared" si="198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197"/>
        <v>10</v>
      </c>
    </row>
    <row r="6292" spans="1:8" x14ac:dyDescent="0.2">
      <c r="A6292" t="s">
        <v>7</v>
      </c>
      <c r="B6292" t="s">
        <v>25</v>
      </c>
      <c r="C6292" t="str">
        <f t="shared" si="198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197"/>
        <v>10</v>
      </c>
    </row>
    <row r="6293" spans="1:8" x14ac:dyDescent="0.2">
      <c r="A6293" t="s">
        <v>7</v>
      </c>
      <c r="B6293" t="s">
        <v>25</v>
      </c>
      <c r="C6293" t="str">
        <f t="shared" si="198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197"/>
        <v>9</v>
      </c>
    </row>
    <row r="6294" spans="1:8" x14ac:dyDescent="0.2">
      <c r="A6294" t="s">
        <v>7</v>
      </c>
      <c r="B6294" t="s">
        <v>25</v>
      </c>
      <c r="C6294" t="str">
        <f t="shared" si="198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197"/>
        <v>9</v>
      </c>
    </row>
    <row r="6295" spans="1:8" x14ac:dyDescent="0.2">
      <c r="A6295" t="s">
        <v>7</v>
      </c>
      <c r="B6295" t="s">
        <v>25</v>
      </c>
      <c r="C6295" t="str">
        <f t="shared" si="198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197"/>
        <v>9</v>
      </c>
    </row>
    <row r="6296" spans="1:8" x14ac:dyDescent="0.2">
      <c r="A6296" t="s">
        <v>7</v>
      </c>
      <c r="B6296" t="s">
        <v>25</v>
      </c>
      <c r="C6296" t="str">
        <f t="shared" si="198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197"/>
        <v>14</v>
      </c>
    </row>
    <row r="6297" spans="1:8" x14ac:dyDescent="0.2">
      <c r="A6297" t="s">
        <v>7</v>
      </c>
      <c r="B6297" t="s">
        <v>25</v>
      </c>
      <c r="C6297" t="str">
        <f t="shared" si="198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197"/>
        <v>9</v>
      </c>
    </row>
    <row r="6298" spans="1:8" x14ac:dyDescent="0.2">
      <c r="A6298" t="s">
        <v>7</v>
      </c>
      <c r="B6298" t="s">
        <v>25</v>
      </c>
      <c r="C6298" t="str">
        <f t="shared" si="198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197"/>
        <v>9</v>
      </c>
    </row>
    <row r="6299" spans="1:8" x14ac:dyDescent="0.2">
      <c r="A6299" t="s">
        <v>7</v>
      </c>
      <c r="B6299" t="s">
        <v>25</v>
      </c>
      <c r="C6299" t="str">
        <f t="shared" si="198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197"/>
        <v>9</v>
      </c>
    </row>
    <row r="6300" spans="1:8" x14ac:dyDescent="0.2">
      <c r="A6300" t="s">
        <v>7</v>
      </c>
      <c r="B6300" t="s">
        <v>25</v>
      </c>
      <c r="C6300" t="str">
        <f t="shared" si="198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197"/>
        <v>8</v>
      </c>
    </row>
    <row r="6301" spans="1:8" x14ac:dyDescent="0.2">
      <c r="A6301" t="s">
        <v>7</v>
      </c>
      <c r="B6301" t="s">
        <v>25</v>
      </c>
      <c r="C6301" t="str">
        <f t="shared" si="198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197"/>
        <v>8</v>
      </c>
    </row>
    <row r="6302" spans="1:8" x14ac:dyDescent="0.2">
      <c r="A6302" t="s">
        <v>7</v>
      </c>
      <c r="B6302" t="s">
        <v>25</v>
      </c>
      <c r="C6302" t="str">
        <f t="shared" si="198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197"/>
        <v>8</v>
      </c>
    </row>
    <row r="6303" spans="1:8" x14ac:dyDescent="0.2">
      <c r="A6303" t="s">
        <v>7</v>
      </c>
      <c r="B6303" t="s">
        <v>25</v>
      </c>
      <c r="C6303" t="str">
        <f t="shared" si="198"/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si="197"/>
        <v>8</v>
      </c>
    </row>
    <row r="6304" spans="1:8" x14ac:dyDescent="0.2">
      <c r="A6304" t="s">
        <v>7</v>
      </c>
      <c r="B6304" t="s">
        <v>25</v>
      </c>
      <c r="C6304" t="str">
        <f t="shared" si="19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197"/>
        <v>8</v>
      </c>
    </row>
    <row r="6305" spans="1:8" x14ac:dyDescent="0.2">
      <c r="A6305" t="s">
        <v>7</v>
      </c>
      <c r="B6305" t="s">
        <v>25</v>
      </c>
      <c r="C6305" t="str">
        <f t="shared" si="19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197"/>
        <v>8</v>
      </c>
    </row>
    <row r="6306" spans="1:8" x14ac:dyDescent="0.2">
      <c r="A6306" t="s">
        <v>7</v>
      </c>
      <c r="B6306" t="s">
        <v>25</v>
      </c>
      <c r="C6306" t="str">
        <f t="shared" si="19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197"/>
        <v>8</v>
      </c>
    </row>
    <row r="6307" spans="1:8" x14ac:dyDescent="0.2">
      <c r="A6307" t="s">
        <v>7</v>
      </c>
      <c r="B6307" t="s">
        <v>25</v>
      </c>
      <c r="C6307" t="str">
        <f t="shared" si="19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197"/>
        <v>7</v>
      </c>
    </row>
    <row r="6308" spans="1:8" x14ac:dyDescent="0.2">
      <c r="A6308" t="s">
        <v>7</v>
      </c>
      <c r="B6308" t="s">
        <v>25</v>
      </c>
      <c r="C6308" t="str">
        <f t="shared" si="19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197"/>
        <v>7</v>
      </c>
    </row>
    <row r="6309" spans="1:8" x14ac:dyDescent="0.2">
      <c r="A6309" t="s">
        <v>7</v>
      </c>
      <c r="B6309" t="s">
        <v>25</v>
      </c>
      <c r="C6309" t="str">
        <f t="shared" si="19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197"/>
        <v>7</v>
      </c>
    </row>
    <row r="6310" spans="1:8" x14ac:dyDescent="0.2">
      <c r="A6310" t="s">
        <v>7</v>
      </c>
      <c r="B6310" t="s">
        <v>25</v>
      </c>
      <c r="C6310" t="str">
        <f t="shared" si="19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197"/>
        <v>7</v>
      </c>
    </row>
    <row r="6311" spans="1:8" x14ac:dyDescent="0.2">
      <c r="A6311" t="s">
        <v>7</v>
      </c>
      <c r="B6311" t="s">
        <v>25</v>
      </c>
      <c r="C6311" t="str">
        <f t="shared" si="19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197"/>
        <v>7</v>
      </c>
    </row>
    <row r="6312" spans="1:8" x14ac:dyDescent="0.2">
      <c r="A6312" t="s">
        <v>7</v>
      </c>
      <c r="B6312" t="s">
        <v>25</v>
      </c>
      <c r="C6312" t="str">
        <f t="shared" si="19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197"/>
        <v>6</v>
      </c>
    </row>
    <row r="6313" spans="1:8" x14ac:dyDescent="0.2">
      <c r="A6313" t="s">
        <v>7</v>
      </c>
      <c r="B6313" t="s">
        <v>25</v>
      </c>
      <c r="C6313" t="str">
        <f t="shared" si="19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197"/>
        <v>6</v>
      </c>
    </row>
    <row r="6314" spans="1:8" x14ac:dyDescent="0.2">
      <c r="A6314" t="s">
        <v>7</v>
      </c>
      <c r="B6314" t="s">
        <v>25</v>
      </c>
      <c r="C6314" t="str">
        <f t="shared" si="19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197"/>
        <v>6</v>
      </c>
    </row>
    <row r="6315" spans="1:8" x14ac:dyDescent="0.2">
      <c r="A6315" t="s">
        <v>7</v>
      </c>
      <c r="B6315" t="s">
        <v>25</v>
      </c>
      <c r="C6315" t="str">
        <f t="shared" si="19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197"/>
        <v>6</v>
      </c>
    </row>
    <row r="6316" spans="1:8" x14ac:dyDescent="0.2">
      <c r="A6316" t="s">
        <v>7</v>
      </c>
      <c r="B6316" t="s">
        <v>25</v>
      </c>
      <c r="C6316" t="str">
        <f t="shared" si="19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197"/>
        <v>6</v>
      </c>
    </row>
    <row r="6317" spans="1:8" x14ac:dyDescent="0.2">
      <c r="A6317" t="s">
        <v>7</v>
      </c>
      <c r="B6317" t="s">
        <v>25</v>
      </c>
      <c r="C6317" t="str">
        <f t="shared" si="19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197"/>
        <v>6</v>
      </c>
    </row>
    <row r="6318" spans="1:8" x14ac:dyDescent="0.2">
      <c r="A6318" t="s">
        <v>7</v>
      </c>
      <c r="B6318" t="s">
        <v>25</v>
      </c>
      <c r="C6318" t="str">
        <f t="shared" si="19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197"/>
        <v>5</v>
      </c>
    </row>
    <row r="6319" spans="1:8" x14ac:dyDescent="0.2">
      <c r="A6319" t="s">
        <v>7</v>
      </c>
      <c r="B6319" t="s">
        <v>25</v>
      </c>
      <c r="C6319" t="str">
        <f t="shared" si="19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197"/>
        <v>5</v>
      </c>
    </row>
    <row r="6320" spans="1:8" x14ac:dyDescent="0.2">
      <c r="A6320" t="s">
        <v>7</v>
      </c>
      <c r="B6320" t="s">
        <v>25</v>
      </c>
      <c r="C6320" t="str">
        <f t="shared" si="19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197"/>
        <v>5</v>
      </c>
    </row>
    <row r="6321" spans="1:8" x14ac:dyDescent="0.2">
      <c r="A6321" t="s">
        <v>7</v>
      </c>
      <c r="B6321" t="s">
        <v>25</v>
      </c>
      <c r="C6321" t="str">
        <f t="shared" si="19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197"/>
        <v>10</v>
      </c>
    </row>
    <row r="6322" spans="1:8" x14ac:dyDescent="0.2">
      <c r="A6322" t="s">
        <v>7</v>
      </c>
      <c r="B6322" t="s">
        <v>25</v>
      </c>
      <c r="C6322" t="str">
        <f t="shared" si="19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197"/>
        <v>5</v>
      </c>
    </row>
    <row r="6323" spans="1:8" x14ac:dyDescent="0.2">
      <c r="A6323" t="s">
        <v>7</v>
      </c>
      <c r="B6323" t="s">
        <v>25</v>
      </c>
      <c r="C6323" t="str">
        <f t="shared" si="19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197"/>
        <v>5</v>
      </c>
    </row>
    <row r="6324" spans="1:8" x14ac:dyDescent="0.2">
      <c r="A6324" t="s">
        <v>7</v>
      </c>
      <c r="B6324" t="s">
        <v>25</v>
      </c>
      <c r="C6324" t="str">
        <f t="shared" si="19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197"/>
        <v>5</v>
      </c>
    </row>
    <row r="6325" spans="1:8" x14ac:dyDescent="0.2">
      <c r="A6325" t="s">
        <v>7</v>
      </c>
      <c r="B6325" t="s">
        <v>25</v>
      </c>
      <c r="C6325" t="str">
        <f t="shared" si="19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197"/>
        <v>5</v>
      </c>
    </row>
    <row r="6326" spans="1:8" x14ac:dyDescent="0.2">
      <c r="A6326" t="s">
        <v>7</v>
      </c>
      <c r="B6326" t="s">
        <v>25</v>
      </c>
      <c r="C6326" t="str">
        <f t="shared" si="19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197"/>
        <v>5</v>
      </c>
    </row>
    <row r="6327" spans="1:8" x14ac:dyDescent="0.2">
      <c r="A6327" t="s">
        <v>7</v>
      </c>
      <c r="B6327" t="s">
        <v>25</v>
      </c>
      <c r="C6327" t="str">
        <f t="shared" si="19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197"/>
        <v>5</v>
      </c>
    </row>
    <row r="6328" spans="1:8" x14ac:dyDescent="0.2">
      <c r="A6328" t="s">
        <v>7</v>
      </c>
      <c r="B6328" t="s">
        <v>25</v>
      </c>
      <c r="C6328" t="str">
        <f t="shared" si="19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197"/>
        <v>4</v>
      </c>
    </row>
    <row r="6329" spans="1:8" x14ac:dyDescent="0.2">
      <c r="A6329" t="s">
        <v>7</v>
      </c>
      <c r="B6329" t="s">
        <v>25</v>
      </c>
      <c r="C6329" t="str">
        <f t="shared" si="19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197"/>
        <v>9</v>
      </c>
    </row>
    <row r="6330" spans="1:8" x14ac:dyDescent="0.2">
      <c r="A6330" t="s">
        <v>7</v>
      </c>
      <c r="B6330" t="s">
        <v>25</v>
      </c>
      <c r="C6330" t="str">
        <f t="shared" si="19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197"/>
        <v>9</v>
      </c>
    </row>
    <row r="6331" spans="1:8" x14ac:dyDescent="0.2">
      <c r="A6331" t="s">
        <v>7</v>
      </c>
      <c r="B6331" t="s">
        <v>25</v>
      </c>
      <c r="C6331" t="str">
        <f t="shared" si="19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197"/>
        <v>4</v>
      </c>
    </row>
    <row r="6332" spans="1:8" x14ac:dyDescent="0.2">
      <c r="A6332" t="s">
        <v>7</v>
      </c>
      <c r="B6332" t="s">
        <v>25</v>
      </c>
      <c r="C6332" t="str">
        <f t="shared" si="19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197"/>
        <v>4</v>
      </c>
    </row>
    <row r="6333" spans="1:8" x14ac:dyDescent="0.2">
      <c r="A6333" t="s">
        <v>7</v>
      </c>
      <c r="B6333" t="s">
        <v>25</v>
      </c>
      <c r="C6333" t="str">
        <f t="shared" si="19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197"/>
        <v>4</v>
      </c>
    </row>
    <row r="6334" spans="1:8" x14ac:dyDescent="0.2">
      <c r="A6334" t="s">
        <v>7</v>
      </c>
      <c r="B6334" t="s">
        <v>25</v>
      </c>
      <c r="C6334" t="str">
        <f t="shared" si="19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197"/>
        <v>9</v>
      </c>
    </row>
    <row r="6335" spans="1:8" x14ac:dyDescent="0.2">
      <c r="A6335" t="s">
        <v>7</v>
      </c>
      <c r="B6335" t="s">
        <v>25</v>
      </c>
      <c r="C6335" t="str">
        <f t="shared" si="19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197"/>
        <v>3</v>
      </c>
    </row>
    <row r="6336" spans="1:8" x14ac:dyDescent="0.2">
      <c r="A6336" t="s">
        <v>7</v>
      </c>
      <c r="B6336" t="s">
        <v>25</v>
      </c>
      <c r="C6336" t="str">
        <f t="shared" si="19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197"/>
        <v>3</v>
      </c>
    </row>
    <row r="6337" spans="1:8" x14ac:dyDescent="0.2">
      <c r="A6337" t="s">
        <v>7</v>
      </c>
      <c r="B6337" t="s">
        <v>25</v>
      </c>
      <c r="C6337" t="str">
        <f t="shared" si="19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197"/>
        <v>8</v>
      </c>
    </row>
    <row r="6338" spans="1:8" x14ac:dyDescent="0.2">
      <c r="A6338" t="s">
        <v>7</v>
      </c>
      <c r="B6338" t="s">
        <v>25</v>
      </c>
      <c r="C6338" t="str">
        <f t="shared" si="19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197"/>
        <v>3</v>
      </c>
    </row>
    <row r="6339" spans="1:8" x14ac:dyDescent="0.2">
      <c r="A6339" t="s">
        <v>7</v>
      </c>
      <c r="B6339" t="s">
        <v>25</v>
      </c>
      <c r="C6339" t="str">
        <f t="shared" si="19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ref="H6339:H6402" si="199">F6339-G6339</f>
        <v>3</v>
      </c>
    </row>
    <row r="6340" spans="1:8" x14ac:dyDescent="0.2">
      <c r="A6340" t="s">
        <v>7</v>
      </c>
      <c r="B6340" t="s">
        <v>25</v>
      </c>
      <c r="C6340" t="str">
        <f t="shared" si="19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199"/>
        <v>2</v>
      </c>
    </row>
    <row r="6341" spans="1:8" x14ac:dyDescent="0.2">
      <c r="A6341" t="s">
        <v>7</v>
      </c>
      <c r="B6341" t="s">
        <v>25</v>
      </c>
      <c r="C6341" t="str">
        <f t="shared" ref="C6341:C6404" si="200">IF(H6341&gt;=0,"Cumple","No cumple")</f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199"/>
        <v>2</v>
      </c>
    </row>
    <row r="6342" spans="1:8" x14ac:dyDescent="0.2">
      <c r="A6342" t="s">
        <v>7</v>
      </c>
      <c r="B6342" t="s">
        <v>25</v>
      </c>
      <c r="C6342" t="str">
        <f t="shared" si="200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199"/>
        <v>7</v>
      </c>
    </row>
    <row r="6343" spans="1:8" x14ac:dyDescent="0.2">
      <c r="A6343" t="s">
        <v>7</v>
      </c>
      <c r="B6343" t="s">
        <v>25</v>
      </c>
      <c r="C6343" t="str">
        <f t="shared" si="200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199"/>
        <v>2</v>
      </c>
    </row>
    <row r="6344" spans="1:8" x14ac:dyDescent="0.2">
      <c r="A6344" t="s">
        <v>7</v>
      </c>
      <c r="B6344" t="s">
        <v>25</v>
      </c>
      <c r="C6344" t="str">
        <f t="shared" si="200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199"/>
        <v>1</v>
      </c>
    </row>
    <row r="6345" spans="1:8" x14ac:dyDescent="0.2">
      <c r="A6345" t="s">
        <v>7</v>
      </c>
      <c r="B6345" t="s">
        <v>25</v>
      </c>
      <c r="C6345" t="str">
        <f t="shared" si="200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199"/>
        <v>1</v>
      </c>
    </row>
    <row r="6346" spans="1:8" x14ac:dyDescent="0.2">
      <c r="A6346" t="s">
        <v>7</v>
      </c>
      <c r="B6346" t="s">
        <v>25</v>
      </c>
      <c r="C6346" t="str">
        <f t="shared" si="200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199"/>
        <v>1</v>
      </c>
    </row>
    <row r="6347" spans="1:8" x14ac:dyDescent="0.2">
      <c r="A6347" t="s">
        <v>7</v>
      </c>
      <c r="B6347" t="s">
        <v>25</v>
      </c>
      <c r="C6347" t="str">
        <f t="shared" si="200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199"/>
        <v>5</v>
      </c>
    </row>
    <row r="6348" spans="1:8" x14ac:dyDescent="0.2">
      <c r="A6348" t="s">
        <v>7</v>
      </c>
      <c r="B6348" t="s">
        <v>25</v>
      </c>
      <c r="C6348" t="str">
        <f t="shared" si="200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199"/>
        <v>0</v>
      </c>
    </row>
    <row r="6349" spans="1:8" x14ac:dyDescent="0.2">
      <c r="A6349" t="s">
        <v>7</v>
      </c>
      <c r="B6349" t="s">
        <v>25</v>
      </c>
      <c r="C6349" t="str">
        <f t="shared" si="200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199"/>
        <v>0</v>
      </c>
    </row>
    <row r="6350" spans="1:8" x14ac:dyDescent="0.2">
      <c r="A6350" t="s">
        <v>7</v>
      </c>
      <c r="B6350" t="s">
        <v>25</v>
      </c>
      <c r="C6350" t="str">
        <f t="shared" si="200"/>
        <v>Cumple</v>
      </c>
      <c r="D6350">
        <v>3924</v>
      </c>
      <c r="E6350" s="19" t="s">
        <v>12</v>
      </c>
      <c r="F6350">
        <v>20</v>
      </c>
      <c r="G6350">
        <v>20</v>
      </c>
      <c r="H6350">
        <f t="shared" si="199"/>
        <v>0</v>
      </c>
    </row>
    <row r="6351" spans="1:8" x14ac:dyDescent="0.2">
      <c r="A6351" t="s">
        <v>7</v>
      </c>
      <c r="B6351" t="s">
        <v>25</v>
      </c>
      <c r="C6351" t="str">
        <f t="shared" si="200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199"/>
        <v>-1</v>
      </c>
    </row>
    <row r="6352" spans="1:8" x14ac:dyDescent="0.2">
      <c r="A6352" t="s">
        <v>7</v>
      </c>
      <c r="B6352" t="s">
        <v>25</v>
      </c>
      <c r="C6352" t="str">
        <f t="shared" si="200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199"/>
        <v>4</v>
      </c>
    </row>
    <row r="6353" spans="1:8" x14ac:dyDescent="0.2">
      <c r="A6353" t="s">
        <v>7</v>
      </c>
      <c r="B6353" t="s">
        <v>25</v>
      </c>
      <c r="C6353" t="str">
        <f t="shared" si="200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199"/>
        <v>4</v>
      </c>
    </row>
    <row r="6354" spans="1:8" x14ac:dyDescent="0.2">
      <c r="A6354" t="s">
        <v>7</v>
      </c>
      <c r="B6354" t="s">
        <v>25</v>
      </c>
      <c r="C6354" t="str">
        <f t="shared" si="200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199"/>
        <v>0</v>
      </c>
    </row>
    <row r="6355" spans="1:8" x14ac:dyDescent="0.2">
      <c r="A6355" t="s">
        <v>7</v>
      </c>
      <c r="B6355" t="s">
        <v>25</v>
      </c>
      <c r="C6355" t="str">
        <f t="shared" si="200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199"/>
        <v>-1</v>
      </c>
    </row>
    <row r="6356" spans="1:8" x14ac:dyDescent="0.2">
      <c r="A6356" t="s">
        <v>7</v>
      </c>
      <c r="B6356" t="s">
        <v>25</v>
      </c>
      <c r="C6356" t="str">
        <f t="shared" si="200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199"/>
        <v>-2</v>
      </c>
    </row>
    <row r="6357" spans="1:8" x14ac:dyDescent="0.2">
      <c r="A6357" t="s">
        <v>7</v>
      </c>
      <c r="B6357" t="s">
        <v>25</v>
      </c>
      <c r="C6357" t="str">
        <f t="shared" si="200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199"/>
        <v>-2</v>
      </c>
    </row>
    <row r="6358" spans="1:8" x14ac:dyDescent="0.2">
      <c r="A6358" t="s">
        <v>7</v>
      </c>
      <c r="B6358" t="s">
        <v>25</v>
      </c>
      <c r="C6358" t="str">
        <f t="shared" si="200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199"/>
        <v>3</v>
      </c>
    </row>
    <row r="6359" spans="1:8" x14ac:dyDescent="0.2">
      <c r="A6359" t="s">
        <v>7</v>
      </c>
      <c r="B6359" t="s">
        <v>25</v>
      </c>
      <c r="C6359" t="str">
        <f t="shared" si="200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199"/>
        <v>-3</v>
      </c>
    </row>
    <row r="6360" spans="1:8" x14ac:dyDescent="0.2">
      <c r="A6360" t="s">
        <v>7</v>
      </c>
      <c r="B6360" t="s">
        <v>25</v>
      </c>
      <c r="C6360" t="str">
        <f t="shared" si="200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199"/>
        <v>2</v>
      </c>
    </row>
    <row r="6361" spans="1:8" x14ac:dyDescent="0.2">
      <c r="A6361" t="s">
        <v>7</v>
      </c>
      <c r="B6361" t="s">
        <v>25</v>
      </c>
      <c r="C6361" t="str">
        <f t="shared" si="200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199"/>
        <v>2</v>
      </c>
    </row>
    <row r="6362" spans="1:8" x14ac:dyDescent="0.2">
      <c r="A6362" t="s">
        <v>7</v>
      </c>
      <c r="B6362" t="s">
        <v>25</v>
      </c>
      <c r="C6362" t="str">
        <f t="shared" si="200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199"/>
        <v>2</v>
      </c>
    </row>
    <row r="6363" spans="1:8" x14ac:dyDescent="0.2">
      <c r="A6363" t="s">
        <v>7</v>
      </c>
      <c r="B6363" t="s">
        <v>25</v>
      </c>
      <c r="C6363" t="str">
        <f t="shared" si="200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199"/>
        <v>2</v>
      </c>
    </row>
    <row r="6364" spans="1:8" x14ac:dyDescent="0.2">
      <c r="A6364" t="s">
        <v>7</v>
      </c>
      <c r="B6364" t="s">
        <v>25</v>
      </c>
      <c r="C6364" t="str">
        <f t="shared" si="200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199"/>
        <v>1</v>
      </c>
    </row>
    <row r="6365" spans="1:8" x14ac:dyDescent="0.2">
      <c r="A6365" t="s">
        <v>7</v>
      </c>
      <c r="B6365" t="s">
        <v>25</v>
      </c>
      <c r="C6365" t="str">
        <f t="shared" si="200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199"/>
        <v>1</v>
      </c>
    </row>
    <row r="6366" spans="1:8" x14ac:dyDescent="0.2">
      <c r="A6366" t="s">
        <v>7</v>
      </c>
      <c r="B6366" t="s">
        <v>25</v>
      </c>
      <c r="C6366" t="str">
        <f t="shared" si="200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199"/>
        <v>1</v>
      </c>
    </row>
    <row r="6367" spans="1:8" x14ac:dyDescent="0.2">
      <c r="A6367" t="s">
        <v>7</v>
      </c>
      <c r="B6367" t="s">
        <v>25</v>
      </c>
      <c r="C6367" t="str">
        <f t="shared" si="200"/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si="199"/>
        <v>-4</v>
      </c>
    </row>
    <row r="6368" spans="1:8" x14ac:dyDescent="0.2">
      <c r="A6368" t="s">
        <v>7</v>
      </c>
      <c r="B6368" t="s">
        <v>25</v>
      </c>
      <c r="C6368" t="str">
        <f t="shared" si="20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199"/>
        <v>1</v>
      </c>
    </row>
    <row r="6369" spans="1:8" x14ac:dyDescent="0.2">
      <c r="A6369" t="s">
        <v>7</v>
      </c>
      <c r="B6369" t="s">
        <v>25</v>
      </c>
      <c r="C6369" t="str">
        <f t="shared" si="20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199"/>
        <v>-4</v>
      </c>
    </row>
    <row r="6370" spans="1:8" x14ac:dyDescent="0.2">
      <c r="A6370" t="s">
        <v>7</v>
      </c>
      <c r="B6370" t="s">
        <v>25</v>
      </c>
      <c r="C6370" t="str">
        <f t="shared" si="20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199"/>
        <v>5</v>
      </c>
    </row>
    <row r="6371" spans="1:8" x14ac:dyDescent="0.2">
      <c r="A6371" t="s">
        <v>7</v>
      </c>
      <c r="B6371" t="s">
        <v>25</v>
      </c>
      <c r="C6371" t="str">
        <f t="shared" si="20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199"/>
        <v>0</v>
      </c>
    </row>
    <row r="6372" spans="1:8" x14ac:dyDescent="0.2">
      <c r="A6372" t="s">
        <v>7</v>
      </c>
      <c r="B6372" t="s">
        <v>25</v>
      </c>
      <c r="C6372" t="str">
        <f t="shared" si="20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199"/>
        <v>0</v>
      </c>
    </row>
    <row r="6373" spans="1:8" x14ac:dyDescent="0.2">
      <c r="A6373" t="s">
        <v>7</v>
      </c>
      <c r="B6373" t="s">
        <v>25</v>
      </c>
      <c r="C6373" t="str">
        <f t="shared" si="20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199"/>
        <v>-5</v>
      </c>
    </row>
    <row r="6374" spans="1:8" x14ac:dyDescent="0.2">
      <c r="A6374" t="s">
        <v>7</v>
      </c>
      <c r="B6374" t="s">
        <v>25</v>
      </c>
      <c r="C6374" t="str">
        <f t="shared" si="20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199"/>
        <v>-5</v>
      </c>
    </row>
    <row r="6375" spans="1:8" x14ac:dyDescent="0.2">
      <c r="A6375" t="s">
        <v>7</v>
      </c>
      <c r="B6375" t="s">
        <v>25</v>
      </c>
      <c r="C6375" t="str">
        <f t="shared" si="20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199"/>
        <v>-5</v>
      </c>
    </row>
    <row r="6376" spans="1:8" x14ac:dyDescent="0.2">
      <c r="A6376" t="s">
        <v>7</v>
      </c>
      <c r="B6376" t="s">
        <v>25</v>
      </c>
      <c r="C6376" t="str">
        <f t="shared" si="20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199"/>
        <v>0</v>
      </c>
    </row>
    <row r="6377" spans="1:8" x14ac:dyDescent="0.2">
      <c r="A6377" t="s">
        <v>7</v>
      </c>
      <c r="B6377" t="s">
        <v>25</v>
      </c>
      <c r="C6377" t="str">
        <f t="shared" si="20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199"/>
        <v>-6</v>
      </c>
    </row>
    <row r="6378" spans="1:8" x14ac:dyDescent="0.2">
      <c r="A6378" t="s">
        <v>7</v>
      </c>
      <c r="B6378" t="s">
        <v>25</v>
      </c>
      <c r="C6378" t="str">
        <f t="shared" si="20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199"/>
        <v>-1</v>
      </c>
    </row>
    <row r="6379" spans="1:8" x14ac:dyDescent="0.2">
      <c r="A6379" t="s">
        <v>7</v>
      </c>
      <c r="B6379" t="s">
        <v>25</v>
      </c>
      <c r="C6379" t="str">
        <f t="shared" si="20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199"/>
        <v>-1</v>
      </c>
    </row>
    <row r="6380" spans="1:8" x14ac:dyDescent="0.2">
      <c r="A6380" t="s">
        <v>7</v>
      </c>
      <c r="B6380" t="s">
        <v>25</v>
      </c>
      <c r="C6380" t="str">
        <f t="shared" si="20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199"/>
        <v>-6</v>
      </c>
    </row>
    <row r="6381" spans="1:8" x14ac:dyDescent="0.2">
      <c r="A6381" t="s">
        <v>7</v>
      </c>
      <c r="B6381" t="s">
        <v>25</v>
      </c>
      <c r="C6381" t="str">
        <f t="shared" si="20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199"/>
        <v>-1</v>
      </c>
    </row>
    <row r="6382" spans="1:8" x14ac:dyDescent="0.2">
      <c r="A6382" t="s">
        <v>7</v>
      </c>
      <c r="B6382" t="s">
        <v>25</v>
      </c>
      <c r="C6382" t="str">
        <f t="shared" si="20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199"/>
        <v>-1</v>
      </c>
    </row>
    <row r="6383" spans="1:8" x14ac:dyDescent="0.2">
      <c r="A6383" t="s">
        <v>7</v>
      </c>
      <c r="B6383" t="s">
        <v>25</v>
      </c>
      <c r="C6383" t="str">
        <f t="shared" si="20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199"/>
        <v>-2</v>
      </c>
    </row>
    <row r="6384" spans="1:8" x14ac:dyDescent="0.2">
      <c r="A6384" t="s">
        <v>7</v>
      </c>
      <c r="B6384" t="s">
        <v>25</v>
      </c>
      <c r="C6384" t="str">
        <f t="shared" si="20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199"/>
        <v>0</v>
      </c>
    </row>
    <row r="6385" spans="1:8" x14ac:dyDescent="0.2">
      <c r="A6385" t="s">
        <v>7</v>
      </c>
      <c r="B6385" t="s">
        <v>25</v>
      </c>
      <c r="C6385" t="str">
        <f t="shared" si="20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199"/>
        <v>-2</v>
      </c>
    </row>
    <row r="6386" spans="1:8" x14ac:dyDescent="0.2">
      <c r="A6386" t="s">
        <v>7</v>
      </c>
      <c r="B6386" t="s">
        <v>25</v>
      </c>
      <c r="C6386" t="str">
        <f t="shared" si="20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199"/>
        <v>-3</v>
      </c>
    </row>
    <row r="6387" spans="1:8" x14ac:dyDescent="0.2">
      <c r="A6387" t="s">
        <v>7</v>
      </c>
      <c r="B6387" t="s">
        <v>25</v>
      </c>
      <c r="C6387" t="str">
        <f t="shared" si="20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199"/>
        <v>-3</v>
      </c>
    </row>
    <row r="6388" spans="1:8" x14ac:dyDescent="0.2">
      <c r="A6388" t="s">
        <v>7</v>
      </c>
      <c r="B6388" t="s">
        <v>25</v>
      </c>
      <c r="C6388" t="str">
        <f t="shared" si="20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199"/>
        <v>-9</v>
      </c>
    </row>
    <row r="6389" spans="1:8" x14ac:dyDescent="0.2">
      <c r="A6389" t="s">
        <v>7</v>
      </c>
      <c r="B6389" t="s">
        <v>25</v>
      </c>
      <c r="C6389" t="str">
        <f t="shared" si="20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199"/>
        <v>-4</v>
      </c>
    </row>
    <row r="6390" spans="1:8" x14ac:dyDescent="0.2">
      <c r="A6390" t="s">
        <v>7</v>
      </c>
      <c r="B6390" t="s">
        <v>25</v>
      </c>
      <c r="C6390" t="str">
        <f t="shared" si="20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199"/>
        <v>5</v>
      </c>
    </row>
    <row r="6391" spans="1:8" x14ac:dyDescent="0.2">
      <c r="A6391" t="s">
        <v>7</v>
      </c>
      <c r="B6391" t="s">
        <v>25</v>
      </c>
      <c r="C6391" t="str">
        <f t="shared" si="20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199"/>
        <v>-5</v>
      </c>
    </row>
    <row r="6392" spans="1:8" x14ac:dyDescent="0.2">
      <c r="A6392" t="s">
        <v>7</v>
      </c>
      <c r="B6392" t="s">
        <v>25</v>
      </c>
      <c r="C6392" t="str">
        <f t="shared" si="20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199"/>
        <v>-5</v>
      </c>
    </row>
    <row r="6393" spans="1:8" x14ac:dyDescent="0.2">
      <c r="A6393" t="s">
        <v>7</v>
      </c>
      <c r="B6393" t="s">
        <v>25</v>
      </c>
      <c r="C6393" t="str">
        <f t="shared" si="20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199"/>
        <v>-6</v>
      </c>
    </row>
    <row r="6394" spans="1:8" x14ac:dyDescent="0.2">
      <c r="A6394" t="s">
        <v>7</v>
      </c>
      <c r="B6394" t="s">
        <v>25</v>
      </c>
      <c r="C6394" t="str">
        <f t="shared" si="20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199"/>
        <v>-6</v>
      </c>
    </row>
    <row r="6395" spans="1:8" x14ac:dyDescent="0.2">
      <c r="A6395" t="s">
        <v>7</v>
      </c>
      <c r="B6395" t="s">
        <v>25</v>
      </c>
      <c r="C6395" t="str">
        <f t="shared" si="20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199"/>
        <v>-6</v>
      </c>
    </row>
    <row r="6396" spans="1:8" x14ac:dyDescent="0.2">
      <c r="A6396" t="s">
        <v>7</v>
      </c>
      <c r="B6396" t="s">
        <v>25</v>
      </c>
      <c r="C6396" t="str">
        <f t="shared" si="20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199"/>
        <v>-6</v>
      </c>
    </row>
    <row r="6397" spans="1:8" x14ac:dyDescent="0.2">
      <c r="A6397" t="s">
        <v>7</v>
      </c>
      <c r="B6397" t="s">
        <v>25</v>
      </c>
      <c r="C6397" t="str">
        <f t="shared" si="20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199"/>
        <v>-6</v>
      </c>
    </row>
    <row r="6398" spans="1:8" x14ac:dyDescent="0.2">
      <c r="A6398" t="s">
        <v>7</v>
      </c>
      <c r="B6398" t="s">
        <v>25</v>
      </c>
      <c r="C6398" t="str">
        <f t="shared" si="20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199"/>
        <v>-6</v>
      </c>
    </row>
    <row r="6399" spans="1:8" x14ac:dyDescent="0.2">
      <c r="A6399" t="s">
        <v>7</v>
      </c>
      <c r="B6399" t="s">
        <v>25</v>
      </c>
      <c r="C6399" t="str">
        <f t="shared" si="20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199"/>
        <v>-6</v>
      </c>
    </row>
    <row r="6400" spans="1:8" x14ac:dyDescent="0.2">
      <c r="A6400" t="s">
        <v>7</v>
      </c>
      <c r="B6400" t="s">
        <v>25</v>
      </c>
      <c r="C6400" t="str">
        <f t="shared" si="20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199"/>
        <v>-6</v>
      </c>
    </row>
    <row r="6401" spans="1:8" x14ac:dyDescent="0.2">
      <c r="A6401" t="s">
        <v>7</v>
      </c>
      <c r="B6401" t="s">
        <v>25</v>
      </c>
      <c r="C6401" t="str">
        <f t="shared" si="20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199"/>
        <v>-7</v>
      </c>
    </row>
    <row r="6402" spans="1:8" x14ac:dyDescent="0.2">
      <c r="A6402" t="s">
        <v>7</v>
      </c>
      <c r="B6402" t="s">
        <v>25</v>
      </c>
      <c r="C6402" t="str">
        <f t="shared" si="20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199"/>
        <v>-12</v>
      </c>
    </row>
    <row r="6403" spans="1:8" x14ac:dyDescent="0.2">
      <c r="A6403" t="s">
        <v>7</v>
      </c>
      <c r="B6403" t="s">
        <v>25</v>
      </c>
      <c r="C6403" t="str">
        <f t="shared" si="20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ref="H6403:H6466" si="201">F6403-G6403</f>
        <v>-7</v>
      </c>
    </row>
    <row r="6404" spans="1:8" x14ac:dyDescent="0.2">
      <c r="A6404" t="s">
        <v>7</v>
      </c>
      <c r="B6404" t="s">
        <v>25</v>
      </c>
      <c r="C6404" t="str">
        <f t="shared" si="20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01"/>
        <v>-7</v>
      </c>
    </row>
    <row r="6405" spans="1:8" x14ac:dyDescent="0.2">
      <c r="A6405" t="s">
        <v>7</v>
      </c>
      <c r="B6405" t="s">
        <v>25</v>
      </c>
      <c r="C6405" t="str">
        <f t="shared" ref="C6405:C6468" si="202">IF(H6405&gt;=0,"Cumple","No cumple")</f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01"/>
        <v>-8</v>
      </c>
    </row>
    <row r="6406" spans="1:8" x14ac:dyDescent="0.2">
      <c r="A6406" t="s">
        <v>7</v>
      </c>
      <c r="B6406" t="s">
        <v>25</v>
      </c>
      <c r="C6406" t="str">
        <f t="shared" si="202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01"/>
        <v>-8</v>
      </c>
    </row>
    <row r="6407" spans="1:8" x14ac:dyDescent="0.2">
      <c r="A6407" t="s">
        <v>7</v>
      </c>
      <c r="B6407" t="s">
        <v>25</v>
      </c>
      <c r="C6407" t="str">
        <f t="shared" si="202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01"/>
        <v>-8</v>
      </c>
    </row>
    <row r="6408" spans="1:8" x14ac:dyDescent="0.2">
      <c r="A6408" t="s">
        <v>7</v>
      </c>
      <c r="B6408" t="s">
        <v>25</v>
      </c>
      <c r="C6408" t="str">
        <f t="shared" si="202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01"/>
        <v>-9</v>
      </c>
    </row>
    <row r="6409" spans="1:8" x14ac:dyDescent="0.2">
      <c r="A6409" t="s">
        <v>7</v>
      </c>
      <c r="B6409" t="s">
        <v>25</v>
      </c>
      <c r="C6409" t="str">
        <f t="shared" si="202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01"/>
        <v>-9</v>
      </c>
    </row>
    <row r="6410" spans="1:8" x14ac:dyDescent="0.2">
      <c r="A6410" t="s">
        <v>7</v>
      </c>
      <c r="B6410" t="s">
        <v>25</v>
      </c>
      <c r="C6410" t="str">
        <f t="shared" si="202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01"/>
        <v>-10</v>
      </c>
    </row>
    <row r="6411" spans="1:8" x14ac:dyDescent="0.2">
      <c r="A6411" t="s">
        <v>7</v>
      </c>
      <c r="B6411" t="s">
        <v>25</v>
      </c>
      <c r="C6411" t="str">
        <f t="shared" si="202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01"/>
        <v>-15</v>
      </c>
    </row>
    <row r="6412" spans="1:8" x14ac:dyDescent="0.2">
      <c r="A6412" t="s">
        <v>7</v>
      </c>
      <c r="B6412" t="s">
        <v>25</v>
      </c>
      <c r="C6412" t="str">
        <f t="shared" si="202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01"/>
        <v>-10</v>
      </c>
    </row>
    <row r="6413" spans="1:8" x14ac:dyDescent="0.2">
      <c r="A6413" t="s">
        <v>7</v>
      </c>
      <c r="B6413" t="s">
        <v>25</v>
      </c>
      <c r="C6413" t="str">
        <f t="shared" si="202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01"/>
        <v>-10</v>
      </c>
    </row>
    <row r="6414" spans="1:8" x14ac:dyDescent="0.2">
      <c r="A6414" t="s">
        <v>7</v>
      </c>
      <c r="B6414" t="s">
        <v>25</v>
      </c>
      <c r="C6414" t="str">
        <f t="shared" si="202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01"/>
        <v>-11</v>
      </c>
    </row>
    <row r="6415" spans="1:8" x14ac:dyDescent="0.2">
      <c r="A6415" t="s">
        <v>7</v>
      </c>
      <c r="B6415" t="s">
        <v>25</v>
      </c>
      <c r="C6415" t="str">
        <f t="shared" si="202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01"/>
        <v>-11</v>
      </c>
    </row>
    <row r="6416" spans="1:8" x14ac:dyDescent="0.2">
      <c r="A6416" t="s">
        <v>7</v>
      </c>
      <c r="B6416" t="s">
        <v>25</v>
      </c>
      <c r="C6416" t="str">
        <f t="shared" si="202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01"/>
        <v>-11</v>
      </c>
    </row>
    <row r="6417" spans="1:8" x14ac:dyDescent="0.2">
      <c r="A6417" t="s">
        <v>7</v>
      </c>
      <c r="B6417" t="s">
        <v>25</v>
      </c>
      <c r="C6417" t="str">
        <f t="shared" si="202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01"/>
        <v>-11</v>
      </c>
    </row>
    <row r="6418" spans="1:8" x14ac:dyDescent="0.2">
      <c r="A6418" t="s">
        <v>7</v>
      </c>
      <c r="B6418" t="s">
        <v>25</v>
      </c>
      <c r="C6418" t="str">
        <f t="shared" si="202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01"/>
        <v>-12</v>
      </c>
    </row>
    <row r="6419" spans="1:8" x14ac:dyDescent="0.2">
      <c r="A6419" t="s">
        <v>7</v>
      </c>
      <c r="B6419" t="s">
        <v>25</v>
      </c>
      <c r="C6419" t="str">
        <f t="shared" si="202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01"/>
        <v>-12</v>
      </c>
    </row>
    <row r="6420" spans="1:8" x14ac:dyDescent="0.2">
      <c r="A6420" t="s">
        <v>7</v>
      </c>
      <c r="B6420" t="s">
        <v>25</v>
      </c>
      <c r="C6420" t="str">
        <f t="shared" si="202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01"/>
        <v>-12</v>
      </c>
    </row>
    <row r="6421" spans="1:8" x14ac:dyDescent="0.2">
      <c r="A6421" t="s">
        <v>7</v>
      </c>
      <c r="B6421" t="s">
        <v>25</v>
      </c>
      <c r="C6421" t="str">
        <f t="shared" si="202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01"/>
        <v>-13</v>
      </c>
    </row>
    <row r="6422" spans="1:8" x14ac:dyDescent="0.2">
      <c r="A6422" t="s">
        <v>7</v>
      </c>
      <c r="B6422" t="s">
        <v>25</v>
      </c>
      <c r="C6422" t="str">
        <f t="shared" si="202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01"/>
        <v>-13</v>
      </c>
    </row>
    <row r="6423" spans="1:8" x14ac:dyDescent="0.2">
      <c r="A6423" t="s">
        <v>7</v>
      </c>
      <c r="B6423" t="s">
        <v>25</v>
      </c>
      <c r="C6423" t="str">
        <f t="shared" si="202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01"/>
        <v>-13</v>
      </c>
    </row>
    <row r="6424" spans="1:8" x14ac:dyDescent="0.2">
      <c r="A6424" t="s">
        <v>7</v>
      </c>
      <c r="B6424" t="s">
        <v>25</v>
      </c>
      <c r="C6424" t="str">
        <f t="shared" si="202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01"/>
        <v>-13</v>
      </c>
    </row>
    <row r="6425" spans="1:8" x14ac:dyDescent="0.2">
      <c r="A6425" t="s">
        <v>7</v>
      </c>
      <c r="B6425" t="s">
        <v>25</v>
      </c>
      <c r="C6425" t="str">
        <f t="shared" si="202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01"/>
        <v>-14</v>
      </c>
    </row>
    <row r="6426" spans="1:8" x14ac:dyDescent="0.2">
      <c r="A6426" t="s">
        <v>7</v>
      </c>
      <c r="B6426" t="s">
        <v>25</v>
      </c>
      <c r="C6426" t="str">
        <f t="shared" si="202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01"/>
        <v>-14</v>
      </c>
    </row>
    <row r="6427" spans="1:8" x14ac:dyDescent="0.2">
      <c r="A6427" t="s">
        <v>7</v>
      </c>
      <c r="B6427" t="s">
        <v>25</v>
      </c>
      <c r="C6427" t="str">
        <f t="shared" si="202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01"/>
        <v>-14</v>
      </c>
    </row>
    <row r="6428" spans="1:8" x14ac:dyDescent="0.2">
      <c r="A6428" t="s">
        <v>7</v>
      </c>
      <c r="B6428" t="s">
        <v>25</v>
      </c>
      <c r="C6428" t="str">
        <f t="shared" si="202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01"/>
        <v>-14</v>
      </c>
    </row>
    <row r="6429" spans="1:8" x14ac:dyDescent="0.2">
      <c r="A6429" t="s">
        <v>7</v>
      </c>
      <c r="B6429" t="s">
        <v>25</v>
      </c>
      <c r="C6429" t="str">
        <f t="shared" si="202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01"/>
        <v>-14</v>
      </c>
    </row>
    <row r="6430" spans="1:8" x14ac:dyDescent="0.2">
      <c r="A6430" t="s">
        <v>7</v>
      </c>
      <c r="B6430" t="s">
        <v>25</v>
      </c>
      <c r="C6430" t="str">
        <f t="shared" si="202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01"/>
        <v>-14</v>
      </c>
    </row>
    <row r="6431" spans="1:8" x14ac:dyDescent="0.2">
      <c r="A6431" t="s">
        <v>7</v>
      </c>
      <c r="B6431" t="s">
        <v>25</v>
      </c>
      <c r="C6431" t="str">
        <f t="shared" si="202"/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si="201"/>
        <v>-19</v>
      </c>
    </row>
    <row r="6432" spans="1:8" x14ac:dyDescent="0.2">
      <c r="A6432" t="s">
        <v>7</v>
      </c>
      <c r="B6432" t="s">
        <v>25</v>
      </c>
      <c r="C6432" t="str">
        <f t="shared" si="20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01"/>
        <v>-19</v>
      </c>
    </row>
    <row r="6433" spans="1:8" x14ac:dyDescent="0.2">
      <c r="A6433" t="s">
        <v>19</v>
      </c>
      <c r="B6433" t="s">
        <v>25</v>
      </c>
      <c r="C6433" t="str">
        <f t="shared" si="20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01"/>
        <v>-15</v>
      </c>
    </row>
    <row r="6434" spans="1:8" x14ac:dyDescent="0.2">
      <c r="A6434" t="s">
        <v>18</v>
      </c>
      <c r="B6434" t="s">
        <v>25</v>
      </c>
      <c r="C6434" t="str">
        <f t="shared" si="20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01"/>
        <v>-15</v>
      </c>
    </row>
    <row r="6435" spans="1:8" x14ac:dyDescent="0.2">
      <c r="A6435" t="s">
        <v>18</v>
      </c>
      <c r="B6435" t="s">
        <v>25</v>
      </c>
      <c r="C6435" t="str">
        <f t="shared" si="20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01"/>
        <v>-15</v>
      </c>
    </row>
    <row r="6436" spans="1:8" x14ac:dyDescent="0.2">
      <c r="A6436" t="s">
        <v>21</v>
      </c>
      <c r="B6436" t="s">
        <v>25</v>
      </c>
      <c r="C6436" t="str">
        <f t="shared" si="20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01"/>
        <v>-20</v>
      </c>
    </row>
    <row r="6437" spans="1:8" x14ac:dyDescent="0.2">
      <c r="A6437" t="s">
        <v>18</v>
      </c>
      <c r="B6437" t="s">
        <v>25</v>
      </c>
      <c r="C6437" t="str">
        <f t="shared" si="20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01"/>
        <v>-15</v>
      </c>
    </row>
    <row r="6438" spans="1:8" x14ac:dyDescent="0.2">
      <c r="A6438" t="s">
        <v>18</v>
      </c>
      <c r="B6438" t="s">
        <v>25</v>
      </c>
      <c r="C6438" t="str">
        <f t="shared" si="20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01"/>
        <v>-15</v>
      </c>
    </row>
    <row r="6439" spans="1:8" x14ac:dyDescent="0.2">
      <c r="A6439" t="s">
        <v>18</v>
      </c>
      <c r="B6439" t="s">
        <v>25</v>
      </c>
      <c r="C6439" t="str">
        <f t="shared" si="20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01"/>
        <v>-15</v>
      </c>
    </row>
    <row r="6440" spans="1:8" x14ac:dyDescent="0.2">
      <c r="A6440" t="s">
        <v>18</v>
      </c>
      <c r="B6440" t="s">
        <v>25</v>
      </c>
      <c r="C6440" t="str">
        <f t="shared" si="20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01"/>
        <v>-15</v>
      </c>
    </row>
    <row r="6441" spans="1:8" x14ac:dyDescent="0.2">
      <c r="A6441" t="s">
        <v>18</v>
      </c>
      <c r="B6441" t="s">
        <v>25</v>
      </c>
      <c r="C6441" t="str">
        <f t="shared" si="20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01"/>
        <v>-15</v>
      </c>
    </row>
    <row r="6442" spans="1:8" x14ac:dyDescent="0.2">
      <c r="A6442" t="s">
        <v>18</v>
      </c>
      <c r="B6442" t="s">
        <v>25</v>
      </c>
      <c r="C6442" t="str">
        <f t="shared" si="20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01"/>
        <v>-15</v>
      </c>
    </row>
    <row r="6443" spans="1:8" x14ac:dyDescent="0.2">
      <c r="A6443" t="s">
        <v>18</v>
      </c>
      <c r="B6443" t="s">
        <v>25</v>
      </c>
      <c r="C6443" t="str">
        <f t="shared" si="20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01"/>
        <v>-15</v>
      </c>
    </row>
    <row r="6444" spans="1:8" x14ac:dyDescent="0.2">
      <c r="A6444" t="s">
        <v>18</v>
      </c>
      <c r="B6444" t="s">
        <v>25</v>
      </c>
      <c r="C6444" t="str">
        <f t="shared" si="20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01"/>
        <v>-15</v>
      </c>
    </row>
    <row r="6445" spans="1:8" x14ac:dyDescent="0.2">
      <c r="A6445" t="s">
        <v>18</v>
      </c>
      <c r="B6445" t="s">
        <v>25</v>
      </c>
      <c r="C6445" t="str">
        <f t="shared" si="20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01"/>
        <v>-20</v>
      </c>
    </row>
    <row r="6446" spans="1:8" x14ac:dyDescent="0.2">
      <c r="A6446" t="s">
        <v>18</v>
      </c>
      <c r="B6446" t="s">
        <v>25</v>
      </c>
      <c r="C6446" t="str">
        <f t="shared" si="20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01"/>
        <v>-15</v>
      </c>
    </row>
    <row r="6447" spans="1:8" x14ac:dyDescent="0.2">
      <c r="A6447" t="s">
        <v>18</v>
      </c>
      <c r="B6447" t="s">
        <v>25</v>
      </c>
      <c r="C6447" t="str">
        <f t="shared" si="20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01"/>
        <v>-15</v>
      </c>
    </row>
    <row r="6448" spans="1:8" x14ac:dyDescent="0.2">
      <c r="A6448" t="s">
        <v>18</v>
      </c>
      <c r="B6448" t="s">
        <v>25</v>
      </c>
      <c r="C6448" t="str">
        <f t="shared" si="20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01"/>
        <v>-15</v>
      </c>
    </row>
    <row r="6449" spans="1:8" x14ac:dyDescent="0.2">
      <c r="A6449" t="s">
        <v>18</v>
      </c>
      <c r="B6449" t="s">
        <v>25</v>
      </c>
      <c r="C6449" t="str">
        <f t="shared" si="20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01"/>
        <v>-15</v>
      </c>
    </row>
    <row r="6450" spans="1:8" x14ac:dyDescent="0.2">
      <c r="A6450" t="s">
        <v>18</v>
      </c>
      <c r="B6450" t="s">
        <v>25</v>
      </c>
      <c r="C6450" t="str">
        <f t="shared" si="20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01"/>
        <v>-15</v>
      </c>
    </row>
    <row r="6451" spans="1:8" x14ac:dyDescent="0.2">
      <c r="A6451" t="s">
        <v>18</v>
      </c>
      <c r="B6451" t="s">
        <v>25</v>
      </c>
      <c r="C6451" t="str">
        <f t="shared" si="20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01"/>
        <v>-20</v>
      </c>
    </row>
    <row r="6452" spans="1:8" x14ac:dyDescent="0.2">
      <c r="A6452" t="s">
        <v>18</v>
      </c>
      <c r="B6452" t="s">
        <v>25</v>
      </c>
      <c r="C6452" t="str">
        <f t="shared" si="20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01"/>
        <v>-15</v>
      </c>
    </row>
    <row r="6453" spans="1:8" x14ac:dyDescent="0.2">
      <c r="A6453" t="s">
        <v>18</v>
      </c>
      <c r="B6453" t="s">
        <v>25</v>
      </c>
      <c r="C6453" t="str">
        <f t="shared" si="20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01"/>
        <v>-15</v>
      </c>
    </row>
    <row r="6454" spans="1:8" x14ac:dyDescent="0.2">
      <c r="A6454" t="s">
        <v>18</v>
      </c>
      <c r="B6454" t="s">
        <v>25</v>
      </c>
      <c r="C6454" t="str">
        <f t="shared" si="20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01"/>
        <v>-20</v>
      </c>
    </row>
    <row r="6455" spans="1:8" x14ac:dyDescent="0.2">
      <c r="A6455" t="s">
        <v>18</v>
      </c>
      <c r="B6455" t="s">
        <v>25</v>
      </c>
      <c r="C6455" t="str">
        <f t="shared" si="20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01"/>
        <v>-20</v>
      </c>
    </row>
    <row r="6456" spans="1:8" x14ac:dyDescent="0.2">
      <c r="A6456" t="s">
        <v>7</v>
      </c>
      <c r="B6456" t="s">
        <v>25</v>
      </c>
      <c r="C6456" t="str">
        <f t="shared" si="20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01"/>
        <v>-20</v>
      </c>
    </row>
    <row r="6457" spans="1:8" x14ac:dyDescent="0.2">
      <c r="A6457" t="s">
        <v>18</v>
      </c>
      <c r="B6457" t="s">
        <v>25</v>
      </c>
      <c r="C6457" t="str">
        <f t="shared" si="20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01"/>
        <v>-20</v>
      </c>
    </row>
    <row r="6458" spans="1:8" x14ac:dyDescent="0.2">
      <c r="A6458" t="s">
        <v>18</v>
      </c>
      <c r="B6458" t="s">
        <v>25</v>
      </c>
      <c r="C6458" t="str">
        <f t="shared" si="20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01"/>
        <v>-20</v>
      </c>
    </row>
    <row r="6459" spans="1:8" x14ac:dyDescent="0.2">
      <c r="A6459" t="s">
        <v>18</v>
      </c>
      <c r="B6459" t="s">
        <v>25</v>
      </c>
      <c r="C6459" t="str">
        <f t="shared" si="20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01"/>
        <v>-15</v>
      </c>
    </row>
    <row r="6460" spans="1:8" x14ac:dyDescent="0.2">
      <c r="A6460" t="s">
        <v>18</v>
      </c>
      <c r="B6460" t="s">
        <v>25</v>
      </c>
      <c r="C6460" t="str">
        <f t="shared" si="20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01"/>
        <v>-15</v>
      </c>
    </row>
    <row r="6461" spans="1:8" x14ac:dyDescent="0.2">
      <c r="A6461" t="s">
        <v>7</v>
      </c>
      <c r="B6461" t="s">
        <v>25</v>
      </c>
      <c r="C6461" t="str">
        <f t="shared" si="20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01"/>
        <v>-15</v>
      </c>
    </row>
    <row r="6462" spans="1:8" x14ac:dyDescent="0.2">
      <c r="A6462" t="s">
        <v>18</v>
      </c>
      <c r="B6462" t="s">
        <v>25</v>
      </c>
      <c r="C6462" t="str">
        <f t="shared" si="20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01"/>
        <v>-15</v>
      </c>
    </row>
    <row r="6463" spans="1:8" x14ac:dyDescent="0.2">
      <c r="A6463" t="s">
        <v>7</v>
      </c>
      <c r="B6463" t="s">
        <v>25</v>
      </c>
      <c r="C6463" t="str">
        <f t="shared" si="20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01"/>
        <v>-15</v>
      </c>
    </row>
    <row r="6464" spans="1:8" x14ac:dyDescent="0.2">
      <c r="A6464" t="s">
        <v>7</v>
      </c>
      <c r="B6464" t="s">
        <v>25</v>
      </c>
      <c r="C6464" t="str">
        <f t="shared" si="20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01"/>
        <v>-15</v>
      </c>
    </row>
    <row r="6465" spans="1:8" x14ac:dyDescent="0.2">
      <c r="A6465" t="s">
        <v>7</v>
      </c>
      <c r="B6465" t="s">
        <v>25</v>
      </c>
      <c r="C6465" t="str">
        <f t="shared" si="20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01"/>
        <v>-15</v>
      </c>
    </row>
    <row r="6466" spans="1:8" x14ac:dyDescent="0.2">
      <c r="A6466" t="s">
        <v>18</v>
      </c>
      <c r="B6466" t="s">
        <v>25</v>
      </c>
      <c r="C6466" t="str">
        <f t="shared" si="202"/>
        <v>No cumple</v>
      </c>
      <c r="D6466">
        <v>3888</v>
      </c>
      <c r="E6466" t="s">
        <v>11</v>
      </c>
      <c r="F6466">
        <v>0</v>
      </c>
      <c r="G6466">
        <v>6</v>
      </c>
      <c r="H6466">
        <f t="shared" si="201"/>
        <v>-6</v>
      </c>
    </row>
    <row r="6467" spans="1:8" x14ac:dyDescent="0.2">
      <c r="A6467" t="s">
        <v>7</v>
      </c>
      <c r="B6467" t="s">
        <v>25</v>
      </c>
      <c r="C6467" t="str">
        <f t="shared" si="202"/>
        <v>Cumple</v>
      </c>
      <c r="D6467">
        <v>3691</v>
      </c>
      <c r="E6467" t="s">
        <v>13</v>
      </c>
      <c r="F6467">
        <v>17</v>
      </c>
      <c r="G6467">
        <v>6</v>
      </c>
      <c r="H6467">
        <f t="shared" ref="H6467:H6530" si="203">F6467-G6467</f>
        <v>11</v>
      </c>
    </row>
    <row r="6468" spans="1:8" x14ac:dyDescent="0.2">
      <c r="A6468" t="s">
        <v>7</v>
      </c>
      <c r="B6468" t="s">
        <v>25</v>
      </c>
      <c r="C6468" t="str">
        <f t="shared" si="202"/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si="203"/>
        <v>10</v>
      </c>
    </row>
    <row r="6469" spans="1:8" x14ac:dyDescent="0.2">
      <c r="A6469" t="s">
        <v>7</v>
      </c>
      <c r="B6469" t="s">
        <v>25</v>
      </c>
      <c r="C6469" t="str">
        <f t="shared" ref="C6469:C6532" si="204">IF(H6469&gt;=0,"Cumple","No cumple")</f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03"/>
        <v>9</v>
      </c>
    </row>
    <row r="6470" spans="1:8" x14ac:dyDescent="0.2">
      <c r="A6470" t="s">
        <v>7</v>
      </c>
      <c r="B6470" t="s">
        <v>25</v>
      </c>
      <c r="C6470" t="str">
        <f t="shared" si="20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03"/>
        <v>8</v>
      </c>
    </row>
    <row r="6471" spans="1:8" x14ac:dyDescent="0.2">
      <c r="A6471" t="s">
        <v>7</v>
      </c>
      <c r="B6471" t="s">
        <v>25</v>
      </c>
      <c r="C6471" t="str">
        <f t="shared" si="20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03"/>
        <v>8</v>
      </c>
    </row>
    <row r="6472" spans="1:8" x14ac:dyDescent="0.2">
      <c r="A6472" t="s">
        <v>7</v>
      </c>
      <c r="B6472" t="s">
        <v>25</v>
      </c>
      <c r="C6472" t="str">
        <f t="shared" si="20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03"/>
        <v>7</v>
      </c>
    </row>
    <row r="6473" spans="1:8" x14ac:dyDescent="0.2">
      <c r="A6473" t="s">
        <v>7</v>
      </c>
      <c r="B6473" t="s">
        <v>25</v>
      </c>
      <c r="C6473" t="str">
        <f t="shared" si="20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03"/>
        <v>6</v>
      </c>
    </row>
    <row r="6474" spans="1:8" x14ac:dyDescent="0.2">
      <c r="A6474" t="s">
        <v>7</v>
      </c>
      <c r="B6474" t="s">
        <v>25</v>
      </c>
      <c r="C6474" t="str">
        <f t="shared" si="20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03"/>
        <v>6</v>
      </c>
    </row>
    <row r="6475" spans="1:8" x14ac:dyDescent="0.2">
      <c r="A6475" t="s">
        <v>7</v>
      </c>
      <c r="B6475" t="s">
        <v>25</v>
      </c>
      <c r="C6475" t="str">
        <f t="shared" si="20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03"/>
        <v>6</v>
      </c>
    </row>
    <row r="6476" spans="1:8" x14ac:dyDescent="0.2">
      <c r="A6476" t="s">
        <v>7</v>
      </c>
      <c r="B6476" t="s">
        <v>25</v>
      </c>
      <c r="C6476" t="str">
        <f t="shared" si="20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03"/>
        <v>6</v>
      </c>
    </row>
    <row r="6477" spans="1:8" x14ac:dyDescent="0.2">
      <c r="A6477" t="s">
        <v>7</v>
      </c>
      <c r="B6477" t="s">
        <v>25</v>
      </c>
      <c r="C6477" t="str">
        <f t="shared" si="20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03"/>
        <v>6</v>
      </c>
    </row>
    <row r="6478" spans="1:8" x14ac:dyDescent="0.2">
      <c r="A6478" t="s">
        <v>7</v>
      </c>
      <c r="B6478" t="s">
        <v>25</v>
      </c>
      <c r="C6478" t="str">
        <f t="shared" si="20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03"/>
        <v>6</v>
      </c>
    </row>
    <row r="6479" spans="1:8" x14ac:dyDescent="0.2">
      <c r="A6479" t="s">
        <v>7</v>
      </c>
      <c r="B6479" t="s">
        <v>25</v>
      </c>
      <c r="C6479" t="str">
        <f t="shared" si="20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03"/>
        <v>6</v>
      </c>
    </row>
    <row r="6480" spans="1:8" x14ac:dyDescent="0.2">
      <c r="A6480" t="s">
        <v>7</v>
      </c>
      <c r="B6480" t="s">
        <v>25</v>
      </c>
      <c r="C6480" t="str">
        <f t="shared" si="20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03"/>
        <v>5</v>
      </c>
    </row>
    <row r="6481" spans="1:8" x14ac:dyDescent="0.2">
      <c r="A6481" t="s">
        <v>7</v>
      </c>
      <c r="B6481" t="s">
        <v>25</v>
      </c>
      <c r="C6481" t="str">
        <f t="shared" si="20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03"/>
        <v>5</v>
      </c>
    </row>
    <row r="6482" spans="1:8" x14ac:dyDescent="0.2">
      <c r="A6482" t="s">
        <v>7</v>
      </c>
      <c r="B6482" t="s">
        <v>25</v>
      </c>
      <c r="C6482" t="str">
        <f t="shared" si="20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03"/>
        <v>5</v>
      </c>
    </row>
    <row r="6483" spans="1:8" x14ac:dyDescent="0.2">
      <c r="A6483" t="s">
        <v>7</v>
      </c>
      <c r="B6483" t="s">
        <v>25</v>
      </c>
      <c r="C6483" t="str">
        <f t="shared" si="20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03"/>
        <v>5</v>
      </c>
    </row>
    <row r="6484" spans="1:8" x14ac:dyDescent="0.2">
      <c r="A6484" t="s">
        <v>7</v>
      </c>
      <c r="B6484" t="s">
        <v>25</v>
      </c>
      <c r="C6484" t="str">
        <f t="shared" si="20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03"/>
        <v>5</v>
      </c>
    </row>
    <row r="6485" spans="1:8" x14ac:dyDescent="0.2">
      <c r="A6485" t="s">
        <v>7</v>
      </c>
      <c r="B6485" t="s">
        <v>25</v>
      </c>
      <c r="C6485" t="str">
        <f t="shared" si="20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03"/>
        <v>5</v>
      </c>
    </row>
    <row r="6486" spans="1:8" x14ac:dyDescent="0.2">
      <c r="A6486" t="s">
        <v>7</v>
      </c>
      <c r="B6486" t="s">
        <v>25</v>
      </c>
      <c r="C6486" t="str">
        <f t="shared" si="20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03"/>
        <v>5</v>
      </c>
    </row>
    <row r="6487" spans="1:8" x14ac:dyDescent="0.2">
      <c r="A6487" t="s">
        <v>7</v>
      </c>
      <c r="B6487" t="s">
        <v>25</v>
      </c>
      <c r="C6487" t="str">
        <f t="shared" si="20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03"/>
        <v>5</v>
      </c>
    </row>
    <row r="6488" spans="1:8" x14ac:dyDescent="0.2">
      <c r="A6488" t="s">
        <v>7</v>
      </c>
      <c r="B6488" t="s">
        <v>25</v>
      </c>
      <c r="C6488" t="str">
        <f t="shared" si="20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03"/>
        <v>5</v>
      </c>
    </row>
    <row r="6489" spans="1:8" x14ac:dyDescent="0.2">
      <c r="A6489" t="s">
        <v>7</v>
      </c>
      <c r="B6489" t="s">
        <v>25</v>
      </c>
      <c r="C6489" t="str">
        <f t="shared" si="20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03"/>
        <v>4</v>
      </c>
    </row>
    <row r="6490" spans="1:8" x14ac:dyDescent="0.2">
      <c r="A6490" t="s">
        <v>7</v>
      </c>
      <c r="B6490" t="s">
        <v>25</v>
      </c>
      <c r="C6490" t="str">
        <f t="shared" si="20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03"/>
        <v>4</v>
      </c>
    </row>
    <row r="6491" spans="1:8" x14ac:dyDescent="0.2">
      <c r="A6491" t="s">
        <v>7</v>
      </c>
      <c r="B6491" t="s">
        <v>25</v>
      </c>
      <c r="C6491" t="str">
        <f t="shared" si="20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03"/>
        <v>4</v>
      </c>
    </row>
    <row r="6492" spans="1:8" x14ac:dyDescent="0.2">
      <c r="A6492" t="s">
        <v>7</v>
      </c>
      <c r="B6492" t="s">
        <v>25</v>
      </c>
      <c r="C6492" t="str">
        <f t="shared" si="20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03"/>
        <v>4</v>
      </c>
    </row>
    <row r="6493" spans="1:8" x14ac:dyDescent="0.2">
      <c r="A6493" t="s">
        <v>7</v>
      </c>
      <c r="B6493" t="s">
        <v>25</v>
      </c>
      <c r="C6493" t="str">
        <f t="shared" si="20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03"/>
        <v>4</v>
      </c>
    </row>
    <row r="6494" spans="1:8" x14ac:dyDescent="0.2">
      <c r="A6494" t="s">
        <v>7</v>
      </c>
      <c r="B6494" t="s">
        <v>25</v>
      </c>
      <c r="C6494" t="str">
        <f t="shared" si="20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03"/>
        <v>4</v>
      </c>
    </row>
    <row r="6495" spans="1:8" x14ac:dyDescent="0.2">
      <c r="A6495" t="s">
        <v>7</v>
      </c>
      <c r="B6495" t="s">
        <v>25</v>
      </c>
      <c r="C6495" t="str">
        <f t="shared" si="20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03"/>
        <v>4</v>
      </c>
    </row>
    <row r="6496" spans="1:8" x14ac:dyDescent="0.2">
      <c r="A6496" t="s">
        <v>7</v>
      </c>
      <c r="B6496" t="s">
        <v>25</v>
      </c>
      <c r="C6496" t="str">
        <f t="shared" si="20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03"/>
        <v>4</v>
      </c>
    </row>
    <row r="6497" spans="1:8" x14ac:dyDescent="0.2">
      <c r="A6497" t="s">
        <v>7</v>
      </c>
      <c r="B6497" t="s">
        <v>25</v>
      </c>
      <c r="C6497" t="str">
        <f t="shared" si="20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03"/>
        <v>4</v>
      </c>
    </row>
    <row r="6498" spans="1:8" x14ac:dyDescent="0.2">
      <c r="A6498" t="s">
        <v>7</v>
      </c>
      <c r="B6498" t="s">
        <v>25</v>
      </c>
      <c r="C6498" t="str">
        <f t="shared" si="20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03"/>
        <v>4</v>
      </c>
    </row>
    <row r="6499" spans="1:8" x14ac:dyDescent="0.2">
      <c r="A6499" t="s">
        <v>7</v>
      </c>
      <c r="B6499" t="s">
        <v>25</v>
      </c>
      <c r="C6499" t="str">
        <f t="shared" si="20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03"/>
        <v>4</v>
      </c>
    </row>
    <row r="6500" spans="1:8" x14ac:dyDescent="0.2">
      <c r="A6500" t="s">
        <v>7</v>
      </c>
      <c r="B6500" t="s">
        <v>25</v>
      </c>
      <c r="C6500" t="str">
        <f t="shared" si="20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03"/>
        <v>4</v>
      </c>
    </row>
    <row r="6501" spans="1:8" x14ac:dyDescent="0.2">
      <c r="A6501" t="s">
        <v>7</v>
      </c>
      <c r="B6501" t="s">
        <v>25</v>
      </c>
      <c r="C6501" t="str">
        <f t="shared" si="20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03"/>
        <v>4</v>
      </c>
    </row>
    <row r="6502" spans="1:8" x14ac:dyDescent="0.2">
      <c r="A6502" t="s">
        <v>7</v>
      </c>
      <c r="B6502" t="s">
        <v>25</v>
      </c>
      <c r="C6502" t="str">
        <f t="shared" si="20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03"/>
        <v>4</v>
      </c>
    </row>
    <row r="6503" spans="1:8" x14ac:dyDescent="0.2">
      <c r="A6503" t="s">
        <v>7</v>
      </c>
      <c r="B6503" t="s">
        <v>25</v>
      </c>
      <c r="C6503" t="str">
        <f t="shared" si="20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03"/>
        <v>4</v>
      </c>
    </row>
    <row r="6504" spans="1:8" x14ac:dyDescent="0.2">
      <c r="A6504" t="s">
        <v>7</v>
      </c>
      <c r="B6504" t="s">
        <v>25</v>
      </c>
      <c r="C6504" t="str">
        <f t="shared" si="20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03"/>
        <v>4</v>
      </c>
    </row>
    <row r="6505" spans="1:8" x14ac:dyDescent="0.2">
      <c r="A6505" t="s">
        <v>7</v>
      </c>
      <c r="B6505" t="s">
        <v>25</v>
      </c>
      <c r="C6505" t="str">
        <f t="shared" si="20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03"/>
        <v>6</v>
      </c>
    </row>
    <row r="6506" spans="1:8" x14ac:dyDescent="0.2">
      <c r="A6506" t="s">
        <v>7</v>
      </c>
      <c r="B6506" t="s">
        <v>25</v>
      </c>
      <c r="C6506" t="str">
        <f t="shared" si="20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03"/>
        <v>3</v>
      </c>
    </row>
    <row r="6507" spans="1:8" x14ac:dyDescent="0.2">
      <c r="A6507" t="s">
        <v>7</v>
      </c>
      <c r="B6507" t="s">
        <v>25</v>
      </c>
      <c r="C6507" t="str">
        <f t="shared" si="20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03"/>
        <v>3</v>
      </c>
    </row>
    <row r="6508" spans="1:8" x14ac:dyDescent="0.2">
      <c r="A6508" t="s">
        <v>7</v>
      </c>
      <c r="B6508" t="s">
        <v>25</v>
      </c>
      <c r="C6508" t="str">
        <f t="shared" si="20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03"/>
        <v>3</v>
      </c>
    </row>
    <row r="6509" spans="1:8" x14ac:dyDescent="0.2">
      <c r="A6509" t="s">
        <v>7</v>
      </c>
      <c r="B6509" t="s">
        <v>25</v>
      </c>
      <c r="C6509" t="str">
        <f t="shared" si="20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03"/>
        <v>3</v>
      </c>
    </row>
    <row r="6510" spans="1:8" x14ac:dyDescent="0.2">
      <c r="A6510" t="s">
        <v>7</v>
      </c>
      <c r="B6510" t="s">
        <v>25</v>
      </c>
      <c r="C6510" t="str">
        <f t="shared" si="20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03"/>
        <v>3</v>
      </c>
    </row>
    <row r="6511" spans="1:8" x14ac:dyDescent="0.2">
      <c r="A6511" t="s">
        <v>7</v>
      </c>
      <c r="B6511" t="s">
        <v>25</v>
      </c>
      <c r="C6511" t="str">
        <f t="shared" si="20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03"/>
        <v>3</v>
      </c>
    </row>
    <row r="6512" spans="1:8" x14ac:dyDescent="0.2">
      <c r="A6512" t="s">
        <v>7</v>
      </c>
      <c r="B6512" t="s">
        <v>25</v>
      </c>
      <c r="C6512" t="str">
        <f t="shared" si="20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03"/>
        <v>3</v>
      </c>
    </row>
    <row r="6513" spans="1:8" x14ac:dyDescent="0.2">
      <c r="A6513" t="s">
        <v>7</v>
      </c>
      <c r="B6513" t="s">
        <v>25</v>
      </c>
      <c r="C6513" t="str">
        <f t="shared" si="20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03"/>
        <v>3</v>
      </c>
    </row>
    <row r="6514" spans="1:8" x14ac:dyDescent="0.2">
      <c r="A6514" t="s">
        <v>7</v>
      </c>
      <c r="B6514" t="s">
        <v>25</v>
      </c>
      <c r="C6514" t="str">
        <f t="shared" si="20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03"/>
        <v>3</v>
      </c>
    </row>
    <row r="6515" spans="1:8" x14ac:dyDescent="0.2">
      <c r="A6515" t="s">
        <v>7</v>
      </c>
      <c r="B6515" t="s">
        <v>25</v>
      </c>
      <c r="C6515" t="str">
        <f t="shared" si="20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03"/>
        <v>2</v>
      </c>
    </row>
    <row r="6516" spans="1:8" x14ac:dyDescent="0.2">
      <c r="A6516" t="s">
        <v>7</v>
      </c>
      <c r="B6516" t="s">
        <v>25</v>
      </c>
      <c r="C6516" t="str">
        <f t="shared" si="20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03"/>
        <v>2</v>
      </c>
    </row>
    <row r="6517" spans="1:8" x14ac:dyDescent="0.2">
      <c r="A6517" t="s">
        <v>7</v>
      </c>
      <c r="B6517" t="s">
        <v>25</v>
      </c>
      <c r="C6517" t="str">
        <f t="shared" si="20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03"/>
        <v>2</v>
      </c>
    </row>
    <row r="6518" spans="1:8" x14ac:dyDescent="0.2">
      <c r="A6518" t="s">
        <v>7</v>
      </c>
      <c r="B6518" t="s">
        <v>25</v>
      </c>
      <c r="C6518" t="str">
        <f t="shared" si="20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03"/>
        <v>5</v>
      </c>
    </row>
    <row r="6519" spans="1:8" x14ac:dyDescent="0.2">
      <c r="A6519" t="s">
        <v>7</v>
      </c>
      <c r="B6519" t="s">
        <v>25</v>
      </c>
      <c r="C6519" t="str">
        <f t="shared" si="20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03"/>
        <v>2</v>
      </c>
    </row>
    <row r="6520" spans="1:8" x14ac:dyDescent="0.2">
      <c r="A6520" t="s">
        <v>7</v>
      </c>
      <c r="B6520" t="s">
        <v>25</v>
      </c>
      <c r="C6520" t="str">
        <f t="shared" si="20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03"/>
        <v>2</v>
      </c>
    </row>
    <row r="6521" spans="1:8" x14ac:dyDescent="0.2">
      <c r="A6521" t="s">
        <v>7</v>
      </c>
      <c r="B6521" t="s">
        <v>25</v>
      </c>
      <c r="C6521" t="str">
        <f t="shared" si="20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03"/>
        <v>2</v>
      </c>
    </row>
    <row r="6522" spans="1:8" x14ac:dyDescent="0.2">
      <c r="A6522" t="s">
        <v>7</v>
      </c>
      <c r="B6522" t="s">
        <v>25</v>
      </c>
      <c r="C6522" t="str">
        <f t="shared" si="20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03"/>
        <v>2</v>
      </c>
    </row>
    <row r="6523" spans="1:8" x14ac:dyDescent="0.2">
      <c r="A6523" t="s">
        <v>7</v>
      </c>
      <c r="B6523" t="s">
        <v>25</v>
      </c>
      <c r="C6523" t="str">
        <f t="shared" si="20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03"/>
        <v>2</v>
      </c>
    </row>
    <row r="6524" spans="1:8" x14ac:dyDescent="0.2">
      <c r="A6524" t="s">
        <v>7</v>
      </c>
      <c r="B6524" t="s">
        <v>25</v>
      </c>
      <c r="C6524" t="str">
        <f t="shared" si="20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03"/>
        <v>2</v>
      </c>
    </row>
    <row r="6525" spans="1:8" x14ac:dyDescent="0.2">
      <c r="A6525" t="s">
        <v>7</v>
      </c>
      <c r="B6525" t="s">
        <v>25</v>
      </c>
      <c r="C6525" t="str">
        <f t="shared" si="20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03"/>
        <v>2</v>
      </c>
    </row>
    <row r="6526" spans="1:8" x14ac:dyDescent="0.2">
      <c r="A6526" t="s">
        <v>7</v>
      </c>
      <c r="B6526" t="s">
        <v>25</v>
      </c>
      <c r="C6526" t="str">
        <f t="shared" si="20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03"/>
        <v>2</v>
      </c>
    </row>
    <row r="6527" spans="1:8" x14ac:dyDescent="0.2">
      <c r="A6527" t="s">
        <v>7</v>
      </c>
      <c r="B6527" t="s">
        <v>25</v>
      </c>
      <c r="C6527" t="str">
        <f t="shared" si="20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03"/>
        <v>2</v>
      </c>
    </row>
    <row r="6528" spans="1:8" x14ac:dyDescent="0.2">
      <c r="A6528" t="s">
        <v>7</v>
      </c>
      <c r="B6528" t="s">
        <v>25</v>
      </c>
      <c r="C6528" t="str">
        <f t="shared" si="20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03"/>
        <v>2</v>
      </c>
    </row>
    <row r="6529" spans="1:8" x14ac:dyDescent="0.2">
      <c r="A6529" t="s">
        <v>7</v>
      </c>
      <c r="B6529" t="s">
        <v>25</v>
      </c>
      <c r="C6529" t="str">
        <f t="shared" si="20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03"/>
        <v>2</v>
      </c>
    </row>
    <row r="6530" spans="1:8" x14ac:dyDescent="0.2">
      <c r="A6530" t="s">
        <v>7</v>
      </c>
      <c r="B6530" t="s">
        <v>25</v>
      </c>
      <c r="C6530" t="str">
        <f t="shared" si="20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03"/>
        <v>2</v>
      </c>
    </row>
    <row r="6531" spans="1:8" x14ac:dyDescent="0.2">
      <c r="A6531" t="s">
        <v>7</v>
      </c>
      <c r="B6531" t="s">
        <v>25</v>
      </c>
      <c r="C6531" t="str">
        <f t="shared" si="20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ref="H6531:H6594" si="205">F6531-G6531</f>
        <v>2</v>
      </c>
    </row>
    <row r="6532" spans="1:8" x14ac:dyDescent="0.2">
      <c r="A6532" t="s">
        <v>7</v>
      </c>
      <c r="B6532" t="s">
        <v>25</v>
      </c>
      <c r="C6532" t="str">
        <f t="shared" si="204"/>
        <v>Cumple</v>
      </c>
      <c r="D6532">
        <v>3449</v>
      </c>
      <c r="E6532" t="s">
        <v>13</v>
      </c>
      <c r="F6532">
        <v>8</v>
      </c>
      <c r="G6532">
        <v>3</v>
      </c>
      <c r="H6532">
        <f t="shared" si="205"/>
        <v>5</v>
      </c>
    </row>
    <row r="6533" spans="1:8" x14ac:dyDescent="0.2">
      <c r="A6533" t="s">
        <v>7</v>
      </c>
      <c r="B6533" t="s">
        <v>25</v>
      </c>
      <c r="C6533" t="str">
        <f t="shared" ref="C6533:C6596" si="206">IF(H6533&gt;=0,"Cumple","No cumple")</f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05"/>
        <v>2</v>
      </c>
    </row>
    <row r="6534" spans="1:8" x14ac:dyDescent="0.2">
      <c r="A6534" t="s">
        <v>7</v>
      </c>
      <c r="B6534" t="s">
        <v>25</v>
      </c>
      <c r="C6534" t="str">
        <f t="shared" si="20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05"/>
        <v>2</v>
      </c>
    </row>
    <row r="6535" spans="1:8" x14ac:dyDescent="0.2">
      <c r="A6535" t="s">
        <v>7</v>
      </c>
      <c r="B6535" t="s">
        <v>25</v>
      </c>
      <c r="C6535" t="str">
        <f t="shared" si="20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05"/>
        <v>2</v>
      </c>
    </row>
    <row r="6536" spans="1:8" x14ac:dyDescent="0.2">
      <c r="A6536" t="s">
        <v>7</v>
      </c>
      <c r="B6536" t="s">
        <v>25</v>
      </c>
      <c r="C6536" t="str">
        <f t="shared" si="20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05"/>
        <v>2</v>
      </c>
    </row>
    <row r="6537" spans="1:8" x14ac:dyDescent="0.2">
      <c r="A6537" t="s">
        <v>7</v>
      </c>
      <c r="B6537" t="s">
        <v>25</v>
      </c>
      <c r="C6537" t="str">
        <f t="shared" si="20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05"/>
        <v>2</v>
      </c>
    </row>
    <row r="6538" spans="1:8" x14ac:dyDescent="0.2">
      <c r="A6538" t="s">
        <v>7</v>
      </c>
      <c r="B6538" t="s">
        <v>25</v>
      </c>
      <c r="C6538" t="str">
        <f t="shared" si="20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05"/>
        <v>2</v>
      </c>
    </row>
    <row r="6539" spans="1:8" x14ac:dyDescent="0.2">
      <c r="A6539" t="s">
        <v>7</v>
      </c>
      <c r="B6539" t="s">
        <v>25</v>
      </c>
      <c r="C6539" t="str">
        <f t="shared" si="20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05"/>
        <v>2</v>
      </c>
    </row>
    <row r="6540" spans="1:8" x14ac:dyDescent="0.2">
      <c r="A6540" t="s">
        <v>7</v>
      </c>
      <c r="B6540" t="s">
        <v>25</v>
      </c>
      <c r="C6540" t="str">
        <f t="shared" si="20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05"/>
        <v>2</v>
      </c>
    </row>
    <row r="6541" spans="1:8" x14ac:dyDescent="0.2">
      <c r="A6541" t="s">
        <v>7</v>
      </c>
      <c r="B6541" t="s">
        <v>25</v>
      </c>
      <c r="C6541" t="str">
        <f t="shared" si="20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05"/>
        <v>2</v>
      </c>
    </row>
    <row r="6542" spans="1:8" x14ac:dyDescent="0.2">
      <c r="A6542" t="s">
        <v>7</v>
      </c>
      <c r="B6542" t="s">
        <v>25</v>
      </c>
      <c r="C6542" t="str">
        <f t="shared" si="20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05"/>
        <v>2</v>
      </c>
    </row>
    <row r="6543" spans="1:8" x14ac:dyDescent="0.2">
      <c r="A6543" t="s">
        <v>7</v>
      </c>
      <c r="B6543" t="s">
        <v>25</v>
      </c>
      <c r="C6543" t="str">
        <f t="shared" si="20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05"/>
        <v>5</v>
      </c>
    </row>
    <row r="6544" spans="1:8" x14ac:dyDescent="0.2">
      <c r="A6544" t="s">
        <v>7</v>
      </c>
      <c r="B6544" t="s">
        <v>25</v>
      </c>
      <c r="C6544" t="str">
        <f t="shared" si="20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05"/>
        <v>2</v>
      </c>
    </row>
    <row r="6545" spans="1:8" x14ac:dyDescent="0.2">
      <c r="A6545" t="s">
        <v>7</v>
      </c>
      <c r="B6545" t="s">
        <v>25</v>
      </c>
      <c r="C6545" t="str">
        <f t="shared" si="20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05"/>
        <v>1</v>
      </c>
    </row>
    <row r="6546" spans="1:8" x14ac:dyDescent="0.2">
      <c r="A6546" t="s">
        <v>7</v>
      </c>
      <c r="B6546" t="s">
        <v>25</v>
      </c>
      <c r="C6546" t="str">
        <f t="shared" si="20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05"/>
        <v>1</v>
      </c>
    </row>
    <row r="6547" spans="1:8" x14ac:dyDescent="0.2">
      <c r="A6547" t="s">
        <v>7</v>
      </c>
      <c r="B6547" t="s">
        <v>25</v>
      </c>
      <c r="C6547" t="str">
        <f t="shared" si="20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05"/>
        <v>1</v>
      </c>
    </row>
    <row r="6548" spans="1:8" x14ac:dyDescent="0.2">
      <c r="A6548" t="s">
        <v>7</v>
      </c>
      <c r="B6548" t="s">
        <v>25</v>
      </c>
      <c r="C6548" t="str">
        <f t="shared" si="20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05"/>
        <v>1</v>
      </c>
    </row>
    <row r="6549" spans="1:8" x14ac:dyDescent="0.2">
      <c r="A6549" t="s">
        <v>7</v>
      </c>
      <c r="B6549" t="s">
        <v>25</v>
      </c>
      <c r="C6549" t="str">
        <f t="shared" si="20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05"/>
        <v>1</v>
      </c>
    </row>
    <row r="6550" spans="1:8" x14ac:dyDescent="0.2">
      <c r="A6550" t="s">
        <v>7</v>
      </c>
      <c r="B6550" t="s">
        <v>25</v>
      </c>
      <c r="C6550" t="str">
        <f t="shared" si="20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05"/>
        <v>1</v>
      </c>
    </row>
    <row r="6551" spans="1:8" x14ac:dyDescent="0.2">
      <c r="A6551" t="s">
        <v>7</v>
      </c>
      <c r="B6551" t="s">
        <v>25</v>
      </c>
      <c r="C6551" t="str">
        <f t="shared" si="20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05"/>
        <v>1</v>
      </c>
    </row>
    <row r="6552" spans="1:8" x14ac:dyDescent="0.2">
      <c r="A6552" t="s">
        <v>7</v>
      </c>
      <c r="B6552" t="s">
        <v>25</v>
      </c>
      <c r="C6552" t="str">
        <f t="shared" si="20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05"/>
        <v>1</v>
      </c>
    </row>
    <row r="6553" spans="1:8" x14ac:dyDescent="0.2">
      <c r="A6553" t="s">
        <v>7</v>
      </c>
      <c r="B6553" t="s">
        <v>25</v>
      </c>
      <c r="C6553" t="str">
        <f t="shared" si="20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05"/>
        <v>1</v>
      </c>
    </row>
    <row r="6554" spans="1:8" x14ac:dyDescent="0.2">
      <c r="A6554" t="s">
        <v>7</v>
      </c>
      <c r="B6554" t="s">
        <v>25</v>
      </c>
      <c r="C6554" t="str">
        <f t="shared" si="20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05"/>
        <v>1</v>
      </c>
    </row>
    <row r="6555" spans="1:8" x14ac:dyDescent="0.2">
      <c r="A6555" t="s">
        <v>7</v>
      </c>
      <c r="B6555" t="s">
        <v>25</v>
      </c>
      <c r="C6555" t="str">
        <f t="shared" si="20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05"/>
        <v>1</v>
      </c>
    </row>
    <row r="6556" spans="1:8" x14ac:dyDescent="0.2">
      <c r="A6556" t="s">
        <v>7</v>
      </c>
      <c r="B6556" t="s">
        <v>25</v>
      </c>
      <c r="C6556" t="str">
        <f t="shared" si="20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05"/>
        <v>1</v>
      </c>
    </row>
    <row r="6557" spans="1:8" x14ac:dyDescent="0.2">
      <c r="A6557" t="s">
        <v>7</v>
      </c>
      <c r="B6557" t="s">
        <v>25</v>
      </c>
      <c r="C6557" t="str">
        <f t="shared" si="20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05"/>
        <v>1</v>
      </c>
    </row>
    <row r="6558" spans="1:8" x14ac:dyDescent="0.2">
      <c r="A6558" t="s">
        <v>7</v>
      </c>
      <c r="B6558" t="s">
        <v>25</v>
      </c>
      <c r="C6558" t="str">
        <f t="shared" si="20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05"/>
        <v>1</v>
      </c>
    </row>
    <row r="6559" spans="1:8" x14ac:dyDescent="0.2">
      <c r="A6559" t="s">
        <v>7</v>
      </c>
      <c r="B6559" t="s">
        <v>25</v>
      </c>
      <c r="C6559" t="str">
        <f t="shared" si="20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05"/>
        <v>1</v>
      </c>
    </row>
    <row r="6560" spans="1:8" x14ac:dyDescent="0.2">
      <c r="A6560" t="s">
        <v>7</v>
      </c>
      <c r="B6560" t="s">
        <v>25</v>
      </c>
      <c r="C6560" t="str">
        <f t="shared" si="20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05"/>
        <v>1</v>
      </c>
    </row>
    <row r="6561" spans="1:8" x14ac:dyDescent="0.2">
      <c r="A6561" t="s">
        <v>7</v>
      </c>
      <c r="B6561" t="s">
        <v>25</v>
      </c>
      <c r="C6561" t="str">
        <f t="shared" si="20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05"/>
        <v>1</v>
      </c>
    </row>
    <row r="6562" spans="1:8" x14ac:dyDescent="0.2">
      <c r="A6562" t="s">
        <v>7</v>
      </c>
      <c r="B6562" t="s">
        <v>25</v>
      </c>
      <c r="C6562" t="str">
        <f t="shared" si="20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05"/>
        <v>1</v>
      </c>
    </row>
    <row r="6563" spans="1:8" x14ac:dyDescent="0.2">
      <c r="A6563" t="s">
        <v>7</v>
      </c>
      <c r="B6563" t="s">
        <v>25</v>
      </c>
      <c r="C6563" t="str">
        <f t="shared" si="20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05"/>
        <v>1</v>
      </c>
    </row>
    <row r="6564" spans="1:8" x14ac:dyDescent="0.2">
      <c r="A6564" t="s">
        <v>7</v>
      </c>
      <c r="B6564" t="s">
        <v>25</v>
      </c>
      <c r="C6564" t="str">
        <f t="shared" si="20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05"/>
        <v>1</v>
      </c>
    </row>
    <row r="6565" spans="1:8" x14ac:dyDescent="0.2">
      <c r="A6565" t="s">
        <v>7</v>
      </c>
      <c r="B6565" t="s">
        <v>25</v>
      </c>
      <c r="C6565" t="str">
        <f t="shared" si="20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05"/>
        <v>1</v>
      </c>
    </row>
    <row r="6566" spans="1:8" x14ac:dyDescent="0.2">
      <c r="A6566" t="s">
        <v>7</v>
      </c>
      <c r="B6566" t="s">
        <v>25</v>
      </c>
      <c r="C6566" t="str">
        <f t="shared" si="20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05"/>
        <v>1</v>
      </c>
    </row>
    <row r="6567" spans="1:8" x14ac:dyDescent="0.2">
      <c r="A6567" t="s">
        <v>7</v>
      </c>
      <c r="B6567" t="s">
        <v>25</v>
      </c>
      <c r="C6567" t="str">
        <f t="shared" si="20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05"/>
        <v>1</v>
      </c>
    </row>
    <row r="6568" spans="1:8" x14ac:dyDescent="0.2">
      <c r="A6568" t="s">
        <v>7</v>
      </c>
      <c r="B6568" t="s">
        <v>25</v>
      </c>
      <c r="C6568" t="str">
        <f t="shared" si="20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05"/>
        <v>4</v>
      </c>
    </row>
    <row r="6569" spans="1:8" x14ac:dyDescent="0.2">
      <c r="A6569" t="s">
        <v>7</v>
      </c>
      <c r="B6569" t="s">
        <v>25</v>
      </c>
      <c r="C6569" t="str">
        <f t="shared" si="20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05"/>
        <v>1</v>
      </c>
    </row>
    <row r="6570" spans="1:8" x14ac:dyDescent="0.2">
      <c r="A6570" t="s">
        <v>7</v>
      </c>
      <c r="B6570" t="s">
        <v>25</v>
      </c>
      <c r="C6570" t="str">
        <f t="shared" si="20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05"/>
        <v>0</v>
      </c>
    </row>
    <row r="6571" spans="1:8" x14ac:dyDescent="0.2">
      <c r="A6571" t="s">
        <v>7</v>
      </c>
      <c r="B6571" t="s">
        <v>25</v>
      </c>
      <c r="C6571" t="str">
        <f t="shared" si="20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05"/>
        <v>3</v>
      </c>
    </row>
    <row r="6572" spans="1:8" x14ac:dyDescent="0.2">
      <c r="A6572" t="s">
        <v>7</v>
      </c>
      <c r="B6572" t="s">
        <v>25</v>
      </c>
      <c r="C6572" t="str">
        <f t="shared" si="20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05"/>
        <v>3</v>
      </c>
    </row>
    <row r="6573" spans="1:8" x14ac:dyDescent="0.2">
      <c r="A6573" t="s">
        <v>7</v>
      </c>
      <c r="B6573" t="s">
        <v>25</v>
      </c>
      <c r="C6573" t="str">
        <f t="shared" si="20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05"/>
        <v>0</v>
      </c>
    </row>
    <row r="6574" spans="1:8" x14ac:dyDescent="0.2">
      <c r="A6574" t="s">
        <v>7</v>
      </c>
      <c r="B6574" t="s">
        <v>25</v>
      </c>
      <c r="C6574" t="str">
        <f t="shared" si="20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05"/>
        <v>3</v>
      </c>
    </row>
    <row r="6575" spans="1:8" x14ac:dyDescent="0.2">
      <c r="A6575" t="s">
        <v>7</v>
      </c>
      <c r="B6575" t="s">
        <v>25</v>
      </c>
      <c r="C6575" t="str">
        <f t="shared" si="20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05"/>
        <v>0</v>
      </c>
    </row>
    <row r="6576" spans="1:8" x14ac:dyDescent="0.2">
      <c r="A6576" t="s">
        <v>7</v>
      </c>
      <c r="B6576" t="s">
        <v>25</v>
      </c>
      <c r="C6576" t="str">
        <f t="shared" si="20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05"/>
        <v>3</v>
      </c>
    </row>
    <row r="6577" spans="1:8" x14ac:dyDescent="0.2">
      <c r="A6577" t="s">
        <v>7</v>
      </c>
      <c r="B6577" t="s">
        <v>25</v>
      </c>
      <c r="C6577" t="str">
        <f t="shared" si="20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05"/>
        <v>0</v>
      </c>
    </row>
    <row r="6578" spans="1:8" x14ac:dyDescent="0.2">
      <c r="A6578" t="s">
        <v>7</v>
      </c>
      <c r="B6578" t="s">
        <v>25</v>
      </c>
      <c r="C6578" t="str">
        <f t="shared" si="20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05"/>
        <v>0</v>
      </c>
    </row>
    <row r="6579" spans="1:8" x14ac:dyDescent="0.2">
      <c r="A6579" t="s">
        <v>7</v>
      </c>
      <c r="B6579" t="s">
        <v>25</v>
      </c>
      <c r="C6579" t="str">
        <f t="shared" si="20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05"/>
        <v>0</v>
      </c>
    </row>
    <row r="6580" spans="1:8" x14ac:dyDescent="0.2">
      <c r="A6580" t="s">
        <v>7</v>
      </c>
      <c r="B6580" t="s">
        <v>25</v>
      </c>
      <c r="C6580" t="str">
        <f t="shared" si="20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05"/>
        <v>0</v>
      </c>
    </row>
    <row r="6581" spans="1:8" x14ac:dyDescent="0.2">
      <c r="A6581" t="s">
        <v>7</v>
      </c>
      <c r="B6581" t="s">
        <v>25</v>
      </c>
      <c r="C6581" t="str">
        <f t="shared" si="20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05"/>
        <v>3</v>
      </c>
    </row>
    <row r="6582" spans="1:8" x14ac:dyDescent="0.2">
      <c r="A6582" t="s">
        <v>7</v>
      </c>
      <c r="B6582" t="s">
        <v>25</v>
      </c>
      <c r="C6582" t="str">
        <f t="shared" si="20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05"/>
        <v>3</v>
      </c>
    </row>
    <row r="6583" spans="1:8" x14ac:dyDescent="0.2">
      <c r="A6583" t="s">
        <v>7</v>
      </c>
      <c r="B6583" t="s">
        <v>25</v>
      </c>
      <c r="C6583" t="str">
        <f t="shared" si="20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05"/>
        <v>0</v>
      </c>
    </row>
    <row r="6584" spans="1:8" x14ac:dyDescent="0.2">
      <c r="A6584" t="s">
        <v>7</v>
      </c>
      <c r="B6584" t="s">
        <v>25</v>
      </c>
      <c r="C6584" t="str">
        <f t="shared" si="20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05"/>
        <v>0</v>
      </c>
    </row>
    <row r="6585" spans="1:8" x14ac:dyDescent="0.2">
      <c r="A6585" t="s">
        <v>7</v>
      </c>
      <c r="B6585" t="s">
        <v>25</v>
      </c>
      <c r="C6585" t="str">
        <f t="shared" si="20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05"/>
        <v>0</v>
      </c>
    </row>
    <row r="6586" spans="1:8" x14ac:dyDescent="0.2">
      <c r="A6586" t="s">
        <v>7</v>
      </c>
      <c r="B6586" t="s">
        <v>25</v>
      </c>
      <c r="C6586" t="str">
        <f t="shared" si="20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05"/>
        <v>0</v>
      </c>
    </row>
    <row r="6587" spans="1:8" x14ac:dyDescent="0.2">
      <c r="A6587" t="s">
        <v>7</v>
      </c>
      <c r="B6587" t="s">
        <v>25</v>
      </c>
      <c r="C6587" t="str">
        <f t="shared" si="20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05"/>
        <v>0</v>
      </c>
    </row>
    <row r="6588" spans="1:8" x14ac:dyDescent="0.2">
      <c r="A6588" t="s">
        <v>7</v>
      </c>
      <c r="B6588" t="s">
        <v>25</v>
      </c>
      <c r="C6588" t="str">
        <f t="shared" si="20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05"/>
        <v>0</v>
      </c>
    </row>
    <row r="6589" spans="1:8" x14ac:dyDescent="0.2">
      <c r="A6589" t="s">
        <v>7</v>
      </c>
      <c r="B6589" t="s">
        <v>25</v>
      </c>
      <c r="C6589" t="str">
        <f t="shared" si="20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05"/>
        <v>0</v>
      </c>
    </row>
    <row r="6590" spans="1:8" x14ac:dyDescent="0.2">
      <c r="A6590" t="s">
        <v>7</v>
      </c>
      <c r="B6590" t="s">
        <v>25</v>
      </c>
      <c r="C6590" t="str">
        <f t="shared" si="20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05"/>
        <v>0</v>
      </c>
    </row>
    <row r="6591" spans="1:8" x14ac:dyDescent="0.2">
      <c r="A6591" t="s">
        <v>7</v>
      </c>
      <c r="B6591" t="s">
        <v>25</v>
      </c>
      <c r="C6591" t="str">
        <f t="shared" si="20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05"/>
        <v>0</v>
      </c>
    </row>
    <row r="6592" spans="1:8" x14ac:dyDescent="0.2">
      <c r="A6592" t="s">
        <v>7</v>
      </c>
      <c r="B6592" t="s">
        <v>25</v>
      </c>
      <c r="C6592" t="str">
        <f t="shared" si="20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05"/>
        <v>0</v>
      </c>
    </row>
    <row r="6593" spans="1:8" x14ac:dyDescent="0.2">
      <c r="A6593" t="s">
        <v>7</v>
      </c>
      <c r="B6593" t="s">
        <v>25</v>
      </c>
      <c r="C6593" t="str">
        <f t="shared" si="20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05"/>
        <v>0</v>
      </c>
    </row>
    <row r="6594" spans="1:8" x14ac:dyDescent="0.2">
      <c r="A6594" t="s">
        <v>7</v>
      </c>
      <c r="B6594" t="s">
        <v>25</v>
      </c>
      <c r="C6594" t="str">
        <f t="shared" si="20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05"/>
        <v>3</v>
      </c>
    </row>
    <row r="6595" spans="1:8" x14ac:dyDescent="0.2">
      <c r="A6595" t="s">
        <v>7</v>
      </c>
      <c r="B6595" t="s">
        <v>25</v>
      </c>
      <c r="C6595" t="str">
        <f t="shared" si="20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ref="H6595:H6658" si="207">F6595-G6595</f>
        <v>3</v>
      </c>
    </row>
    <row r="6596" spans="1:8" x14ac:dyDescent="0.2">
      <c r="A6596" t="s">
        <v>7</v>
      </c>
      <c r="B6596" t="s">
        <v>25</v>
      </c>
      <c r="C6596" t="str">
        <f t="shared" si="206"/>
        <v>Cumple</v>
      </c>
      <c r="D6596">
        <v>3927</v>
      </c>
      <c r="E6596" t="s">
        <v>13</v>
      </c>
      <c r="F6596">
        <v>6</v>
      </c>
      <c r="G6596">
        <v>3</v>
      </c>
      <c r="H6596">
        <f t="shared" si="207"/>
        <v>3</v>
      </c>
    </row>
    <row r="6597" spans="1:8" x14ac:dyDescent="0.2">
      <c r="A6597" t="s">
        <v>7</v>
      </c>
      <c r="B6597" t="s">
        <v>25</v>
      </c>
      <c r="C6597" t="str">
        <f t="shared" ref="C6597:C6660" si="208">IF(H6597&gt;=0,"Cumple","No cumple")</f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07"/>
        <v>0</v>
      </c>
    </row>
    <row r="6598" spans="1:8" x14ac:dyDescent="0.2">
      <c r="A6598" t="s">
        <v>7</v>
      </c>
      <c r="B6598" t="s">
        <v>25</v>
      </c>
      <c r="C6598" t="str">
        <f t="shared" si="20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07"/>
        <v>2</v>
      </c>
    </row>
    <row r="6599" spans="1:8" x14ac:dyDescent="0.2">
      <c r="A6599" t="s">
        <v>7</v>
      </c>
      <c r="B6599" t="s">
        <v>25</v>
      </c>
      <c r="C6599" t="str">
        <f t="shared" si="208"/>
        <v>No cumple</v>
      </c>
      <c r="D6599">
        <v>291</v>
      </c>
      <c r="E6599" t="s">
        <v>13</v>
      </c>
      <c r="F6599">
        <v>5</v>
      </c>
      <c r="G6599">
        <v>6</v>
      </c>
      <c r="H6599">
        <f t="shared" si="207"/>
        <v>-1</v>
      </c>
    </row>
    <row r="6600" spans="1:8" x14ac:dyDescent="0.2">
      <c r="A6600" t="s">
        <v>7</v>
      </c>
      <c r="B6600" t="s">
        <v>25</v>
      </c>
      <c r="C6600" t="str">
        <f t="shared" si="20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07"/>
        <v>-1</v>
      </c>
    </row>
    <row r="6601" spans="1:8" x14ac:dyDescent="0.2">
      <c r="A6601" t="s">
        <v>7</v>
      </c>
      <c r="B6601" t="s">
        <v>25</v>
      </c>
      <c r="C6601" t="str">
        <f t="shared" si="20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07"/>
        <v>2</v>
      </c>
    </row>
    <row r="6602" spans="1:8" x14ac:dyDescent="0.2">
      <c r="A6602" t="s">
        <v>7</v>
      </c>
      <c r="B6602" t="s">
        <v>25</v>
      </c>
      <c r="C6602" t="str">
        <f t="shared" si="20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07"/>
        <v>2</v>
      </c>
    </row>
    <row r="6603" spans="1:8" x14ac:dyDescent="0.2">
      <c r="A6603" t="s">
        <v>7</v>
      </c>
      <c r="B6603" t="s">
        <v>25</v>
      </c>
      <c r="C6603" t="str">
        <f t="shared" si="20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07"/>
        <v>2</v>
      </c>
    </row>
    <row r="6604" spans="1:8" x14ac:dyDescent="0.2">
      <c r="A6604" t="s">
        <v>7</v>
      </c>
      <c r="B6604" t="s">
        <v>25</v>
      </c>
      <c r="C6604" t="str">
        <f t="shared" si="20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07"/>
        <v>-1</v>
      </c>
    </row>
    <row r="6605" spans="1:8" x14ac:dyDescent="0.2">
      <c r="A6605" t="s">
        <v>7</v>
      </c>
      <c r="B6605" t="s">
        <v>25</v>
      </c>
      <c r="C6605" t="str">
        <f t="shared" si="20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07"/>
        <v>0</v>
      </c>
    </row>
    <row r="6606" spans="1:8" x14ac:dyDescent="0.2">
      <c r="A6606" t="s">
        <v>7</v>
      </c>
      <c r="B6606" t="s">
        <v>25</v>
      </c>
      <c r="C6606" t="str">
        <f t="shared" si="20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07"/>
        <v>2</v>
      </c>
    </row>
    <row r="6607" spans="1:8" x14ac:dyDescent="0.2">
      <c r="A6607" t="s">
        <v>7</v>
      </c>
      <c r="B6607" t="s">
        <v>25</v>
      </c>
      <c r="C6607" t="str">
        <f t="shared" si="20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07"/>
        <v>2</v>
      </c>
    </row>
    <row r="6608" spans="1:8" x14ac:dyDescent="0.2">
      <c r="A6608" t="s">
        <v>7</v>
      </c>
      <c r="B6608" t="s">
        <v>25</v>
      </c>
      <c r="C6608" t="str">
        <f t="shared" si="20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07"/>
        <v>0</v>
      </c>
    </row>
    <row r="6609" spans="1:8" x14ac:dyDescent="0.2">
      <c r="A6609" t="s">
        <v>7</v>
      </c>
      <c r="B6609" t="s">
        <v>25</v>
      </c>
      <c r="C6609" t="str">
        <f t="shared" si="20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07"/>
        <v>2</v>
      </c>
    </row>
    <row r="6610" spans="1:8" x14ac:dyDescent="0.2">
      <c r="A6610" t="s">
        <v>7</v>
      </c>
      <c r="B6610" t="s">
        <v>25</v>
      </c>
      <c r="C6610" t="str">
        <f t="shared" si="20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07"/>
        <v>0</v>
      </c>
    </row>
    <row r="6611" spans="1:8" x14ac:dyDescent="0.2">
      <c r="A6611" t="s">
        <v>7</v>
      </c>
      <c r="B6611" t="s">
        <v>25</v>
      </c>
      <c r="C6611" t="str">
        <f t="shared" si="20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07"/>
        <v>2</v>
      </c>
    </row>
    <row r="6612" spans="1:8" x14ac:dyDescent="0.2">
      <c r="A6612" t="s">
        <v>7</v>
      </c>
      <c r="B6612" t="s">
        <v>25</v>
      </c>
      <c r="C6612" t="str">
        <f t="shared" si="20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07"/>
        <v>-1</v>
      </c>
    </row>
    <row r="6613" spans="1:8" x14ac:dyDescent="0.2">
      <c r="A6613" t="s">
        <v>7</v>
      </c>
      <c r="B6613" t="s">
        <v>25</v>
      </c>
      <c r="C6613" t="str">
        <f t="shared" si="20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07"/>
        <v>2</v>
      </c>
    </row>
    <row r="6614" spans="1:8" x14ac:dyDescent="0.2">
      <c r="A6614" t="s">
        <v>7</v>
      </c>
      <c r="B6614" t="s">
        <v>25</v>
      </c>
      <c r="C6614" t="str">
        <f t="shared" si="20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07"/>
        <v>0</v>
      </c>
    </row>
    <row r="6615" spans="1:8" x14ac:dyDescent="0.2">
      <c r="A6615" t="s">
        <v>7</v>
      </c>
      <c r="B6615" t="s">
        <v>25</v>
      </c>
      <c r="C6615" t="str">
        <f t="shared" si="20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07"/>
        <v>2</v>
      </c>
    </row>
    <row r="6616" spans="1:8" x14ac:dyDescent="0.2">
      <c r="A6616" t="s">
        <v>7</v>
      </c>
      <c r="B6616" t="s">
        <v>25</v>
      </c>
      <c r="C6616" t="str">
        <f t="shared" si="20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07"/>
        <v>0</v>
      </c>
    </row>
    <row r="6617" spans="1:8" x14ac:dyDescent="0.2">
      <c r="A6617" t="s">
        <v>7</v>
      </c>
      <c r="B6617" t="s">
        <v>25</v>
      </c>
      <c r="C6617" t="str">
        <f t="shared" si="20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07"/>
        <v>2</v>
      </c>
    </row>
    <row r="6618" spans="1:8" x14ac:dyDescent="0.2">
      <c r="A6618" t="s">
        <v>7</v>
      </c>
      <c r="B6618" t="s">
        <v>25</v>
      </c>
      <c r="C6618" t="str">
        <f t="shared" si="20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07"/>
        <v>2</v>
      </c>
    </row>
    <row r="6619" spans="1:8" x14ac:dyDescent="0.2">
      <c r="A6619" t="s">
        <v>7</v>
      </c>
      <c r="B6619" t="s">
        <v>25</v>
      </c>
      <c r="C6619" t="str">
        <f t="shared" si="20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07"/>
        <v>-1</v>
      </c>
    </row>
    <row r="6620" spans="1:8" x14ac:dyDescent="0.2">
      <c r="A6620" t="s">
        <v>7</v>
      </c>
      <c r="B6620" t="s">
        <v>25</v>
      </c>
      <c r="C6620" t="str">
        <f t="shared" si="20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07"/>
        <v>-1</v>
      </c>
    </row>
    <row r="6621" spans="1:8" x14ac:dyDescent="0.2">
      <c r="A6621" t="s">
        <v>7</v>
      </c>
      <c r="B6621" t="s">
        <v>25</v>
      </c>
      <c r="C6621" t="str">
        <f t="shared" si="20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07"/>
        <v>-1</v>
      </c>
    </row>
    <row r="6622" spans="1:8" x14ac:dyDescent="0.2">
      <c r="A6622" t="s">
        <v>7</v>
      </c>
      <c r="B6622" t="s">
        <v>25</v>
      </c>
      <c r="C6622" t="str">
        <f t="shared" si="20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07"/>
        <v>-1</v>
      </c>
    </row>
    <row r="6623" spans="1:8" x14ac:dyDescent="0.2">
      <c r="A6623" t="s">
        <v>7</v>
      </c>
      <c r="B6623" t="s">
        <v>25</v>
      </c>
      <c r="C6623" t="str">
        <f t="shared" si="20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07"/>
        <v>-1</v>
      </c>
    </row>
    <row r="6624" spans="1:8" x14ac:dyDescent="0.2">
      <c r="A6624" t="s">
        <v>7</v>
      </c>
      <c r="B6624" t="s">
        <v>25</v>
      </c>
      <c r="C6624" t="str">
        <f t="shared" si="20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07"/>
        <v>0</v>
      </c>
    </row>
    <row r="6625" spans="1:8" x14ac:dyDescent="0.2">
      <c r="A6625" t="s">
        <v>7</v>
      </c>
      <c r="B6625" t="s">
        <v>25</v>
      </c>
      <c r="C6625" t="str">
        <f t="shared" si="20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07"/>
        <v>-1</v>
      </c>
    </row>
    <row r="6626" spans="1:8" x14ac:dyDescent="0.2">
      <c r="A6626" t="s">
        <v>7</v>
      </c>
      <c r="B6626" t="s">
        <v>25</v>
      </c>
      <c r="C6626" t="str">
        <f t="shared" si="20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07"/>
        <v>0</v>
      </c>
    </row>
    <row r="6627" spans="1:8" x14ac:dyDescent="0.2">
      <c r="A6627" t="s">
        <v>7</v>
      </c>
      <c r="B6627" t="s">
        <v>25</v>
      </c>
      <c r="C6627" t="str">
        <f t="shared" si="20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07"/>
        <v>0</v>
      </c>
    </row>
    <row r="6628" spans="1:8" x14ac:dyDescent="0.2">
      <c r="A6628" t="s">
        <v>7</v>
      </c>
      <c r="B6628" t="s">
        <v>25</v>
      </c>
      <c r="C6628" t="str">
        <f t="shared" si="20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07"/>
        <v>-2</v>
      </c>
    </row>
    <row r="6629" spans="1:8" x14ac:dyDescent="0.2">
      <c r="A6629" t="s">
        <v>7</v>
      </c>
      <c r="B6629" t="s">
        <v>25</v>
      </c>
      <c r="C6629" t="str">
        <f t="shared" si="20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07"/>
        <v>1</v>
      </c>
    </row>
    <row r="6630" spans="1:8" x14ac:dyDescent="0.2">
      <c r="A6630" t="s">
        <v>7</v>
      </c>
      <c r="B6630" t="s">
        <v>25</v>
      </c>
      <c r="C6630" t="str">
        <f t="shared" si="20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07"/>
        <v>1</v>
      </c>
    </row>
    <row r="6631" spans="1:8" x14ac:dyDescent="0.2">
      <c r="A6631" t="s">
        <v>7</v>
      </c>
      <c r="B6631" t="s">
        <v>25</v>
      </c>
      <c r="C6631" t="str">
        <f t="shared" si="20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07"/>
        <v>1</v>
      </c>
    </row>
    <row r="6632" spans="1:8" x14ac:dyDescent="0.2">
      <c r="A6632" t="s">
        <v>7</v>
      </c>
      <c r="B6632" t="s">
        <v>25</v>
      </c>
      <c r="C6632" t="str">
        <f t="shared" si="20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07"/>
        <v>1</v>
      </c>
    </row>
    <row r="6633" spans="1:8" x14ac:dyDescent="0.2">
      <c r="A6633" t="s">
        <v>7</v>
      </c>
      <c r="B6633" t="s">
        <v>25</v>
      </c>
      <c r="C6633" t="str">
        <f t="shared" si="20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07"/>
        <v>-2</v>
      </c>
    </row>
    <row r="6634" spans="1:8" x14ac:dyDescent="0.2">
      <c r="A6634" t="s">
        <v>7</v>
      </c>
      <c r="B6634" t="s">
        <v>25</v>
      </c>
      <c r="C6634" t="str">
        <f t="shared" si="20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07"/>
        <v>1</v>
      </c>
    </row>
    <row r="6635" spans="1:8" x14ac:dyDescent="0.2">
      <c r="A6635" t="s">
        <v>7</v>
      </c>
      <c r="B6635" t="s">
        <v>25</v>
      </c>
      <c r="C6635" t="str">
        <f t="shared" si="20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07"/>
        <v>0</v>
      </c>
    </row>
    <row r="6636" spans="1:8" x14ac:dyDescent="0.2">
      <c r="A6636" t="s">
        <v>7</v>
      </c>
      <c r="B6636" t="s">
        <v>25</v>
      </c>
      <c r="C6636" t="str">
        <f t="shared" si="20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07"/>
        <v>1</v>
      </c>
    </row>
    <row r="6637" spans="1:8" x14ac:dyDescent="0.2">
      <c r="A6637" t="s">
        <v>7</v>
      </c>
      <c r="B6637" t="s">
        <v>25</v>
      </c>
      <c r="C6637" t="str">
        <f t="shared" si="20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07"/>
        <v>0</v>
      </c>
    </row>
    <row r="6638" spans="1:8" x14ac:dyDescent="0.2">
      <c r="A6638" t="s">
        <v>7</v>
      </c>
      <c r="B6638" t="s">
        <v>25</v>
      </c>
      <c r="C6638" t="str">
        <f t="shared" si="20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07"/>
        <v>1</v>
      </c>
    </row>
    <row r="6639" spans="1:8" x14ac:dyDescent="0.2">
      <c r="A6639" t="s">
        <v>7</v>
      </c>
      <c r="B6639" t="s">
        <v>25</v>
      </c>
      <c r="C6639" t="str">
        <f t="shared" si="20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07"/>
        <v>0</v>
      </c>
    </row>
    <row r="6640" spans="1:8" x14ac:dyDescent="0.2">
      <c r="A6640" t="s">
        <v>7</v>
      </c>
      <c r="B6640" t="s">
        <v>25</v>
      </c>
      <c r="C6640" t="str">
        <f t="shared" si="20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07"/>
        <v>0</v>
      </c>
    </row>
    <row r="6641" spans="1:8" x14ac:dyDescent="0.2">
      <c r="A6641" t="s">
        <v>7</v>
      </c>
      <c r="B6641" t="s">
        <v>25</v>
      </c>
      <c r="C6641" t="str">
        <f t="shared" si="20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07"/>
        <v>1</v>
      </c>
    </row>
    <row r="6642" spans="1:8" x14ac:dyDescent="0.2">
      <c r="A6642" t="s">
        <v>7</v>
      </c>
      <c r="B6642" t="s">
        <v>25</v>
      </c>
      <c r="C6642" t="str">
        <f t="shared" si="20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07"/>
        <v>1</v>
      </c>
    </row>
    <row r="6643" spans="1:8" x14ac:dyDescent="0.2">
      <c r="A6643" t="s">
        <v>7</v>
      </c>
      <c r="B6643" t="s">
        <v>25</v>
      </c>
      <c r="C6643" t="str">
        <f t="shared" si="20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07"/>
        <v>-2</v>
      </c>
    </row>
    <row r="6644" spans="1:8" x14ac:dyDescent="0.2">
      <c r="A6644" t="s">
        <v>7</v>
      </c>
      <c r="B6644" t="s">
        <v>25</v>
      </c>
      <c r="C6644" t="str">
        <f t="shared" si="20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07"/>
        <v>1</v>
      </c>
    </row>
    <row r="6645" spans="1:8" x14ac:dyDescent="0.2">
      <c r="A6645" t="s">
        <v>7</v>
      </c>
      <c r="B6645" t="s">
        <v>25</v>
      </c>
      <c r="C6645" t="str">
        <f t="shared" si="20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07"/>
        <v>0</v>
      </c>
    </row>
    <row r="6646" spans="1:8" x14ac:dyDescent="0.2">
      <c r="A6646" t="s">
        <v>7</v>
      </c>
      <c r="B6646" t="s">
        <v>25</v>
      </c>
      <c r="C6646" t="str">
        <f t="shared" si="20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07"/>
        <v>1</v>
      </c>
    </row>
    <row r="6647" spans="1:8" x14ac:dyDescent="0.2">
      <c r="A6647" t="s">
        <v>7</v>
      </c>
      <c r="B6647" t="s">
        <v>25</v>
      </c>
      <c r="C6647" t="str">
        <f t="shared" si="20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07"/>
        <v>0</v>
      </c>
    </row>
    <row r="6648" spans="1:8" x14ac:dyDescent="0.2">
      <c r="A6648" t="s">
        <v>7</v>
      </c>
      <c r="B6648" t="s">
        <v>25</v>
      </c>
      <c r="C6648" t="str">
        <f t="shared" si="20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07"/>
        <v>0</v>
      </c>
    </row>
    <row r="6649" spans="1:8" x14ac:dyDescent="0.2">
      <c r="A6649" t="s">
        <v>7</v>
      </c>
      <c r="B6649" t="s">
        <v>25</v>
      </c>
      <c r="C6649" t="str">
        <f t="shared" si="20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07"/>
        <v>-2</v>
      </c>
    </row>
    <row r="6650" spans="1:8" x14ac:dyDescent="0.2">
      <c r="A6650" t="s">
        <v>7</v>
      </c>
      <c r="B6650" t="s">
        <v>25</v>
      </c>
      <c r="C6650" t="str">
        <f t="shared" si="20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07"/>
        <v>1</v>
      </c>
    </row>
    <row r="6651" spans="1:8" x14ac:dyDescent="0.2">
      <c r="A6651" t="s">
        <v>7</v>
      </c>
      <c r="B6651" t="s">
        <v>25</v>
      </c>
      <c r="C6651" t="str">
        <f t="shared" si="20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07"/>
        <v>-2</v>
      </c>
    </row>
    <row r="6652" spans="1:8" x14ac:dyDescent="0.2">
      <c r="A6652" t="s">
        <v>7</v>
      </c>
      <c r="B6652" t="s">
        <v>25</v>
      </c>
      <c r="C6652" t="str">
        <f t="shared" si="20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07"/>
        <v>0</v>
      </c>
    </row>
    <row r="6653" spans="1:8" x14ac:dyDescent="0.2">
      <c r="A6653" t="s">
        <v>7</v>
      </c>
      <c r="B6653" t="s">
        <v>25</v>
      </c>
      <c r="C6653" t="str">
        <f t="shared" si="20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07"/>
        <v>1</v>
      </c>
    </row>
    <row r="6654" spans="1:8" x14ac:dyDescent="0.2">
      <c r="A6654" t="s">
        <v>7</v>
      </c>
      <c r="B6654" t="s">
        <v>25</v>
      </c>
      <c r="C6654" t="str">
        <f t="shared" si="20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07"/>
        <v>1</v>
      </c>
    </row>
    <row r="6655" spans="1:8" x14ac:dyDescent="0.2">
      <c r="A6655" t="s">
        <v>7</v>
      </c>
      <c r="B6655" t="s">
        <v>25</v>
      </c>
      <c r="C6655" t="str">
        <f t="shared" si="20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07"/>
        <v>-2</v>
      </c>
    </row>
    <row r="6656" spans="1:8" x14ac:dyDescent="0.2">
      <c r="A6656" t="s">
        <v>7</v>
      </c>
      <c r="B6656" t="s">
        <v>25</v>
      </c>
      <c r="C6656" t="str">
        <f t="shared" si="20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07"/>
        <v>-2</v>
      </c>
    </row>
    <row r="6657" spans="1:8" x14ac:dyDescent="0.2">
      <c r="A6657" t="s">
        <v>7</v>
      </c>
      <c r="B6657" t="s">
        <v>25</v>
      </c>
      <c r="C6657" t="str">
        <f t="shared" si="20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07"/>
        <v>0</v>
      </c>
    </row>
    <row r="6658" spans="1:8" x14ac:dyDescent="0.2">
      <c r="A6658" t="s">
        <v>7</v>
      </c>
      <c r="B6658" t="s">
        <v>25</v>
      </c>
      <c r="C6658" t="str">
        <f t="shared" si="20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07"/>
        <v>1</v>
      </c>
    </row>
    <row r="6659" spans="1:8" x14ac:dyDescent="0.2">
      <c r="A6659" t="s">
        <v>7</v>
      </c>
      <c r="B6659" t="s">
        <v>25</v>
      </c>
      <c r="C6659" t="str">
        <f t="shared" si="20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ref="H6659:H6722" si="209">F6659-G6659</f>
        <v>0</v>
      </c>
    </row>
    <row r="6660" spans="1:8" x14ac:dyDescent="0.2">
      <c r="A6660" t="s">
        <v>7</v>
      </c>
      <c r="B6660" t="s">
        <v>25</v>
      </c>
      <c r="C6660" t="str">
        <f t="shared" si="208"/>
        <v>Cumple</v>
      </c>
      <c r="D6660">
        <v>756</v>
      </c>
      <c r="E6660" t="s">
        <v>13</v>
      </c>
      <c r="F6660">
        <v>4</v>
      </c>
      <c r="G6660">
        <v>3</v>
      </c>
      <c r="H6660">
        <f t="shared" si="209"/>
        <v>1</v>
      </c>
    </row>
    <row r="6661" spans="1:8" x14ac:dyDescent="0.2">
      <c r="A6661" t="s">
        <v>7</v>
      </c>
      <c r="B6661" t="s">
        <v>25</v>
      </c>
      <c r="C6661" t="str">
        <f t="shared" ref="C6661:C6724" si="210">IF(H6661&gt;=0,"Cumple","No cumple")</f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09"/>
        <v>3</v>
      </c>
    </row>
    <row r="6662" spans="1:8" x14ac:dyDescent="0.2">
      <c r="A6662" t="s">
        <v>7</v>
      </c>
      <c r="B6662" t="s">
        <v>25</v>
      </c>
      <c r="C6662" t="str">
        <f t="shared" si="21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09"/>
        <v>0</v>
      </c>
    </row>
    <row r="6663" spans="1:8" x14ac:dyDescent="0.2">
      <c r="A6663" t="s">
        <v>7</v>
      </c>
      <c r="B6663" t="s">
        <v>25</v>
      </c>
      <c r="C6663" t="str">
        <f t="shared" si="21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09"/>
        <v>0</v>
      </c>
    </row>
    <row r="6664" spans="1:8" x14ac:dyDescent="0.2">
      <c r="A6664" t="s">
        <v>7</v>
      </c>
      <c r="B6664" t="s">
        <v>25</v>
      </c>
      <c r="C6664" t="str">
        <f t="shared" si="21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09"/>
        <v>0</v>
      </c>
    </row>
    <row r="6665" spans="1:8" x14ac:dyDescent="0.2">
      <c r="A6665" t="s">
        <v>7</v>
      </c>
      <c r="B6665" t="s">
        <v>25</v>
      </c>
      <c r="C6665" t="str">
        <f t="shared" si="21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09"/>
        <v>0</v>
      </c>
    </row>
    <row r="6666" spans="1:8" x14ac:dyDescent="0.2">
      <c r="A6666" t="s">
        <v>7</v>
      </c>
      <c r="B6666" t="s">
        <v>25</v>
      </c>
      <c r="C6666" t="str">
        <f t="shared" si="21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09"/>
        <v>0</v>
      </c>
    </row>
    <row r="6667" spans="1:8" x14ac:dyDescent="0.2">
      <c r="A6667" t="s">
        <v>7</v>
      </c>
      <c r="B6667" t="s">
        <v>25</v>
      </c>
      <c r="C6667" t="str">
        <f t="shared" si="21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09"/>
        <v>0</v>
      </c>
    </row>
    <row r="6668" spans="1:8" x14ac:dyDescent="0.2">
      <c r="A6668" t="s">
        <v>7</v>
      </c>
      <c r="B6668" t="s">
        <v>25</v>
      </c>
      <c r="C6668" t="str">
        <f t="shared" si="21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09"/>
        <v>0</v>
      </c>
    </row>
    <row r="6669" spans="1:8" x14ac:dyDescent="0.2">
      <c r="A6669" t="s">
        <v>7</v>
      </c>
      <c r="B6669" t="s">
        <v>25</v>
      </c>
      <c r="C6669" t="str">
        <f t="shared" si="21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09"/>
        <v>0</v>
      </c>
    </row>
    <row r="6670" spans="1:8" x14ac:dyDescent="0.2">
      <c r="A6670" t="s">
        <v>7</v>
      </c>
      <c r="B6670" t="s">
        <v>25</v>
      </c>
      <c r="C6670" t="str">
        <f t="shared" si="21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09"/>
        <v>-3</v>
      </c>
    </row>
    <row r="6671" spans="1:8" x14ac:dyDescent="0.2">
      <c r="A6671" t="s">
        <v>7</v>
      </c>
      <c r="B6671" t="s">
        <v>25</v>
      </c>
      <c r="C6671" t="str">
        <f t="shared" si="21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09"/>
        <v>0</v>
      </c>
    </row>
    <row r="6672" spans="1:8" x14ac:dyDescent="0.2">
      <c r="A6672" t="s">
        <v>7</v>
      </c>
      <c r="B6672" t="s">
        <v>25</v>
      </c>
      <c r="C6672" t="str">
        <f t="shared" si="21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09"/>
        <v>0</v>
      </c>
    </row>
    <row r="6673" spans="1:8" x14ac:dyDescent="0.2">
      <c r="A6673" t="s">
        <v>7</v>
      </c>
      <c r="B6673" t="s">
        <v>25</v>
      </c>
      <c r="C6673" t="str">
        <f t="shared" si="21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09"/>
        <v>0</v>
      </c>
    </row>
    <row r="6674" spans="1:8" x14ac:dyDescent="0.2">
      <c r="A6674" t="s">
        <v>7</v>
      </c>
      <c r="B6674" t="s">
        <v>25</v>
      </c>
      <c r="C6674" t="str">
        <f t="shared" si="21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09"/>
        <v>0</v>
      </c>
    </row>
    <row r="6675" spans="1:8" x14ac:dyDescent="0.2">
      <c r="A6675" t="s">
        <v>7</v>
      </c>
      <c r="B6675" t="s">
        <v>25</v>
      </c>
      <c r="C6675" t="str">
        <f t="shared" si="21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09"/>
        <v>0</v>
      </c>
    </row>
    <row r="6676" spans="1:8" x14ac:dyDescent="0.2">
      <c r="A6676" t="s">
        <v>7</v>
      </c>
      <c r="B6676" t="s">
        <v>25</v>
      </c>
      <c r="C6676" t="str">
        <f t="shared" si="21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09"/>
        <v>0</v>
      </c>
    </row>
    <row r="6677" spans="1:8" x14ac:dyDescent="0.2">
      <c r="A6677" t="s">
        <v>7</v>
      </c>
      <c r="B6677" t="s">
        <v>25</v>
      </c>
      <c r="C6677" t="str">
        <f t="shared" si="21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09"/>
        <v>0</v>
      </c>
    </row>
    <row r="6678" spans="1:8" x14ac:dyDescent="0.2">
      <c r="A6678" t="s">
        <v>7</v>
      </c>
      <c r="B6678" t="s">
        <v>25</v>
      </c>
      <c r="C6678" t="str">
        <f t="shared" si="21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09"/>
        <v>0</v>
      </c>
    </row>
    <row r="6679" spans="1:8" x14ac:dyDescent="0.2">
      <c r="A6679" t="s">
        <v>7</v>
      </c>
      <c r="B6679" t="s">
        <v>25</v>
      </c>
      <c r="C6679" t="str">
        <f t="shared" si="21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09"/>
        <v>0</v>
      </c>
    </row>
    <row r="6680" spans="1:8" x14ac:dyDescent="0.2">
      <c r="A6680" t="s">
        <v>7</v>
      </c>
      <c r="B6680" t="s">
        <v>25</v>
      </c>
      <c r="C6680" t="str">
        <f t="shared" si="21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09"/>
        <v>0</v>
      </c>
    </row>
    <row r="6681" spans="1:8" x14ac:dyDescent="0.2">
      <c r="A6681" t="s">
        <v>7</v>
      </c>
      <c r="B6681" t="s">
        <v>25</v>
      </c>
      <c r="C6681" t="str">
        <f t="shared" si="21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09"/>
        <v>0</v>
      </c>
    </row>
    <row r="6682" spans="1:8" x14ac:dyDescent="0.2">
      <c r="A6682" t="s">
        <v>7</v>
      </c>
      <c r="B6682" t="s">
        <v>25</v>
      </c>
      <c r="C6682" t="str">
        <f t="shared" si="21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09"/>
        <v>0</v>
      </c>
    </row>
    <row r="6683" spans="1:8" x14ac:dyDescent="0.2">
      <c r="A6683" t="s">
        <v>7</v>
      </c>
      <c r="B6683" t="s">
        <v>25</v>
      </c>
      <c r="C6683" t="str">
        <f t="shared" si="21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09"/>
        <v>-1</v>
      </c>
    </row>
    <row r="6684" spans="1:8" x14ac:dyDescent="0.2">
      <c r="A6684" t="s">
        <v>7</v>
      </c>
      <c r="B6684" t="s">
        <v>25</v>
      </c>
      <c r="C6684" t="str">
        <f t="shared" si="21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09"/>
        <v>-1</v>
      </c>
    </row>
    <row r="6685" spans="1:8" x14ac:dyDescent="0.2">
      <c r="A6685" t="s">
        <v>7</v>
      </c>
      <c r="B6685" t="s">
        <v>25</v>
      </c>
      <c r="C6685" t="str">
        <f t="shared" si="21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09"/>
        <v>0</v>
      </c>
    </row>
    <row r="6686" spans="1:8" x14ac:dyDescent="0.2">
      <c r="A6686" t="s">
        <v>7</v>
      </c>
      <c r="B6686" t="s">
        <v>25</v>
      </c>
      <c r="C6686" t="str">
        <f t="shared" si="21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09"/>
        <v>-1</v>
      </c>
    </row>
    <row r="6687" spans="1:8" x14ac:dyDescent="0.2">
      <c r="A6687" t="s">
        <v>7</v>
      </c>
      <c r="B6687" t="s">
        <v>25</v>
      </c>
      <c r="C6687" t="str">
        <f t="shared" si="21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09"/>
        <v>-1</v>
      </c>
    </row>
    <row r="6688" spans="1:8" x14ac:dyDescent="0.2">
      <c r="A6688" t="s">
        <v>7</v>
      </c>
      <c r="B6688" t="s">
        <v>25</v>
      </c>
      <c r="C6688" t="str">
        <f t="shared" si="21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09"/>
        <v>-1</v>
      </c>
    </row>
    <row r="6689" spans="1:8" x14ac:dyDescent="0.2">
      <c r="A6689" t="s">
        <v>7</v>
      </c>
      <c r="B6689" t="s">
        <v>25</v>
      </c>
      <c r="C6689" t="str">
        <f t="shared" si="210"/>
        <v>Cumple</v>
      </c>
      <c r="D6689">
        <v>1434</v>
      </c>
      <c r="E6689" t="s">
        <v>13</v>
      </c>
      <c r="F6689">
        <v>3</v>
      </c>
      <c r="G6689">
        <v>3</v>
      </c>
      <c r="H6689">
        <f t="shared" si="209"/>
        <v>0</v>
      </c>
    </row>
    <row r="6690" spans="1:8" x14ac:dyDescent="0.2">
      <c r="A6690" t="s">
        <v>7</v>
      </c>
      <c r="B6690" t="s">
        <v>25</v>
      </c>
      <c r="C6690" t="str">
        <f t="shared" si="21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09"/>
        <v>-1</v>
      </c>
    </row>
    <row r="6691" spans="1:8" x14ac:dyDescent="0.2">
      <c r="A6691" t="s">
        <v>7</v>
      </c>
      <c r="B6691" t="s">
        <v>25</v>
      </c>
      <c r="C6691" t="str">
        <f t="shared" si="21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09"/>
        <v>-1</v>
      </c>
    </row>
    <row r="6692" spans="1:8" x14ac:dyDescent="0.2">
      <c r="A6692" t="s">
        <v>7</v>
      </c>
      <c r="B6692" t="s">
        <v>25</v>
      </c>
      <c r="C6692" t="str">
        <f t="shared" si="21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09"/>
        <v>-1</v>
      </c>
    </row>
    <row r="6693" spans="1:8" x14ac:dyDescent="0.2">
      <c r="A6693" t="s">
        <v>7</v>
      </c>
      <c r="B6693" t="s">
        <v>25</v>
      </c>
      <c r="C6693" t="str">
        <f t="shared" si="21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09"/>
        <v>-1</v>
      </c>
    </row>
    <row r="6694" spans="1:8" x14ac:dyDescent="0.2">
      <c r="A6694" t="s">
        <v>7</v>
      </c>
      <c r="B6694" t="s">
        <v>25</v>
      </c>
      <c r="C6694" t="str">
        <f t="shared" si="21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09"/>
        <v>-1</v>
      </c>
    </row>
    <row r="6695" spans="1:8" x14ac:dyDescent="0.2">
      <c r="A6695" t="s">
        <v>7</v>
      </c>
      <c r="B6695" t="s">
        <v>25</v>
      </c>
      <c r="C6695" t="str">
        <f t="shared" si="21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09"/>
        <v>-1</v>
      </c>
    </row>
    <row r="6696" spans="1:8" x14ac:dyDescent="0.2">
      <c r="A6696" t="s">
        <v>7</v>
      </c>
      <c r="B6696" t="s">
        <v>25</v>
      </c>
      <c r="C6696" t="str">
        <f t="shared" si="21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09"/>
        <v>-1</v>
      </c>
    </row>
    <row r="6697" spans="1:8" x14ac:dyDescent="0.2">
      <c r="A6697" t="s">
        <v>7</v>
      </c>
      <c r="B6697" t="s">
        <v>25</v>
      </c>
      <c r="C6697" t="str">
        <f t="shared" si="21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09"/>
        <v>-1</v>
      </c>
    </row>
    <row r="6698" spans="1:8" x14ac:dyDescent="0.2">
      <c r="A6698" t="s">
        <v>7</v>
      </c>
      <c r="B6698" t="s">
        <v>25</v>
      </c>
      <c r="C6698" t="str">
        <f t="shared" si="21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09"/>
        <v>-1</v>
      </c>
    </row>
    <row r="6699" spans="1:8" x14ac:dyDescent="0.2">
      <c r="A6699" t="s">
        <v>7</v>
      </c>
      <c r="B6699" t="s">
        <v>25</v>
      </c>
      <c r="C6699" t="str">
        <f t="shared" si="21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09"/>
        <v>0</v>
      </c>
    </row>
    <row r="6700" spans="1:8" x14ac:dyDescent="0.2">
      <c r="A6700" t="s">
        <v>7</v>
      </c>
      <c r="B6700" t="s">
        <v>25</v>
      </c>
      <c r="C6700" t="str">
        <f t="shared" si="21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09"/>
        <v>0</v>
      </c>
    </row>
    <row r="6701" spans="1:8" x14ac:dyDescent="0.2">
      <c r="A6701" t="s">
        <v>7</v>
      </c>
      <c r="B6701" t="s">
        <v>25</v>
      </c>
      <c r="C6701" t="str">
        <f t="shared" si="21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09"/>
        <v>-1</v>
      </c>
    </row>
    <row r="6702" spans="1:8" x14ac:dyDescent="0.2">
      <c r="A6702" t="s">
        <v>7</v>
      </c>
      <c r="B6702" t="s">
        <v>25</v>
      </c>
      <c r="C6702" t="str">
        <f t="shared" si="21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09"/>
        <v>-1</v>
      </c>
    </row>
    <row r="6703" spans="1:8" x14ac:dyDescent="0.2">
      <c r="A6703" t="s">
        <v>7</v>
      </c>
      <c r="B6703" t="s">
        <v>25</v>
      </c>
      <c r="C6703" t="str">
        <f t="shared" si="21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09"/>
        <v>-1</v>
      </c>
    </row>
    <row r="6704" spans="1:8" x14ac:dyDescent="0.2">
      <c r="A6704" t="s">
        <v>7</v>
      </c>
      <c r="B6704" t="s">
        <v>25</v>
      </c>
      <c r="C6704" t="str">
        <f t="shared" si="21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09"/>
        <v>-2</v>
      </c>
    </row>
    <row r="6705" spans="1:8" x14ac:dyDescent="0.2">
      <c r="A6705" t="s">
        <v>7</v>
      </c>
      <c r="B6705" t="s">
        <v>25</v>
      </c>
      <c r="C6705" t="str">
        <f t="shared" si="21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09"/>
        <v>-2</v>
      </c>
    </row>
    <row r="6706" spans="1:8" x14ac:dyDescent="0.2">
      <c r="A6706" t="s">
        <v>7</v>
      </c>
      <c r="B6706" t="s">
        <v>25</v>
      </c>
      <c r="C6706" t="str">
        <f t="shared" si="21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09"/>
        <v>-2</v>
      </c>
    </row>
    <row r="6707" spans="1:8" x14ac:dyDescent="0.2">
      <c r="A6707" t="s">
        <v>7</v>
      </c>
      <c r="B6707" t="s">
        <v>25</v>
      </c>
      <c r="C6707" t="str">
        <f t="shared" si="21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09"/>
        <v>-2</v>
      </c>
    </row>
    <row r="6708" spans="1:8" x14ac:dyDescent="0.2">
      <c r="A6708" t="s">
        <v>7</v>
      </c>
      <c r="B6708" t="s">
        <v>25</v>
      </c>
      <c r="C6708" t="str">
        <f t="shared" si="21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09"/>
        <v>-2</v>
      </c>
    </row>
    <row r="6709" spans="1:8" x14ac:dyDescent="0.2">
      <c r="A6709" t="s">
        <v>7</v>
      </c>
      <c r="B6709" t="s">
        <v>25</v>
      </c>
      <c r="C6709" t="str">
        <f t="shared" si="21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09"/>
        <v>-2</v>
      </c>
    </row>
    <row r="6710" spans="1:8" x14ac:dyDescent="0.2">
      <c r="A6710" t="s">
        <v>7</v>
      </c>
      <c r="B6710" t="s">
        <v>25</v>
      </c>
      <c r="C6710" t="str">
        <f t="shared" si="21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09"/>
        <v>-2</v>
      </c>
    </row>
    <row r="6711" spans="1:8" x14ac:dyDescent="0.2">
      <c r="A6711" t="s">
        <v>7</v>
      </c>
      <c r="B6711" t="s">
        <v>25</v>
      </c>
      <c r="C6711" t="str">
        <f t="shared" si="21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09"/>
        <v>-5</v>
      </c>
    </row>
    <row r="6712" spans="1:8" x14ac:dyDescent="0.2">
      <c r="A6712" t="s">
        <v>7</v>
      </c>
      <c r="B6712" t="s">
        <v>25</v>
      </c>
      <c r="C6712" t="str">
        <f t="shared" si="21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09"/>
        <v>-2</v>
      </c>
    </row>
    <row r="6713" spans="1:8" x14ac:dyDescent="0.2">
      <c r="A6713" t="s">
        <v>7</v>
      </c>
      <c r="B6713" t="s">
        <v>25</v>
      </c>
      <c r="C6713" t="str">
        <f t="shared" si="21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09"/>
        <v>-2</v>
      </c>
    </row>
    <row r="6714" spans="1:8" x14ac:dyDescent="0.2">
      <c r="A6714" t="s">
        <v>7</v>
      </c>
      <c r="B6714" t="s">
        <v>25</v>
      </c>
      <c r="C6714" t="str">
        <f t="shared" si="21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09"/>
        <v>-2</v>
      </c>
    </row>
    <row r="6715" spans="1:8" x14ac:dyDescent="0.2">
      <c r="A6715" t="s">
        <v>7</v>
      </c>
      <c r="B6715" t="s">
        <v>25</v>
      </c>
      <c r="C6715" t="str">
        <f t="shared" si="21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09"/>
        <v>0</v>
      </c>
    </row>
    <row r="6716" spans="1:8" x14ac:dyDescent="0.2">
      <c r="A6716" t="s">
        <v>7</v>
      </c>
      <c r="B6716" t="s">
        <v>25</v>
      </c>
      <c r="C6716" t="str">
        <f t="shared" si="21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09"/>
        <v>-2</v>
      </c>
    </row>
    <row r="6717" spans="1:8" x14ac:dyDescent="0.2">
      <c r="A6717" t="s">
        <v>7</v>
      </c>
      <c r="B6717" t="s">
        <v>25</v>
      </c>
      <c r="C6717" t="str">
        <f t="shared" si="21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09"/>
        <v>-5</v>
      </c>
    </row>
    <row r="6718" spans="1:8" x14ac:dyDescent="0.2">
      <c r="A6718" t="s">
        <v>7</v>
      </c>
      <c r="B6718" t="s">
        <v>25</v>
      </c>
      <c r="C6718" t="str">
        <f t="shared" si="21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09"/>
        <v>-2</v>
      </c>
    </row>
    <row r="6719" spans="1:8" x14ac:dyDescent="0.2">
      <c r="A6719" t="s">
        <v>7</v>
      </c>
      <c r="B6719" t="s">
        <v>25</v>
      </c>
      <c r="C6719" t="str">
        <f t="shared" si="21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09"/>
        <v>-2</v>
      </c>
    </row>
    <row r="6720" spans="1:8" x14ac:dyDescent="0.2">
      <c r="A6720" t="s">
        <v>7</v>
      </c>
      <c r="B6720" t="s">
        <v>25</v>
      </c>
      <c r="C6720" t="str">
        <f t="shared" si="210"/>
        <v>Cumple</v>
      </c>
      <c r="D6720">
        <v>3843</v>
      </c>
      <c r="E6720" t="s">
        <v>13</v>
      </c>
      <c r="F6720" s="9">
        <v>3</v>
      </c>
      <c r="G6720" s="9">
        <v>3</v>
      </c>
      <c r="H6720">
        <f t="shared" si="209"/>
        <v>0</v>
      </c>
    </row>
    <row r="6721" spans="1:8" x14ac:dyDescent="0.2">
      <c r="A6721" t="s">
        <v>7</v>
      </c>
      <c r="B6721" t="s">
        <v>25</v>
      </c>
      <c r="C6721" t="str">
        <f t="shared" si="21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09"/>
        <v>-5</v>
      </c>
    </row>
    <row r="6722" spans="1:8" x14ac:dyDescent="0.2">
      <c r="A6722" t="s">
        <v>7</v>
      </c>
      <c r="B6722" t="s">
        <v>25</v>
      </c>
      <c r="C6722" t="str">
        <f t="shared" si="21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09"/>
        <v>-2</v>
      </c>
    </row>
    <row r="6723" spans="1:8" x14ac:dyDescent="0.2">
      <c r="A6723" t="s">
        <v>7</v>
      </c>
      <c r="B6723" t="s">
        <v>25</v>
      </c>
      <c r="C6723" t="str">
        <f t="shared" si="21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ref="H6723:H6786" si="211">F6723-G6723</f>
        <v>-2</v>
      </c>
    </row>
    <row r="6724" spans="1:8" x14ac:dyDescent="0.2">
      <c r="A6724" t="s">
        <v>7</v>
      </c>
      <c r="B6724" t="s">
        <v>25</v>
      </c>
      <c r="C6724" t="str">
        <f t="shared" si="210"/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si="211"/>
        <v>-2</v>
      </c>
    </row>
    <row r="6725" spans="1:8" x14ac:dyDescent="0.2">
      <c r="A6725" t="s">
        <v>7</v>
      </c>
      <c r="B6725" t="s">
        <v>25</v>
      </c>
      <c r="C6725" t="str">
        <f t="shared" ref="C6725:C6788" si="212">IF(H6725&gt;=0,"Cumple","No cumple")</f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11"/>
        <v>-2</v>
      </c>
    </row>
    <row r="6726" spans="1:8" x14ac:dyDescent="0.2">
      <c r="A6726" t="s">
        <v>18</v>
      </c>
      <c r="B6726" t="s">
        <v>25</v>
      </c>
      <c r="C6726" t="str">
        <f t="shared" si="21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11"/>
        <v>-6</v>
      </c>
    </row>
    <row r="6727" spans="1:8" x14ac:dyDescent="0.2">
      <c r="A6727" t="s">
        <v>18</v>
      </c>
      <c r="B6727" t="s">
        <v>25</v>
      </c>
      <c r="C6727" t="str">
        <f t="shared" si="21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11"/>
        <v>-3</v>
      </c>
    </row>
    <row r="6728" spans="1:8" x14ac:dyDescent="0.2">
      <c r="A6728" t="s">
        <v>7</v>
      </c>
      <c r="B6728" t="s">
        <v>25</v>
      </c>
      <c r="C6728" t="str">
        <f t="shared" si="21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11"/>
        <v>-3</v>
      </c>
    </row>
    <row r="6729" spans="1:8" x14ac:dyDescent="0.2">
      <c r="A6729" t="s">
        <v>18</v>
      </c>
      <c r="B6729" t="s">
        <v>25</v>
      </c>
      <c r="C6729" t="str">
        <f t="shared" si="21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11"/>
        <v>-3</v>
      </c>
    </row>
    <row r="6730" spans="1:8" x14ac:dyDescent="0.2">
      <c r="A6730" t="s">
        <v>7</v>
      </c>
      <c r="B6730" t="s">
        <v>25</v>
      </c>
      <c r="C6730" t="str">
        <f t="shared" si="21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11"/>
        <v>-3</v>
      </c>
    </row>
    <row r="6731" spans="1:8" x14ac:dyDescent="0.2">
      <c r="A6731" t="s">
        <v>18</v>
      </c>
      <c r="B6731" t="s">
        <v>25</v>
      </c>
      <c r="C6731" t="str">
        <f t="shared" si="21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11"/>
        <v>-3</v>
      </c>
    </row>
    <row r="6732" spans="1:8" x14ac:dyDescent="0.2">
      <c r="A6732" t="s">
        <v>7</v>
      </c>
      <c r="B6732" t="s">
        <v>25</v>
      </c>
      <c r="C6732" t="str">
        <f t="shared" si="212"/>
        <v>Cumple</v>
      </c>
      <c r="D6732">
        <v>821</v>
      </c>
      <c r="E6732" t="s">
        <v>13</v>
      </c>
      <c r="F6732" s="9">
        <v>3</v>
      </c>
      <c r="G6732">
        <v>3</v>
      </c>
      <c r="H6732">
        <f t="shared" si="211"/>
        <v>0</v>
      </c>
    </row>
    <row r="6733" spans="1:8" x14ac:dyDescent="0.2">
      <c r="A6733" t="s">
        <v>18</v>
      </c>
      <c r="B6733" t="s">
        <v>25</v>
      </c>
      <c r="C6733" t="str">
        <f t="shared" si="21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11"/>
        <v>0</v>
      </c>
    </row>
    <row r="6734" spans="1:8" x14ac:dyDescent="0.2">
      <c r="A6734" t="s">
        <v>7</v>
      </c>
      <c r="B6734" t="s">
        <v>25</v>
      </c>
      <c r="C6734" t="str">
        <f t="shared" si="21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11"/>
        <v>-3</v>
      </c>
    </row>
    <row r="6735" spans="1:8" x14ac:dyDescent="0.2">
      <c r="A6735" t="s">
        <v>18</v>
      </c>
      <c r="B6735" t="s">
        <v>25</v>
      </c>
      <c r="C6735" t="str">
        <f t="shared" si="21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11"/>
        <v>-3</v>
      </c>
    </row>
    <row r="6736" spans="1:8" x14ac:dyDescent="0.2">
      <c r="A6736" t="s">
        <v>18</v>
      </c>
      <c r="B6736" t="s">
        <v>25</v>
      </c>
      <c r="C6736" t="str">
        <f t="shared" si="21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11"/>
        <v>-3</v>
      </c>
    </row>
    <row r="6737" spans="1:8" x14ac:dyDescent="0.2">
      <c r="A6737" t="s">
        <v>18</v>
      </c>
      <c r="B6737" t="s">
        <v>25</v>
      </c>
      <c r="C6737" t="str">
        <f t="shared" si="21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11"/>
        <v>-3</v>
      </c>
    </row>
    <row r="6738" spans="1:8" x14ac:dyDescent="0.2">
      <c r="A6738" t="s">
        <v>18</v>
      </c>
      <c r="B6738" t="s">
        <v>25</v>
      </c>
      <c r="C6738" t="str">
        <f t="shared" si="21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11"/>
        <v>-3</v>
      </c>
    </row>
    <row r="6739" spans="1:8" x14ac:dyDescent="0.2">
      <c r="A6739" t="s">
        <v>18</v>
      </c>
      <c r="B6739" t="s">
        <v>25</v>
      </c>
      <c r="C6739" t="str">
        <f t="shared" si="21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11"/>
        <v>-3</v>
      </c>
    </row>
    <row r="6740" spans="1:8" x14ac:dyDescent="0.2">
      <c r="A6740" t="s">
        <v>7</v>
      </c>
      <c r="B6740" t="s">
        <v>25</v>
      </c>
      <c r="C6740" t="str">
        <f t="shared" si="21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11"/>
        <v>-3</v>
      </c>
    </row>
    <row r="6741" spans="1:8" x14ac:dyDescent="0.2">
      <c r="A6741" t="s">
        <v>18</v>
      </c>
      <c r="B6741" t="s">
        <v>25</v>
      </c>
      <c r="C6741" t="str">
        <f t="shared" si="21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11"/>
        <v>-3</v>
      </c>
    </row>
    <row r="6742" spans="1:8" x14ac:dyDescent="0.2">
      <c r="A6742" t="s">
        <v>19</v>
      </c>
      <c r="B6742" t="s">
        <v>25</v>
      </c>
      <c r="C6742" t="str">
        <f t="shared" si="21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11"/>
        <v>-6</v>
      </c>
    </row>
    <row r="6743" spans="1:8" x14ac:dyDescent="0.2">
      <c r="A6743" t="s">
        <v>7</v>
      </c>
      <c r="B6743" t="s">
        <v>25</v>
      </c>
      <c r="C6743" t="str">
        <f t="shared" si="21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11"/>
        <v>-6</v>
      </c>
    </row>
    <row r="6744" spans="1:8" x14ac:dyDescent="0.2">
      <c r="A6744" t="s">
        <v>19</v>
      </c>
      <c r="B6744" t="s">
        <v>25</v>
      </c>
      <c r="C6744" t="str">
        <f t="shared" si="21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11"/>
        <v>-3</v>
      </c>
    </row>
    <row r="6745" spans="1:8" x14ac:dyDescent="0.2">
      <c r="A6745" t="s">
        <v>18</v>
      </c>
      <c r="B6745" t="s">
        <v>25</v>
      </c>
      <c r="C6745" t="str">
        <f t="shared" si="21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11"/>
        <v>-3</v>
      </c>
    </row>
    <row r="6746" spans="1:8" x14ac:dyDescent="0.2">
      <c r="A6746" t="s">
        <v>18</v>
      </c>
      <c r="B6746" t="s">
        <v>25</v>
      </c>
      <c r="C6746" t="str">
        <f t="shared" si="21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11"/>
        <v>-3</v>
      </c>
    </row>
    <row r="6747" spans="1:8" x14ac:dyDescent="0.2">
      <c r="A6747" t="s">
        <v>18</v>
      </c>
      <c r="B6747" t="s">
        <v>25</v>
      </c>
      <c r="C6747" t="str">
        <f t="shared" si="21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11"/>
        <v>-6</v>
      </c>
    </row>
    <row r="6748" spans="1:8" x14ac:dyDescent="0.2">
      <c r="A6748" t="s">
        <v>18</v>
      </c>
      <c r="B6748" t="s">
        <v>25</v>
      </c>
      <c r="C6748" t="str">
        <f t="shared" si="21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11"/>
        <v>-3</v>
      </c>
    </row>
    <row r="6749" spans="1:8" x14ac:dyDescent="0.2">
      <c r="A6749" t="s">
        <v>19</v>
      </c>
      <c r="B6749" t="s">
        <v>25</v>
      </c>
      <c r="C6749" t="str">
        <f t="shared" si="21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11"/>
        <v>-3</v>
      </c>
    </row>
    <row r="6750" spans="1:8" x14ac:dyDescent="0.2">
      <c r="A6750" t="s">
        <v>18</v>
      </c>
      <c r="B6750" t="s">
        <v>25</v>
      </c>
      <c r="C6750" t="str">
        <f t="shared" si="21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11"/>
        <v>-3</v>
      </c>
    </row>
    <row r="6751" spans="1:8" x14ac:dyDescent="0.2">
      <c r="A6751" t="s">
        <v>21</v>
      </c>
      <c r="B6751" t="s">
        <v>25</v>
      </c>
      <c r="C6751" t="str">
        <f t="shared" si="21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11"/>
        <v>-3</v>
      </c>
    </row>
    <row r="6752" spans="1:8" x14ac:dyDescent="0.2">
      <c r="A6752" t="s">
        <v>21</v>
      </c>
      <c r="B6752" t="s">
        <v>25</v>
      </c>
      <c r="C6752" t="str">
        <f t="shared" si="21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11"/>
        <v>-3</v>
      </c>
    </row>
    <row r="6753" spans="1:8" x14ac:dyDescent="0.2">
      <c r="A6753" t="s">
        <v>21</v>
      </c>
      <c r="B6753" t="s">
        <v>25</v>
      </c>
      <c r="C6753" t="str">
        <f t="shared" si="21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11"/>
        <v>-3</v>
      </c>
    </row>
    <row r="6754" spans="1:8" x14ac:dyDescent="0.2">
      <c r="A6754" t="s">
        <v>21</v>
      </c>
      <c r="B6754" t="s">
        <v>25</v>
      </c>
      <c r="C6754" t="str">
        <f t="shared" si="21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11"/>
        <v>-3</v>
      </c>
    </row>
    <row r="6755" spans="1:8" x14ac:dyDescent="0.2">
      <c r="A6755" t="s">
        <v>21</v>
      </c>
      <c r="B6755" t="s">
        <v>25</v>
      </c>
      <c r="C6755" t="str">
        <f t="shared" si="21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11"/>
        <v>-3</v>
      </c>
    </row>
    <row r="6756" spans="1:8" x14ac:dyDescent="0.2">
      <c r="A6756" t="s">
        <v>21</v>
      </c>
      <c r="B6756" t="s">
        <v>25</v>
      </c>
      <c r="C6756" t="str">
        <f t="shared" si="21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11"/>
        <v>-3</v>
      </c>
    </row>
    <row r="6757" spans="1:8" x14ac:dyDescent="0.2">
      <c r="A6757" t="s">
        <v>21</v>
      </c>
      <c r="B6757" t="s">
        <v>25</v>
      </c>
      <c r="C6757" t="str">
        <f t="shared" si="21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11"/>
        <v>-3</v>
      </c>
    </row>
    <row r="6758" spans="1:8" x14ac:dyDescent="0.2">
      <c r="A6758" t="s">
        <v>21</v>
      </c>
      <c r="B6758" t="s">
        <v>25</v>
      </c>
      <c r="C6758" t="str">
        <f t="shared" si="21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11"/>
        <v>-3</v>
      </c>
    </row>
    <row r="6759" spans="1:8" x14ac:dyDescent="0.2">
      <c r="A6759" t="s">
        <v>21</v>
      </c>
      <c r="B6759" t="s">
        <v>25</v>
      </c>
      <c r="C6759" t="str">
        <f t="shared" si="21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11"/>
        <v>-3</v>
      </c>
    </row>
    <row r="6760" spans="1:8" x14ac:dyDescent="0.2">
      <c r="A6760" t="s">
        <v>21</v>
      </c>
      <c r="B6760" t="s">
        <v>25</v>
      </c>
      <c r="C6760" t="str">
        <f t="shared" si="21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11"/>
        <v>-3</v>
      </c>
    </row>
    <row r="6761" spans="1:8" x14ac:dyDescent="0.2">
      <c r="A6761" t="s">
        <v>21</v>
      </c>
      <c r="B6761" t="s">
        <v>25</v>
      </c>
      <c r="C6761" t="str">
        <f t="shared" si="21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11"/>
        <v>-3</v>
      </c>
    </row>
    <row r="6762" spans="1:8" x14ac:dyDescent="0.2">
      <c r="A6762" t="s">
        <v>21</v>
      </c>
      <c r="B6762" t="s">
        <v>25</v>
      </c>
      <c r="C6762" t="str">
        <f t="shared" si="21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11"/>
        <v>-3</v>
      </c>
    </row>
    <row r="6763" spans="1:8" x14ac:dyDescent="0.2">
      <c r="A6763" t="s">
        <v>21</v>
      </c>
      <c r="B6763" t="s">
        <v>25</v>
      </c>
      <c r="C6763" t="str">
        <f t="shared" si="21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11"/>
        <v>-3</v>
      </c>
    </row>
    <row r="6764" spans="1:8" x14ac:dyDescent="0.2">
      <c r="A6764" t="s">
        <v>21</v>
      </c>
      <c r="B6764" t="s">
        <v>25</v>
      </c>
      <c r="C6764" t="str">
        <f t="shared" si="21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11"/>
        <v>-3</v>
      </c>
    </row>
    <row r="6765" spans="1:8" x14ac:dyDescent="0.2">
      <c r="A6765" t="s">
        <v>21</v>
      </c>
      <c r="B6765" t="s">
        <v>25</v>
      </c>
      <c r="C6765" t="str">
        <f t="shared" si="21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11"/>
        <v>-3</v>
      </c>
    </row>
    <row r="6766" spans="1:8" x14ac:dyDescent="0.2">
      <c r="A6766" t="s">
        <v>21</v>
      </c>
      <c r="B6766" t="s">
        <v>25</v>
      </c>
      <c r="C6766" t="str">
        <f t="shared" si="21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11"/>
        <v>-3</v>
      </c>
    </row>
    <row r="6767" spans="1:8" x14ac:dyDescent="0.2">
      <c r="A6767" t="s">
        <v>21</v>
      </c>
      <c r="B6767" t="s">
        <v>25</v>
      </c>
      <c r="C6767" t="str">
        <f t="shared" si="21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11"/>
        <v>-3</v>
      </c>
    </row>
    <row r="6768" spans="1:8" x14ac:dyDescent="0.2">
      <c r="A6768" t="s">
        <v>21</v>
      </c>
      <c r="B6768" t="s">
        <v>25</v>
      </c>
      <c r="C6768" t="str">
        <f t="shared" si="21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11"/>
        <v>-3</v>
      </c>
    </row>
    <row r="6769" spans="1:8" x14ac:dyDescent="0.2">
      <c r="A6769" t="s">
        <v>21</v>
      </c>
      <c r="B6769" t="s">
        <v>25</v>
      </c>
      <c r="C6769" t="str">
        <f t="shared" si="21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11"/>
        <v>-3</v>
      </c>
    </row>
    <row r="6770" spans="1:8" x14ac:dyDescent="0.2">
      <c r="A6770" t="s">
        <v>21</v>
      </c>
      <c r="B6770" t="s">
        <v>25</v>
      </c>
      <c r="C6770" t="str">
        <f t="shared" si="21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11"/>
        <v>-3</v>
      </c>
    </row>
    <row r="6771" spans="1:8" x14ac:dyDescent="0.2">
      <c r="A6771" t="s">
        <v>21</v>
      </c>
      <c r="B6771" t="s">
        <v>25</v>
      </c>
      <c r="C6771" t="str">
        <f t="shared" si="21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11"/>
        <v>-3</v>
      </c>
    </row>
    <row r="6772" spans="1:8" x14ac:dyDescent="0.2">
      <c r="A6772" t="s">
        <v>21</v>
      </c>
      <c r="B6772" t="s">
        <v>25</v>
      </c>
      <c r="C6772" t="str">
        <f t="shared" si="21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11"/>
        <v>-6</v>
      </c>
    </row>
    <row r="6773" spans="1:8" x14ac:dyDescent="0.2">
      <c r="A6773" t="s">
        <v>21</v>
      </c>
      <c r="B6773" t="s">
        <v>25</v>
      </c>
      <c r="C6773" t="str">
        <f t="shared" si="21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11"/>
        <v>-6</v>
      </c>
    </row>
    <row r="6774" spans="1:8" x14ac:dyDescent="0.2">
      <c r="A6774" t="s">
        <v>21</v>
      </c>
      <c r="B6774" t="s">
        <v>25</v>
      </c>
      <c r="C6774" t="str">
        <f t="shared" si="21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11"/>
        <v>-6</v>
      </c>
    </row>
    <row r="6775" spans="1:8" x14ac:dyDescent="0.2">
      <c r="A6775" t="s">
        <v>21</v>
      </c>
      <c r="B6775" t="s">
        <v>25</v>
      </c>
      <c r="C6775" t="str">
        <f t="shared" si="21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11"/>
        <v>-6</v>
      </c>
    </row>
    <row r="6776" spans="1:8" x14ac:dyDescent="0.2">
      <c r="A6776" t="s">
        <v>21</v>
      </c>
      <c r="B6776" t="s">
        <v>25</v>
      </c>
      <c r="C6776" t="str">
        <f t="shared" si="21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11"/>
        <v>-6</v>
      </c>
    </row>
    <row r="6777" spans="1:8" x14ac:dyDescent="0.2">
      <c r="A6777" t="s">
        <v>21</v>
      </c>
      <c r="B6777" t="s">
        <v>25</v>
      </c>
      <c r="C6777" t="str">
        <f t="shared" si="21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11"/>
        <v>-6</v>
      </c>
    </row>
    <row r="6778" spans="1:8" x14ac:dyDescent="0.2">
      <c r="A6778" t="s">
        <v>21</v>
      </c>
      <c r="B6778" t="s">
        <v>25</v>
      </c>
      <c r="C6778" t="str">
        <f t="shared" si="21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11"/>
        <v>-6</v>
      </c>
    </row>
    <row r="6779" spans="1:8" x14ac:dyDescent="0.2">
      <c r="A6779" t="s">
        <v>21</v>
      </c>
      <c r="B6779" t="s">
        <v>25</v>
      </c>
      <c r="C6779" t="str">
        <f t="shared" si="21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11"/>
        <v>-6</v>
      </c>
    </row>
    <row r="6780" spans="1:8" x14ac:dyDescent="0.2">
      <c r="A6780" t="s">
        <v>18</v>
      </c>
      <c r="B6780" t="s">
        <v>25</v>
      </c>
      <c r="C6780" t="str">
        <f t="shared" si="21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11"/>
        <v>0</v>
      </c>
    </row>
    <row r="6781" spans="1:8" x14ac:dyDescent="0.2">
      <c r="A6781" t="s">
        <v>18</v>
      </c>
      <c r="B6781" t="s">
        <v>25</v>
      </c>
      <c r="C6781" t="str">
        <f t="shared" si="21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11"/>
        <v>-3</v>
      </c>
    </row>
    <row r="6782" spans="1:8" x14ac:dyDescent="0.2">
      <c r="A6782" t="s">
        <v>18</v>
      </c>
      <c r="B6782" t="s">
        <v>25</v>
      </c>
      <c r="C6782" t="str">
        <f t="shared" si="21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11"/>
        <v>-3</v>
      </c>
    </row>
    <row r="6783" spans="1:8" x14ac:dyDescent="0.2">
      <c r="A6783" t="s">
        <v>7</v>
      </c>
      <c r="B6783" t="s">
        <v>25</v>
      </c>
      <c r="C6783" t="str">
        <f t="shared" si="21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11"/>
        <v>-3</v>
      </c>
    </row>
    <row r="6784" spans="1:8" x14ac:dyDescent="0.2">
      <c r="A6784" t="s">
        <v>18</v>
      </c>
      <c r="B6784" t="s">
        <v>25</v>
      </c>
      <c r="C6784" t="str">
        <f t="shared" si="21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11"/>
        <v>-3</v>
      </c>
    </row>
    <row r="6785" spans="1:8" x14ac:dyDescent="0.2">
      <c r="A6785" t="s">
        <v>7</v>
      </c>
      <c r="B6785" t="s">
        <v>25</v>
      </c>
      <c r="C6785" t="str">
        <f t="shared" si="21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11"/>
        <v>-3</v>
      </c>
    </row>
    <row r="6786" spans="1:8" x14ac:dyDescent="0.2">
      <c r="A6786" t="s">
        <v>18</v>
      </c>
      <c r="B6786" t="s">
        <v>25</v>
      </c>
      <c r="C6786" t="str">
        <f t="shared" si="21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11"/>
        <v>-3</v>
      </c>
    </row>
    <row r="6787" spans="1:8" x14ac:dyDescent="0.2">
      <c r="A6787" t="s">
        <v>19</v>
      </c>
      <c r="B6787" t="s">
        <v>25</v>
      </c>
      <c r="C6787" t="str">
        <f t="shared" si="21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ref="H6787:H6850" si="213">F6787-G6787</f>
        <v>-3</v>
      </c>
    </row>
    <row r="6788" spans="1:8" x14ac:dyDescent="0.2">
      <c r="A6788" t="s">
        <v>19</v>
      </c>
      <c r="B6788" t="s">
        <v>25</v>
      </c>
      <c r="C6788" t="str">
        <f t="shared" si="212"/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si="213"/>
        <v>-3</v>
      </c>
    </row>
    <row r="6789" spans="1:8" x14ac:dyDescent="0.2">
      <c r="A6789" t="s">
        <v>18</v>
      </c>
      <c r="B6789" t="s">
        <v>25</v>
      </c>
      <c r="C6789" t="str">
        <f t="shared" ref="C6789:C6852" si="214">IF(H6789&gt;=0,"Cumple","No cumple")</f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13"/>
        <v>-3</v>
      </c>
    </row>
    <row r="6790" spans="1:8" x14ac:dyDescent="0.2">
      <c r="A6790" t="s">
        <v>18</v>
      </c>
      <c r="B6790" t="s">
        <v>25</v>
      </c>
      <c r="C6790" t="str">
        <f t="shared" si="21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13"/>
        <v>-3</v>
      </c>
    </row>
    <row r="6791" spans="1:8" x14ac:dyDescent="0.2">
      <c r="A6791" t="s">
        <v>19</v>
      </c>
      <c r="B6791" t="s">
        <v>25</v>
      </c>
      <c r="C6791" t="str">
        <f t="shared" si="21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13"/>
        <v>-3</v>
      </c>
    </row>
    <row r="6792" spans="1:8" x14ac:dyDescent="0.2">
      <c r="A6792" t="s">
        <v>7</v>
      </c>
      <c r="B6792" t="s">
        <v>25</v>
      </c>
      <c r="C6792" t="str">
        <f t="shared" si="21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13"/>
        <v>0</v>
      </c>
    </row>
    <row r="6793" spans="1:8" x14ac:dyDescent="0.2">
      <c r="A6793" t="s">
        <v>19</v>
      </c>
      <c r="B6793" t="s">
        <v>25</v>
      </c>
      <c r="C6793" t="str">
        <f t="shared" si="21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13"/>
        <v>-3</v>
      </c>
    </row>
    <row r="6794" spans="1:8" x14ac:dyDescent="0.2">
      <c r="A6794" t="s">
        <v>19</v>
      </c>
      <c r="B6794" t="s">
        <v>25</v>
      </c>
      <c r="C6794" t="str">
        <f t="shared" si="21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13"/>
        <v>-3</v>
      </c>
    </row>
    <row r="6795" spans="1:8" x14ac:dyDescent="0.2">
      <c r="A6795" t="s">
        <v>19</v>
      </c>
      <c r="B6795" t="s">
        <v>25</v>
      </c>
      <c r="C6795" t="str">
        <f t="shared" si="21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13"/>
        <v>-3</v>
      </c>
    </row>
    <row r="6796" spans="1:8" x14ac:dyDescent="0.2">
      <c r="A6796" t="s">
        <v>19</v>
      </c>
      <c r="B6796" t="s">
        <v>25</v>
      </c>
      <c r="C6796" t="str">
        <f t="shared" si="21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13"/>
        <v>-6</v>
      </c>
    </row>
    <row r="6797" spans="1:8" x14ac:dyDescent="0.2">
      <c r="A6797" t="s">
        <v>18</v>
      </c>
      <c r="B6797" t="s">
        <v>25</v>
      </c>
      <c r="C6797" t="str">
        <f t="shared" si="21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13"/>
        <v>-3</v>
      </c>
    </row>
    <row r="6798" spans="1:8" x14ac:dyDescent="0.2">
      <c r="A6798" t="s">
        <v>7</v>
      </c>
      <c r="B6798" t="s">
        <v>25</v>
      </c>
      <c r="C6798" t="str">
        <f t="shared" si="21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13"/>
        <v>-6</v>
      </c>
    </row>
    <row r="6799" spans="1:8" x14ac:dyDescent="0.2">
      <c r="A6799" t="s">
        <v>18</v>
      </c>
      <c r="B6799" t="s">
        <v>25</v>
      </c>
      <c r="C6799" t="str">
        <f t="shared" si="21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13"/>
        <v>-3</v>
      </c>
    </row>
    <row r="6800" spans="1:8" x14ac:dyDescent="0.2">
      <c r="A6800" t="s">
        <v>19</v>
      </c>
      <c r="B6800" t="s">
        <v>25</v>
      </c>
      <c r="C6800" t="str">
        <f t="shared" si="21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13"/>
        <v>-6</v>
      </c>
    </row>
    <row r="6801" spans="1:8" x14ac:dyDescent="0.2">
      <c r="A6801" t="s">
        <v>18</v>
      </c>
      <c r="B6801" t="s">
        <v>25</v>
      </c>
      <c r="C6801" t="str">
        <f t="shared" si="21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13"/>
        <v>-6</v>
      </c>
    </row>
    <row r="6802" spans="1:8" x14ac:dyDescent="0.2">
      <c r="A6802" t="s">
        <v>18</v>
      </c>
      <c r="B6802" t="s">
        <v>25</v>
      </c>
      <c r="C6802" t="str">
        <f t="shared" si="21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13"/>
        <v>-6</v>
      </c>
    </row>
    <row r="6803" spans="1:8" x14ac:dyDescent="0.2">
      <c r="A6803" t="s">
        <v>18</v>
      </c>
      <c r="B6803" t="s">
        <v>25</v>
      </c>
      <c r="C6803" t="str">
        <f t="shared" si="21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13"/>
        <v>-6</v>
      </c>
    </row>
    <row r="6804" spans="1:8" x14ac:dyDescent="0.2">
      <c r="A6804" t="s">
        <v>7</v>
      </c>
      <c r="B6804" t="s">
        <v>25</v>
      </c>
      <c r="C6804" t="str">
        <f t="shared" si="21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13"/>
        <v>-3</v>
      </c>
    </row>
    <row r="6805" spans="1:8" x14ac:dyDescent="0.2">
      <c r="A6805" t="s">
        <v>18</v>
      </c>
      <c r="B6805" t="s">
        <v>25</v>
      </c>
      <c r="C6805" t="str">
        <f t="shared" si="21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13"/>
        <v>-6</v>
      </c>
    </row>
    <row r="6806" spans="1:8" x14ac:dyDescent="0.2">
      <c r="A6806" t="s">
        <v>18</v>
      </c>
      <c r="B6806" t="s">
        <v>25</v>
      </c>
      <c r="C6806" t="str">
        <f t="shared" si="21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13"/>
        <v>-6</v>
      </c>
    </row>
    <row r="6807" spans="1:8" x14ac:dyDescent="0.2">
      <c r="A6807" t="s">
        <v>19</v>
      </c>
      <c r="B6807" t="s">
        <v>25</v>
      </c>
      <c r="C6807" t="str">
        <f t="shared" si="21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13"/>
        <v>-3</v>
      </c>
    </row>
    <row r="6808" spans="1:8" x14ac:dyDescent="0.2">
      <c r="A6808" t="s">
        <v>18</v>
      </c>
      <c r="B6808" t="s">
        <v>25</v>
      </c>
      <c r="C6808" t="str">
        <f t="shared" si="21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13"/>
        <v>-3</v>
      </c>
    </row>
    <row r="6809" spans="1:8" x14ac:dyDescent="0.2">
      <c r="A6809" t="s">
        <v>18</v>
      </c>
      <c r="B6809" t="s">
        <v>25</v>
      </c>
      <c r="C6809" t="str">
        <f t="shared" si="21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13"/>
        <v>-6</v>
      </c>
    </row>
    <row r="6810" spans="1:8" x14ac:dyDescent="0.2">
      <c r="A6810" t="s">
        <v>18</v>
      </c>
      <c r="B6810" t="s">
        <v>25</v>
      </c>
      <c r="C6810" t="str">
        <f t="shared" si="21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13"/>
        <v>0</v>
      </c>
    </row>
    <row r="6811" spans="1:8" x14ac:dyDescent="0.2">
      <c r="A6811" t="s">
        <v>7</v>
      </c>
      <c r="B6811" t="s">
        <v>25</v>
      </c>
      <c r="C6811" t="str">
        <f t="shared" si="21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13"/>
        <v>-6</v>
      </c>
    </row>
    <row r="6812" spans="1:8" x14ac:dyDescent="0.2">
      <c r="A6812" t="s">
        <v>18</v>
      </c>
      <c r="B6812" t="s">
        <v>25</v>
      </c>
      <c r="C6812" t="str">
        <f t="shared" si="21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13"/>
        <v>-6</v>
      </c>
    </row>
    <row r="6813" spans="1:8" x14ac:dyDescent="0.2">
      <c r="A6813" t="s">
        <v>18</v>
      </c>
      <c r="B6813" t="s">
        <v>25</v>
      </c>
      <c r="C6813" t="str">
        <f t="shared" si="21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13"/>
        <v>-3</v>
      </c>
    </row>
    <row r="6814" spans="1:8" x14ac:dyDescent="0.2">
      <c r="A6814" t="s">
        <v>7</v>
      </c>
      <c r="B6814" t="s">
        <v>25</v>
      </c>
      <c r="C6814" t="str">
        <f t="shared" si="21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13"/>
        <v>-3</v>
      </c>
    </row>
    <row r="6815" spans="1:8" x14ac:dyDescent="0.2">
      <c r="A6815" t="s">
        <v>18</v>
      </c>
      <c r="B6815" t="s">
        <v>25</v>
      </c>
      <c r="C6815" t="str">
        <f t="shared" si="21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13"/>
        <v>-3</v>
      </c>
    </row>
    <row r="6816" spans="1:8" x14ac:dyDescent="0.2">
      <c r="A6816" t="s">
        <v>18</v>
      </c>
      <c r="B6816" t="s">
        <v>25</v>
      </c>
      <c r="C6816" t="str">
        <f t="shared" si="21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13"/>
        <v>-3</v>
      </c>
    </row>
    <row r="6817" spans="1:8" x14ac:dyDescent="0.2">
      <c r="A6817" t="s">
        <v>18</v>
      </c>
      <c r="B6817" t="s">
        <v>25</v>
      </c>
      <c r="C6817" t="str">
        <f t="shared" si="21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13"/>
        <v>-3</v>
      </c>
    </row>
    <row r="6818" spans="1:8" x14ac:dyDescent="0.2">
      <c r="A6818" t="s">
        <v>18</v>
      </c>
      <c r="B6818" t="s">
        <v>25</v>
      </c>
      <c r="C6818" t="str">
        <f t="shared" si="21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13"/>
        <v>-3</v>
      </c>
    </row>
    <row r="6819" spans="1:8" x14ac:dyDescent="0.2">
      <c r="A6819" t="s">
        <v>18</v>
      </c>
      <c r="B6819" t="s">
        <v>25</v>
      </c>
      <c r="C6819" t="str">
        <f t="shared" si="21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13"/>
        <v>-3</v>
      </c>
    </row>
    <row r="6820" spans="1:8" x14ac:dyDescent="0.2">
      <c r="A6820" t="s">
        <v>7</v>
      </c>
      <c r="B6820" t="s">
        <v>25</v>
      </c>
      <c r="C6820" t="str">
        <f t="shared" si="214"/>
        <v>Cumple</v>
      </c>
      <c r="D6820">
        <v>376</v>
      </c>
      <c r="E6820" t="s">
        <v>15</v>
      </c>
      <c r="F6820">
        <v>37</v>
      </c>
      <c r="G6820">
        <v>6</v>
      </c>
      <c r="H6820">
        <f t="shared" si="213"/>
        <v>31</v>
      </c>
    </row>
    <row r="6821" spans="1:8" x14ac:dyDescent="0.2">
      <c r="A6821" t="s">
        <v>7</v>
      </c>
      <c r="B6821" t="s">
        <v>25</v>
      </c>
      <c r="C6821" t="str">
        <f t="shared" si="214"/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si="213"/>
        <v>21</v>
      </c>
    </row>
    <row r="6822" spans="1:8" x14ac:dyDescent="0.2">
      <c r="A6822" t="s">
        <v>7</v>
      </c>
      <c r="B6822" t="s">
        <v>25</v>
      </c>
      <c r="C6822" t="str">
        <f t="shared" si="214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13"/>
        <v>21</v>
      </c>
    </row>
    <row r="6823" spans="1:8" x14ac:dyDescent="0.2">
      <c r="A6823" t="s">
        <v>7</v>
      </c>
      <c r="B6823" t="s">
        <v>25</v>
      </c>
      <c r="C6823" t="str">
        <f t="shared" si="214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13"/>
        <v>18</v>
      </c>
    </row>
    <row r="6824" spans="1:8" x14ac:dyDescent="0.2">
      <c r="A6824" t="s">
        <v>7</v>
      </c>
      <c r="B6824" t="s">
        <v>25</v>
      </c>
      <c r="C6824" t="str">
        <f t="shared" si="214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13"/>
        <v>18</v>
      </c>
    </row>
    <row r="6825" spans="1:8" x14ac:dyDescent="0.2">
      <c r="A6825" t="s">
        <v>7</v>
      </c>
      <c r="B6825" t="s">
        <v>25</v>
      </c>
      <c r="C6825" t="str">
        <f t="shared" si="214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13"/>
        <v>14</v>
      </c>
    </row>
    <row r="6826" spans="1:8" x14ac:dyDescent="0.2">
      <c r="A6826" t="s">
        <v>7</v>
      </c>
      <c r="B6826" t="s">
        <v>25</v>
      </c>
      <c r="C6826" t="str">
        <f t="shared" si="214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13"/>
        <v>13</v>
      </c>
    </row>
    <row r="6827" spans="1:8" x14ac:dyDescent="0.2">
      <c r="A6827" t="s">
        <v>7</v>
      </c>
      <c r="B6827" t="s">
        <v>25</v>
      </c>
      <c r="C6827" t="str">
        <f t="shared" si="214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13"/>
        <v>7</v>
      </c>
    </row>
    <row r="6828" spans="1:8" x14ac:dyDescent="0.2">
      <c r="A6828" t="s">
        <v>7</v>
      </c>
      <c r="B6828" t="s">
        <v>25</v>
      </c>
      <c r="C6828" t="str">
        <f t="shared" si="214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13"/>
        <v>7</v>
      </c>
    </row>
    <row r="6829" spans="1:8" x14ac:dyDescent="0.2">
      <c r="A6829" t="s">
        <v>7</v>
      </c>
      <c r="B6829" t="s">
        <v>25</v>
      </c>
      <c r="C6829" t="str">
        <f t="shared" si="214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13"/>
        <v>6</v>
      </c>
    </row>
    <row r="6830" spans="1:8" x14ac:dyDescent="0.2">
      <c r="A6830" t="s">
        <v>7</v>
      </c>
      <c r="B6830" t="s">
        <v>25</v>
      </c>
      <c r="C6830" t="str">
        <f t="shared" si="214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13"/>
        <v>5</v>
      </c>
    </row>
    <row r="6831" spans="1:8" x14ac:dyDescent="0.2">
      <c r="A6831" t="s">
        <v>7</v>
      </c>
      <c r="B6831" t="s">
        <v>25</v>
      </c>
      <c r="C6831" t="str">
        <f t="shared" si="214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13"/>
        <v>5</v>
      </c>
    </row>
    <row r="6832" spans="1:8" x14ac:dyDescent="0.2">
      <c r="A6832" t="s">
        <v>7</v>
      </c>
      <c r="B6832" t="s">
        <v>25</v>
      </c>
      <c r="C6832" t="str">
        <f t="shared" si="214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13"/>
        <v>5</v>
      </c>
    </row>
    <row r="6833" spans="1:8" x14ac:dyDescent="0.2">
      <c r="A6833" t="s">
        <v>7</v>
      </c>
      <c r="B6833" t="s">
        <v>25</v>
      </c>
      <c r="C6833" t="str">
        <f t="shared" si="214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13"/>
        <v>4</v>
      </c>
    </row>
    <row r="6834" spans="1:8" x14ac:dyDescent="0.2">
      <c r="A6834" t="s">
        <v>7</v>
      </c>
      <c r="B6834" t="s">
        <v>25</v>
      </c>
      <c r="C6834" t="str">
        <f t="shared" si="214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13"/>
        <v>4</v>
      </c>
    </row>
    <row r="6835" spans="1:8" x14ac:dyDescent="0.2">
      <c r="A6835" t="s">
        <v>7</v>
      </c>
      <c r="B6835" t="s">
        <v>25</v>
      </c>
      <c r="C6835" t="str">
        <f t="shared" si="214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13"/>
        <v>4</v>
      </c>
    </row>
    <row r="6836" spans="1:8" x14ac:dyDescent="0.2">
      <c r="A6836" t="s">
        <v>7</v>
      </c>
      <c r="B6836" t="s">
        <v>25</v>
      </c>
      <c r="C6836" t="str">
        <f t="shared" si="214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13"/>
        <v>4</v>
      </c>
    </row>
    <row r="6837" spans="1:8" x14ac:dyDescent="0.2">
      <c r="A6837" t="s">
        <v>7</v>
      </c>
      <c r="B6837" t="s">
        <v>25</v>
      </c>
      <c r="C6837" t="str">
        <f t="shared" si="214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13"/>
        <v>3</v>
      </c>
    </row>
    <row r="6838" spans="1:8" x14ac:dyDescent="0.2">
      <c r="A6838" t="s">
        <v>7</v>
      </c>
      <c r="B6838" t="s">
        <v>25</v>
      </c>
      <c r="C6838" t="str">
        <f t="shared" si="214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13"/>
        <v>3</v>
      </c>
    </row>
    <row r="6839" spans="1:8" x14ac:dyDescent="0.2">
      <c r="A6839" t="s">
        <v>7</v>
      </c>
      <c r="B6839" t="s">
        <v>25</v>
      </c>
      <c r="C6839" t="str">
        <f t="shared" si="214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13"/>
        <v>2</v>
      </c>
    </row>
    <row r="6840" spans="1:8" x14ac:dyDescent="0.2">
      <c r="A6840" t="s">
        <v>7</v>
      </c>
      <c r="B6840" t="s">
        <v>25</v>
      </c>
      <c r="C6840" t="str">
        <f t="shared" si="214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13"/>
        <v>2</v>
      </c>
    </row>
    <row r="6841" spans="1:8" x14ac:dyDescent="0.2">
      <c r="A6841" t="s">
        <v>7</v>
      </c>
      <c r="B6841" t="s">
        <v>25</v>
      </c>
      <c r="C6841" t="str">
        <f t="shared" si="214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13"/>
        <v>2</v>
      </c>
    </row>
    <row r="6842" spans="1:8" x14ac:dyDescent="0.2">
      <c r="A6842" t="s">
        <v>7</v>
      </c>
      <c r="B6842" t="s">
        <v>25</v>
      </c>
      <c r="C6842" t="str">
        <f t="shared" si="214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13"/>
        <v>2</v>
      </c>
    </row>
    <row r="6843" spans="1:8" x14ac:dyDescent="0.2">
      <c r="A6843" t="s">
        <v>7</v>
      </c>
      <c r="B6843" t="s">
        <v>25</v>
      </c>
      <c r="C6843" t="str">
        <f t="shared" si="214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13"/>
        <v>1</v>
      </c>
    </row>
    <row r="6844" spans="1:8" x14ac:dyDescent="0.2">
      <c r="A6844" t="s">
        <v>7</v>
      </c>
      <c r="B6844" t="s">
        <v>25</v>
      </c>
      <c r="C6844" t="str">
        <f t="shared" si="214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13"/>
        <v>1</v>
      </c>
    </row>
    <row r="6845" spans="1:8" x14ac:dyDescent="0.2">
      <c r="A6845" t="s">
        <v>7</v>
      </c>
      <c r="B6845" t="s">
        <v>25</v>
      </c>
      <c r="C6845" t="str">
        <f t="shared" si="214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13"/>
        <v>1</v>
      </c>
    </row>
    <row r="6846" spans="1:8" x14ac:dyDescent="0.2">
      <c r="A6846" t="s">
        <v>7</v>
      </c>
      <c r="B6846" t="s">
        <v>25</v>
      </c>
      <c r="C6846" t="str">
        <f t="shared" si="214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13"/>
        <v>0</v>
      </c>
    </row>
    <row r="6847" spans="1:8" x14ac:dyDescent="0.2">
      <c r="A6847" t="s">
        <v>7</v>
      </c>
      <c r="B6847" t="s">
        <v>25</v>
      </c>
      <c r="C6847" t="str">
        <f t="shared" si="214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13"/>
        <v>0</v>
      </c>
    </row>
    <row r="6848" spans="1:8" x14ac:dyDescent="0.2">
      <c r="A6848" t="s">
        <v>7</v>
      </c>
      <c r="B6848" t="s">
        <v>25</v>
      </c>
      <c r="C6848" t="str">
        <f t="shared" si="214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13"/>
        <v>0</v>
      </c>
    </row>
    <row r="6849" spans="1:8" x14ac:dyDescent="0.2">
      <c r="A6849" t="s">
        <v>7</v>
      </c>
      <c r="B6849" t="s">
        <v>25</v>
      </c>
      <c r="C6849" t="str">
        <f t="shared" si="214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13"/>
        <v>-1</v>
      </c>
    </row>
    <row r="6850" spans="1:8" x14ac:dyDescent="0.2">
      <c r="A6850" t="s">
        <v>7</v>
      </c>
      <c r="B6850" t="s">
        <v>25</v>
      </c>
      <c r="C6850" t="str">
        <f t="shared" si="214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13"/>
        <v>-2</v>
      </c>
    </row>
    <row r="6851" spans="1:8" x14ac:dyDescent="0.2">
      <c r="A6851" t="s">
        <v>7</v>
      </c>
      <c r="B6851" t="s">
        <v>25</v>
      </c>
      <c r="C6851" t="str">
        <f t="shared" si="214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ref="H6851:H6914" si="215">F6851-G6851</f>
        <v>-2</v>
      </c>
    </row>
    <row r="6852" spans="1:8" x14ac:dyDescent="0.2">
      <c r="A6852" t="s">
        <v>7</v>
      </c>
      <c r="B6852" t="s">
        <v>25</v>
      </c>
      <c r="C6852" t="str">
        <f t="shared" si="214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15"/>
        <v>-2</v>
      </c>
    </row>
    <row r="6853" spans="1:8" x14ac:dyDescent="0.2">
      <c r="A6853" t="s">
        <v>7</v>
      </c>
      <c r="B6853" t="s">
        <v>25</v>
      </c>
      <c r="C6853" t="str">
        <f t="shared" ref="C6853:C6916" si="216">IF(H6853&gt;=0,"Cumple","No cumple")</f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15"/>
        <v>-3</v>
      </c>
    </row>
    <row r="6854" spans="1:8" x14ac:dyDescent="0.2">
      <c r="A6854" t="s">
        <v>7</v>
      </c>
      <c r="B6854" t="s">
        <v>25</v>
      </c>
      <c r="C6854" t="str">
        <f t="shared" si="21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15"/>
        <v>-3</v>
      </c>
    </row>
    <row r="6855" spans="1:8" x14ac:dyDescent="0.2">
      <c r="A6855" t="s">
        <v>7</v>
      </c>
      <c r="B6855" t="s">
        <v>25</v>
      </c>
      <c r="C6855" t="str">
        <f t="shared" si="21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15"/>
        <v>-3</v>
      </c>
    </row>
    <row r="6856" spans="1:8" x14ac:dyDescent="0.2">
      <c r="A6856" t="s">
        <v>7</v>
      </c>
      <c r="B6856" t="s">
        <v>25</v>
      </c>
      <c r="C6856" t="str">
        <f t="shared" si="21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15"/>
        <v>-3</v>
      </c>
    </row>
    <row r="6857" spans="1:8" x14ac:dyDescent="0.2">
      <c r="A6857" t="s">
        <v>7</v>
      </c>
      <c r="B6857" t="s">
        <v>25</v>
      </c>
      <c r="C6857" t="str">
        <f t="shared" si="21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15"/>
        <v>-3</v>
      </c>
    </row>
    <row r="6858" spans="1:8" x14ac:dyDescent="0.2">
      <c r="A6858" t="s">
        <v>7</v>
      </c>
      <c r="B6858" t="s">
        <v>25</v>
      </c>
      <c r="C6858" t="str">
        <f t="shared" si="21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15"/>
        <v>-3</v>
      </c>
    </row>
    <row r="6859" spans="1:8" x14ac:dyDescent="0.2">
      <c r="A6859" t="s">
        <v>7</v>
      </c>
      <c r="B6859" t="s">
        <v>25</v>
      </c>
      <c r="C6859" t="str">
        <f t="shared" si="21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15"/>
        <v>-3</v>
      </c>
    </row>
    <row r="6860" spans="1:8" x14ac:dyDescent="0.2">
      <c r="A6860" t="s">
        <v>7</v>
      </c>
      <c r="B6860" t="s">
        <v>25</v>
      </c>
      <c r="C6860" t="str">
        <f t="shared" si="21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15"/>
        <v>-3</v>
      </c>
    </row>
    <row r="6861" spans="1:8" x14ac:dyDescent="0.2">
      <c r="A6861" t="s">
        <v>7</v>
      </c>
      <c r="B6861" t="s">
        <v>25</v>
      </c>
      <c r="C6861" t="str">
        <f t="shared" si="21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15"/>
        <v>-4</v>
      </c>
    </row>
    <row r="6862" spans="1:8" x14ac:dyDescent="0.2">
      <c r="A6862" t="s">
        <v>7</v>
      </c>
      <c r="B6862" t="s">
        <v>25</v>
      </c>
      <c r="C6862" t="str">
        <f t="shared" si="21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15"/>
        <v>-4</v>
      </c>
    </row>
    <row r="6863" spans="1:8" x14ac:dyDescent="0.2">
      <c r="A6863" t="s">
        <v>7</v>
      </c>
      <c r="B6863" t="s">
        <v>25</v>
      </c>
      <c r="C6863" t="str">
        <f t="shared" si="21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15"/>
        <v>-4</v>
      </c>
    </row>
    <row r="6864" spans="1:8" x14ac:dyDescent="0.2">
      <c r="A6864" t="s">
        <v>7</v>
      </c>
      <c r="B6864" t="s">
        <v>25</v>
      </c>
      <c r="C6864" t="str">
        <f t="shared" si="21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15"/>
        <v>-4</v>
      </c>
    </row>
    <row r="6865" spans="1:8" x14ac:dyDescent="0.2">
      <c r="A6865" t="s">
        <v>7</v>
      </c>
      <c r="B6865" t="s">
        <v>25</v>
      </c>
      <c r="C6865" t="str">
        <f t="shared" si="21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15"/>
        <v>-4</v>
      </c>
    </row>
    <row r="6866" spans="1:8" x14ac:dyDescent="0.2">
      <c r="A6866" t="s">
        <v>7</v>
      </c>
      <c r="B6866" t="s">
        <v>25</v>
      </c>
      <c r="C6866" t="str">
        <f t="shared" si="21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15"/>
        <v>-5</v>
      </c>
    </row>
    <row r="6867" spans="1:8" x14ac:dyDescent="0.2">
      <c r="A6867" t="s">
        <v>7</v>
      </c>
      <c r="B6867" t="s">
        <v>25</v>
      </c>
      <c r="C6867" t="str">
        <f t="shared" si="21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15"/>
        <v>-5</v>
      </c>
    </row>
    <row r="6868" spans="1:8" x14ac:dyDescent="0.2">
      <c r="A6868" t="s">
        <v>7</v>
      </c>
      <c r="B6868" t="s">
        <v>25</v>
      </c>
      <c r="C6868" t="str">
        <f t="shared" si="21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15"/>
        <v>-5</v>
      </c>
    </row>
    <row r="6869" spans="1:8" x14ac:dyDescent="0.2">
      <c r="A6869" t="s">
        <v>7</v>
      </c>
      <c r="B6869" t="s">
        <v>25</v>
      </c>
      <c r="C6869" t="str">
        <f t="shared" si="21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15"/>
        <v>-5</v>
      </c>
    </row>
    <row r="6870" spans="1:8" x14ac:dyDescent="0.2">
      <c r="A6870" t="s">
        <v>7</v>
      </c>
      <c r="B6870" t="s">
        <v>25</v>
      </c>
      <c r="C6870" t="str">
        <f t="shared" si="21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15"/>
        <v>-5</v>
      </c>
    </row>
    <row r="6871" spans="1:8" x14ac:dyDescent="0.2">
      <c r="A6871" t="s">
        <v>7</v>
      </c>
      <c r="B6871" t="s">
        <v>25</v>
      </c>
      <c r="C6871" t="str">
        <f t="shared" si="21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15"/>
        <v>-5</v>
      </c>
    </row>
    <row r="6872" spans="1:8" x14ac:dyDescent="0.2">
      <c r="A6872" t="s">
        <v>7</v>
      </c>
      <c r="B6872" t="s">
        <v>25</v>
      </c>
      <c r="C6872" t="str">
        <f t="shared" si="21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15"/>
        <v>-5</v>
      </c>
    </row>
    <row r="6873" spans="1:8" x14ac:dyDescent="0.2">
      <c r="A6873" t="s">
        <v>7</v>
      </c>
      <c r="B6873" t="s">
        <v>25</v>
      </c>
      <c r="C6873" t="str">
        <f t="shared" si="21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15"/>
        <v>-5</v>
      </c>
    </row>
    <row r="6874" spans="1:8" x14ac:dyDescent="0.2">
      <c r="A6874" t="s">
        <v>7</v>
      </c>
      <c r="B6874" t="s">
        <v>25</v>
      </c>
      <c r="C6874" t="str">
        <f t="shared" si="21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15"/>
        <v>-5</v>
      </c>
    </row>
    <row r="6875" spans="1:8" x14ac:dyDescent="0.2">
      <c r="A6875" t="s">
        <v>7</v>
      </c>
      <c r="B6875" t="s">
        <v>25</v>
      </c>
      <c r="C6875" t="str">
        <f t="shared" si="21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15"/>
        <v>-5</v>
      </c>
    </row>
    <row r="6876" spans="1:8" x14ac:dyDescent="0.2">
      <c r="A6876" t="s">
        <v>7</v>
      </c>
      <c r="B6876" t="s">
        <v>25</v>
      </c>
      <c r="C6876" t="str">
        <f t="shared" si="21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15"/>
        <v>-5</v>
      </c>
    </row>
    <row r="6877" spans="1:8" x14ac:dyDescent="0.2">
      <c r="A6877" t="s">
        <v>7</v>
      </c>
      <c r="B6877" t="s">
        <v>25</v>
      </c>
      <c r="C6877" t="str">
        <f t="shared" si="21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15"/>
        <v>-5</v>
      </c>
    </row>
    <row r="6878" spans="1:8" x14ac:dyDescent="0.2">
      <c r="A6878" t="s">
        <v>7</v>
      </c>
      <c r="B6878" t="s">
        <v>25</v>
      </c>
      <c r="C6878" t="str">
        <f t="shared" si="21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15"/>
        <v>-5</v>
      </c>
    </row>
    <row r="6879" spans="1:8" x14ac:dyDescent="0.2">
      <c r="A6879" t="s">
        <v>7</v>
      </c>
      <c r="B6879" t="s">
        <v>25</v>
      </c>
      <c r="C6879" t="str">
        <f t="shared" si="21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15"/>
        <v>-5</v>
      </c>
    </row>
    <row r="6880" spans="1:8" x14ac:dyDescent="0.2">
      <c r="A6880" t="s">
        <v>7</v>
      </c>
      <c r="B6880" t="s">
        <v>25</v>
      </c>
      <c r="C6880" t="str">
        <f t="shared" si="21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15"/>
        <v>-6</v>
      </c>
    </row>
    <row r="6881" spans="1:8" x14ac:dyDescent="0.2">
      <c r="A6881" t="s">
        <v>7</v>
      </c>
      <c r="B6881" t="s">
        <v>25</v>
      </c>
      <c r="C6881" t="str">
        <f t="shared" si="21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15"/>
        <v>-6</v>
      </c>
    </row>
    <row r="6882" spans="1:8" x14ac:dyDescent="0.2">
      <c r="A6882" t="s">
        <v>7</v>
      </c>
      <c r="B6882" t="s">
        <v>25</v>
      </c>
      <c r="C6882" t="str">
        <f t="shared" si="21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15"/>
        <v>-6</v>
      </c>
    </row>
    <row r="6883" spans="1:8" x14ac:dyDescent="0.2">
      <c r="A6883" t="s">
        <v>7</v>
      </c>
      <c r="B6883" t="s">
        <v>25</v>
      </c>
      <c r="C6883" t="str">
        <f t="shared" si="21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15"/>
        <v>-6</v>
      </c>
    </row>
    <row r="6884" spans="1:8" x14ac:dyDescent="0.2">
      <c r="A6884" t="s">
        <v>7</v>
      </c>
      <c r="B6884" t="s">
        <v>25</v>
      </c>
      <c r="C6884" t="str">
        <f t="shared" si="21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15"/>
        <v>-6</v>
      </c>
    </row>
    <row r="6885" spans="1:8" x14ac:dyDescent="0.2">
      <c r="A6885" t="s">
        <v>7</v>
      </c>
      <c r="B6885" t="s">
        <v>25</v>
      </c>
      <c r="C6885" t="str">
        <f t="shared" si="216"/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si="215"/>
        <v>-6</v>
      </c>
    </row>
    <row r="6886" spans="1:8" x14ac:dyDescent="0.2">
      <c r="A6886" t="s">
        <v>7</v>
      </c>
      <c r="B6886" t="s">
        <v>25</v>
      </c>
      <c r="C6886" t="str">
        <f t="shared" si="216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15"/>
        <v>-6</v>
      </c>
    </row>
    <row r="6887" spans="1:8" x14ac:dyDescent="0.2">
      <c r="A6887" t="s">
        <v>7</v>
      </c>
      <c r="B6887" t="s">
        <v>25</v>
      </c>
      <c r="C6887" t="str">
        <f t="shared" si="216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15"/>
        <v>-6</v>
      </c>
    </row>
    <row r="6888" spans="1:8" x14ac:dyDescent="0.2">
      <c r="A6888" t="s">
        <v>7</v>
      </c>
      <c r="B6888" t="s">
        <v>25</v>
      </c>
      <c r="C6888" t="str">
        <f t="shared" si="216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15"/>
        <v>-6</v>
      </c>
    </row>
    <row r="6889" spans="1:8" x14ac:dyDescent="0.2">
      <c r="A6889" t="s">
        <v>7</v>
      </c>
      <c r="B6889" t="s">
        <v>25</v>
      </c>
      <c r="C6889" t="str">
        <f t="shared" si="216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15"/>
        <v>-6</v>
      </c>
    </row>
    <row r="6890" spans="1:8" x14ac:dyDescent="0.2">
      <c r="A6890" t="s">
        <v>7</v>
      </c>
      <c r="B6890" t="s">
        <v>25</v>
      </c>
      <c r="C6890" t="str">
        <f t="shared" si="216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15"/>
        <v>-6</v>
      </c>
    </row>
    <row r="6891" spans="1:8" x14ac:dyDescent="0.2">
      <c r="A6891" t="s">
        <v>7</v>
      </c>
      <c r="B6891" t="s">
        <v>25</v>
      </c>
      <c r="C6891" t="str">
        <f t="shared" si="216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15"/>
        <v>-6</v>
      </c>
    </row>
    <row r="6892" spans="1:8" x14ac:dyDescent="0.2">
      <c r="A6892" t="s">
        <v>7</v>
      </c>
      <c r="B6892" t="s">
        <v>25</v>
      </c>
      <c r="C6892" t="str">
        <f t="shared" si="216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15"/>
        <v>-6</v>
      </c>
    </row>
    <row r="6893" spans="1:8" x14ac:dyDescent="0.2">
      <c r="A6893" t="s">
        <v>7</v>
      </c>
      <c r="B6893" t="s">
        <v>25</v>
      </c>
      <c r="C6893" t="str">
        <f t="shared" si="216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15"/>
        <v>-6</v>
      </c>
    </row>
    <row r="6894" spans="1:8" x14ac:dyDescent="0.2">
      <c r="A6894" t="s">
        <v>7</v>
      </c>
      <c r="B6894" t="s">
        <v>25</v>
      </c>
      <c r="C6894" t="str">
        <f t="shared" si="216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15"/>
        <v>-6</v>
      </c>
    </row>
    <row r="6895" spans="1:8" x14ac:dyDescent="0.2">
      <c r="A6895" t="s">
        <v>7</v>
      </c>
      <c r="B6895" t="s">
        <v>25</v>
      </c>
      <c r="C6895" t="str">
        <f t="shared" si="216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15"/>
        <v>-6</v>
      </c>
    </row>
    <row r="6896" spans="1:8" x14ac:dyDescent="0.2">
      <c r="A6896" t="s">
        <v>7</v>
      </c>
      <c r="B6896" t="s">
        <v>25</v>
      </c>
      <c r="C6896" t="str">
        <f t="shared" si="216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15"/>
        <v>-6</v>
      </c>
    </row>
    <row r="6897" spans="1:8" x14ac:dyDescent="0.2">
      <c r="A6897" t="s">
        <v>7</v>
      </c>
      <c r="B6897" t="s">
        <v>25</v>
      </c>
      <c r="C6897" t="str">
        <f t="shared" si="216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15"/>
        <v>-6</v>
      </c>
    </row>
    <row r="6898" spans="1:8" x14ac:dyDescent="0.2">
      <c r="A6898" t="s">
        <v>7</v>
      </c>
      <c r="B6898" t="s">
        <v>25</v>
      </c>
      <c r="C6898" t="str">
        <f t="shared" si="216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15"/>
        <v>-6</v>
      </c>
    </row>
    <row r="6899" spans="1:8" x14ac:dyDescent="0.2">
      <c r="A6899" t="s">
        <v>7</v>
      </c>
      <c r="B6899" t="s">
        <v>25</v>
      </c>
      <c r="C6899" t="str">
        <f t="shared" si="216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15"/>
        <v>-6</v>
      </c>
    </row>
    <row r="6900" spans="1:8" x14ac:dyDescent="0.2">
      <c r="A6900" t="s">
        <v>7</v>
      </c>
      <c r="B6900" t="s">
        <v>25</v>
      </c>
      <c r="C6900" t="str">
        <f t="shared" si="216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15"/>
        <v>-6</v>
      </c>
    </row>
    <row r="6901" spans="1:8" x14ac:dyDescent="0.2">
      <c r="A6901" t="s">
        <v>7</v>
      </c>
      <c r="B6901" t="s">
        <v>25</v>
      </c>
      <c r="C6901" t="str">
        <f t="shared" si="216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15"/>
        <v>-6</v>
      </c>
    </row>
    <row r="6902" spans="1:8" x14ac:dyDescent="0.2">
      <c r="A6902" t="s">
        <v>7</v>
      </c>
      <c r="B6902" t="s">
        <v>25</v>
      </c>
      <c r="C6902" t="str">
        <f t="shared" si="216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15"/>
        <v>-6</v>
      </c>
    </row>
    <row r="6903" spans="1:8" x14ac:dyDescent="0.2">
      <c r="A6903" t="s">
        <v>19</v>
      </c>
      <c r="B6903" t="s">
        <v>25</v>
      </c>
      <c r="C6903" t="str">
        <f t="shared" si="216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15"/>
        <v>-6</v>
      </c>
    </row>
    <row r="6904" spans="1:8" x14ac:dyDescent="0.2">
      <c r="A6904" t="s">
        <v>7</v>
      </c>
      <c r="B6904" t="s">
        <v>25</v>
      </c>
      <c r="C6904" t="str">
        <f t="shared" si="216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15"/>
        <v>-6</v>
      </c>
    </row>
    <row r="6905" spans="1:8" x14ac:dyDescent="0.2">
      <c r="A6905" t="s">
        <v>7</v>
      </c>
      <c r="B6905" t="s">
        <v>25</v>
      </c>
      <c r="C6905" t="str">
        <f t="shared" si="216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15"/>
        <v>-6</v>
      </c>
    </row>
    <row r="6906" spans="1:8" x14ac:dyDescent="0.2">
      <c r="A6906" t="s">
        <v>19</v>
      </c>
      <c r="B6906" t="s">
        <v>25</v>
      </c>
      <c r="C6906" t="str">
        <f t="shared" si="216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15"/>
        <v>-6</v>
      </c>
    </row>
    <row r="6907" spans="1:8" x14ac:dyDescent="0.2">
      <c r="A6907" t="s">
        <v>7</v>
      </c>
      <c r="B6907" t="s">
        <v>25</v>
      </c>
      <c r="C6907" t="str">
        <f t="shared" si="216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15"/>
        <v>-6</v>
      </c>
    </row>
    <row r="6908" spans="1:8" x14ac:dyDescent="0.2">
      <c r="A6908" t="s">
        <v>7</v>
      </c>
      <c r="B6908" t="s">
        <v>25</v>
      </c>
      <c r="C6908" t="str">
        <f t="shared" si="216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15"/>
        <v>-6</v>
      </c>
    </row>
    <row r="6909" spans="1:8" x14ac:dyDescent="0.2">
      <c r="A6909" t="s">
        <v>7</v>
      </c>
      <c r="B6909" t="s">
        <v>25</v>
      </c>
      <c r="C6909" t="str">
        <f t="shared" si="216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15"/>
        <v>-6</v>
      </c>
    </row>
    <row r="6910" spans="1:8" x14ac:dyDescent="0.2">
      <c r="A6910" t="s">
        <v>7</v>
      </c>
      <c r="B6910" t="s">
        <v>25</v>
      </c>
      <c r="C6910" t="str">
        <f t="shared" si="216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15"/>
        <v>-6</v>
      </c>
    </row>
    <row r="6911" spans="1:8" x14ac:dyDescent="0.2">
      <c r="A6911" t="s">
        <v>7</v>
      </c>
      <c r="B6911" t="s">
        <v>25</v>
      </c>
      <c r="C6911" t="str">
        <f t="shared" si="216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15"/>
        <v>-6</v>
      </c>
    </row>
    <row r="6912" spans="1:8" x14ac:dyDescent="0.2">
      <c r="A6912" t="s">
        <v>7</v>
      </c>
      <c r="B6912" t="s">
        <v>25</v>
      </c>
      <c r="C6912" t="str">
        <f t="shared" si="216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15"/>
        <v>-6</v>
      </c>
    </row>
    <row r="6913" spans="1:8" x14ac:dyDescent="0.2">
      <c r="A6913" t="s">
        <v>7</v>
      </c>
      <c r="B6913" t="s">
        <v>25</v>
      </c>
      <c r="C6913" t="str">
        <f t="shared" si="216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15"/>
        <v>-6</v>
      </c>
    </row>
    <row r="6914" spans="1:8" x14ac:dyDescent="0.2">
      <c r="A6914" t="s">
        <v>7</v>
      </c>
      <c r="B6914" t="s">
        <v>25</v>
      </c>
      <c r="C6914" t="str">
        <f t="shared" si="216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15"/>
        <v>-6</v>
      </c>
    </row>
    <row r="6915" spans="1:8" x14ac:dyDescent="0.2">
      <c r="A6915" t="s">
        <v>7</v>
      </c>
      <c r="B6915" t="s">
        <v>25</v>
      </c>
      <c r="C6915" t="str">
        <f t="shared" si="216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ref="H6915:H6978" si="217">F6915-G6915</f>
        <v>-6</v>
      </c>
    </row>
    <row r="6916" spans="1:8" x14ac:dyDescent="0.2">
      <c r="A6916" t="s">
        <v>7</v>
      </c>
      <c r="B6916" t="s">
        <v>25</v>
      </c>
      <c r="C6916" t="str">
        <f t="shared" si="216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17"/>
        <v>-6</v>
      </c>
    </row>
    <row r="6917" spans="1:8" x14ac:dyDescent="0.2">
      <c r="A6917" t="s">
        <v>19</v>
      </c>
      <c r="B6917" t="s">
        <v>25</v>
      </c>
      <c r="C6917" t="str">
        <f t="shared" ref="C6917:C6980" si="218">IF(H6917&gt;=0,"Cumple","No cumple")</f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17"/>
        <v>-6</v>
      </c>
    </row>
    <row r="6918" spans="1:8" x14ac:dyDescent="0.2">
      <c r="A6918" t="s">
        <v>7</v>
      </c>
      <c r="B6918" t="s">
        <v>25</v>
      </c>
      <c r="C6918" t="str">
        <f t="shared" si="21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17"/>
        <v>-6</v>
      </c>
    </row>
    <row r="6919" spans="1:8" x14ac:dyDescent="0.2">
      <c r="A6919" t="s">
        <v>7</v>
      </c>
      <c r="B6919" t="s">
        <v>25</v>
      </c>
      <c r="C6919" t="str">
        <f t="shared" si="21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17"/>
        <v>-6</v>
      </c>
    </row>
    <row r="6920" spans="1:8" x14ac:dyDescent="0.2">
      <c r="A6920" t="s">
        <v>7</v>
      </c>
      <c r="B6920" t="s">
        <v>25</v>
      </c>
      <c r="C6920" t="str">
        <f t="shared" si="21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17"/>
        <v>-6</v>
      </c>
    </row>
    <row r="6921" spans="1:8" x14ac:dyDescent="0.2">
      <c r="A6921" t="s">
        <v>7</v>
      </c>
      <c r="B6921" t="s">
        <v>25</v>
      </c>
      <c r="C6921" t="str">
        <f t="shared" si="21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17"/>
        <v>-6</v>
      </c>
    </row>
    <row r="6922" spans="1:8" x14ac:dyDescent="0.2">
      <c r="A6922" t="s">
        <v>7</v>
      </c>
      <c r="B6922" t="s">
        <v>25</v>
      </c>
      <c r="C6922" t="str">
        <f t="shared" si="21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17"/>
        <v>-6</v>
      </c>
    </row>
    <row r="6923" spans="1:8" x14ac:dyDescent="0.2">
      <c r="A6923" t="s">
        <v>7</v>
      </c>
      <c r="B6923" t="s">
        <v>25</v>
      </c>
      <c r="C6923" t="str">
        <f t="shared" si="21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17"/>
        <v>-6</v>
      </c>
    </row>
    <row r="6924" spans="1:8" x14ac:dyDescent="0.2">
      <c r="A6924" t="s">
        <v>7</v>
      </c>
      <c r="B6924" t="s">
        <v>25</v>
      </c>
      <c r="C6924" t="str">
        <f t="shared" si="21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17"/>
        <v>-6</v>
      </c>
    </row>
    <row r="6925" spans="1:8" x14ac:dyDescent="0.2">
      <c r="A6925" t="s">
        <v>7</v>
      </c>
      <c r="B6925" t="s">
        <v>25</v>
      </c>
      <c r="C6925" t="str">
        <f t="shared" si="21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17"/>
        <v>-6</v>
      </c>
    </row>
    <row r="6926" spans="1:8" x14ac:dyDescent="0.2">
      <c r="A6926" t="s">
        <v>7</v>
      </c>
      <c r="B6926" t="s">
        <v>25</v>
      </c>
      <c r="C6926" t="str">
        <f t="shared" si="21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17"/>
        <v>-6</v>
      </c>
    </row>
    <row r="6927" spans="1:8" x14ac:dyDescent="0.2">
      <c r="A6927" t="s">
        <v>7</v>
      </c>
      <c r="B6927" t="s">
        <v>25</v>
      </c>
      <c r="C6927" t="str">
        <f t="shared" si="21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17"/>
        <v>-6</v>
      </c>
    </row>
    <row r="6928" spans="1:8" x14ac:dyDescent="0.2">
      <c r="A6928" t="s">
        <v>7</v>
      </c>
      <c r="B6928" t="s">
        <v>25</v>
      </c>
      <c r="C6928" t="str">
        <f t="shared" si="21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17"/>
        <v>-6</v>
      </c>
    </row>
    <row r="6929" spans="1:8" x14ac:dyDescent="0.2">
      <c r="A6929" t="s">
        <v>7</v>
      </c>
      <c r="B6929" t="s">
        <v>25</v>
      </c>
      <c r="C6929" t="str">
        <f t="shared" si="21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17"/>
        <v>-6</v>
      </c>
    </row>
    <row r="6930" spans="1:8" x14ac:dyDescent="0.2">
      <c r="A6930" t="s">
        <v>7</v>
      </c>
      <c r="B6930" t="s">
        <v>25</v>
      </c>
      <c r="C6930" t="str">
        <f t="shared" si="21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17"/>
        <v>-6</v>
      </c>
    </row>
    <row r="6931" spans="1:8" x14ac:dyDescent="0.2">
      <c r="A6931" t="s">
        <v>19</v>
      </c>
      <c r="B6931" t="s">
        <v>25</v>
      </c>
      <c r="C6931" t="str">
        <f t="shared" si="21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17"/>
        <v>-6</v>
      </c>
    </row>
    <row r="6932" spans="1:8" x14ac:dyDescent="0.2">
      <c r="A6932" t="s">
        <v>7</v>
      </c>
      <c r="B6932" t="s">
        <v>25</v>
      </c>
      <c r="C6932" t="str">
        <f t="shared" si="21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17"/>
        <v>-6</v>
      </c>
    </row>
    <row r="6933" spans="1:8" x14ac:dyDescent="0.2">
      <c r="A6933" t="s">
        <v>7</v>
      </c>
      <c r="B6933" t="s">
        <v>25</v>
      </c>
      <c r="C6933" t="str">
        <f t="shared" si="21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17"/>
        <v>-6</v>
      </c>
    </row>
    <row r="6934" spans="1:8" x14ac:dyDescent="0.2">
      <c r="A6934" t="s">
        <v>7</v>
      </c>
      <c r="B6934" t="s">
        <v>25</v>
      </c>
      <c r="C6934" t="str">
        <f t="shared" si="21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17"/>
        <v>-6</v>
      </c>
    </row>
    <row r="6935" spans="1:8" x14ac:dyDescent="0.2">
      <c r="A6935" t="s">
        <v>7</v>
      </c>
      <c r="B6935" t="s">
        <v>26</v>
      </c>
      <c r="C6935" t="str">
        <f t="shared" si="218"/>
        <v>Cumple</v>
      </c>
      <c r="D6935">
        <v>2416</v>
      </c>
      <c r="E6935" t="s">
        <v>8</v>
      </c>
      <c r="F6935">
        <v>21</v>
      </c>
      <c r="G6935">
        <v>8</v>
      </c>
      <c r="H6935">
        <f t="shared" si="217"/>
        <v>13</v>
      </c>
    </row>
    <row r="6936" spans="1:8" x14ac:dyDescent="0.2">
      <c r="A6936" t="s">
        <v>7</v>
      </c>
      <c r="B6936" t="s">
        <v>26</v>
      </c>
      <c r="C6936" t="str">
        <f t="shared" si="218"/>
        <v>Cumple</v>
      </c>
      <c r="D6936">
        <v>3398</v>
      </c>
      <c r="E6936" t="s">
        <v>8</v>
      </c>
      <c r="F6936">
        <v>21</v>
      </c>
      <c r="G6936">
        <v>8</v>
      </c>
      <c r="H6936">
        <f t="shared" si="217"/>
        <v>13</v>
      </c>
    </row>
    <row r="6937" spans="1:8" x14ac:dyDescent="0.2">
      <c r="A6937" t="s">
        <v>7</v>
      </c>
      <c r="B6937" t="s">
        <v>26</v>
      </c>
      <c r="C6937" t="str">
        <f t="shared" si="218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17"/>
        <v>13</v>
      </c>
    </row>
    <row r="6938" spans="1:8" x14ac:dyDescent="0.2">
      <c r="A6938" t="s">
        <v>7</v>
      </c>
      <c r="B6938" t="s">
        <v>26</v>
      </c>
      <c r="C6938" t="str">
        <f t="shared" si="218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17"/>
        <v>13</v>
      </c>
    </row>
    <row r="6939" spans="1:8" x14ac:dyDescent="0.2">
      <c r="A6939" t="s">
        <v>7</v>
      </c>
      <c r="B6939" t="s">
        <v>26</v>
      </c>
      <c r="C6939" t="str">
        <f t="shared" si="218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17"/>
        <v>11</v>
      </c>
    </row>
    <row r="6940" spans="1:8" x14ac:dyDescent="0.2">
      <c r="A6940" t="s">
        <v>7</v>
      </c>
      <c r="B6940" t="s">
        <v>26</v>
      </c>
      <c r="C6940" t="str">
        <f t="shared" si="218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17"/>
        <v>11</v>
      </c>
    </row>
    <row r="6941" spans="1:8" x14ac:dyDescent="0.2">
      <c r="A6941" t="s">
        <v>7</v>
      </c>
      <c r="B6941" t="s">
        <v>26</v>
      </c>
      <c r="C6941" t="str">
        <f t="shared" si="218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17"/>
        <v>10</v>
      </c>
    </row>
    <row r="6942" spans="1:8" x14ac:dyDescent="0.2">
      <c r="A6942" t="s">
        <v>7</v>
      </c>
      <c r="B6942" t="s">
        <v>26</v>
      </c>
      <c r="C6942" t="str">
        <f t="shared" si="218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17"/>
        <v>10</v>
      </c>
    </row>
    <row r="6943" spans="1:8" x14ac:dyDescent="0.2">
      <c r="A6943" t="s">
        <v>7</v>
      </c>
      <c r="B6943" t="s">
        <v>26</v>
      </c>
      <c r="C6943" t="str">
        <f t="shared" si="218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17"/>
        <v>10</v>
      </c>
    </row>
    <row r="6944" spans="1:8" x14ac:dyDescent="0.2">
      <c r="A6944" t="s">
        <v>7</v>
      </c>
      <c r="B6944" t="s">
        <v>26</v>
      </c>
      <c r="C6944" t="str">
        <f t="shared" si="218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17"/>
        <v>10</v>
      </c>
    </row>
    <row r="6945" spans="1:8" x14ac:dyDescent="0.2">
      <c r="A6945" t="s">
        <v>7</v>
      </c>
      <c r="B6945" t="s">
        <v>26</v>
      </c>
      <c r="C6945" t="str">
        <f t="shared" si="218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17"/>
        <v>9</v>
      </c>
    </row>
    <row r="6946" spans="1:8" x14ac:dyDescent="0.2">
      <c r="A6946" t="s">
        <v>7</v>
      </c>
      <c r="B6946" t="s">
        <v>26</v>
      </c>
      <c r="C6946" t="str">
        <f t="shared" si="218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17"/>
        <v>9</v>
      </c>
    </row>
    <row r="6947" spans="1:8" x14ac:dyDescent="0.2">
      <c r="A6947" t="s">
        <v>7</v>
      </c>
      <c r="B6947" t="s">
        <v>26</v>
      </c>
      <c r="C6947" t="str">
        <f t="shared" si="218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17"/>
        <v>9</v>
      </c>
    </row>
    <row r="6948" spans="1:8" x14ac:dyDescent="0.2">
      <c r="A6948" t="s">
        <v>7</v>
      </c>
      <c r="B6948" t="s">
        <v>26</v>
      </c>
      <c r="C6948" t="str">
        <f t="shared" si="218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17"/>
        <v>9</v>
      </c>
    </row>
    <row r="6949" spans="1:8" x14ac:dyDescent="0.2">
      <c r="A6949" t="s">
        <v>7</v>
      </c>
      <c r="B6949" t="s">
        <v>26</v>
      </c>
      <c r="C6949" t="str">
        <f t="shared" si="218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17"/>
        <v>9</v>
      </c>
    </row>
    <row r="6950" spans="1:8" x14ac:dyDescent="0.2">
      <c r="A6950" t="s">
        <v>7</v>
      </c>
      <c r="B6950" t="s">
        <v>26</v>
      </c>
      <c r="C6950" t="str">
        <f t="shared" si="218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17"/>
        <v>11</v>
      </c>
    </row>
    <row r="6951" spans="1:8" x14ac:dyDescent="0.2">
      <c r="A6951" t="s">
        <v>7</v>
      </c>
      <c r="B6951" t="s">
        <v>26</v>
      </c>
      <c r="C6951" t="str">
        <f t="shared" si="218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17"/>
        <v>9</v>
      </c>
    </row>
    <row r="6952" spans="1:8" x14ac:dyDescent="0.2">
      <c r="A6952" t="s">
        <v>7</v>
      </c>
      <c r="B6952" t="s">
        <v>26</v>
      </c>
      <c r="C6952" t="str">
        <f t="shared" si="218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17"/>
        <v>10</v>
      </c>
    </row>
    <row r="6953" spans="1:8" x14ac:dyDescent="0.2">
      <c r="A6953" t="s">
        <v>7</v>
      </c>
      <c r="B6953" t="s">
        <v>26</v>
      </c>
      <c r="C6953" t="str">
        <f t="shared" si="218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17"/>
        <v>8</v>
      </c>
    </row>
    <row r="6954" spans="1:8" x14ac:dyDescent="0.2">
      <c r="A6954" t="s">
        <v>7</v>
      </c>
      <c r="B6954" t="s">
        <v>26</v>
      </c>
      <c r="C6954" t="str">
        <f t="shared" si="218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17"/>
        <v>8</v>
      </c>
    </row>
    <row r="6955" spans="1:8" x14ac:dyDescent="0.2">
      <c r="A6955" t="s">
        <v>7</v>
      </c>
      <c r="B6955" t="s">
        <v>26</v>
      </c>
      <c r="C6955" t="str">
        <f t="shared" si="218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17"/>
        <v>8</v>
      </c>
    </row>
    <row r="6956" spans="1:8" x14ac:dyDescent="0.2">
      <c r="A6956" t="s">
        <v>7</v>
      </c>
      <c r="B6956" t="s">
        <v>26</v>
      </c>
      <c r="C6956" t="str">
        <f t="shared" si="218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17"/>
        <v>9</v>
      </c>
    </row>
    <row r="6957" spans="1:8" x14ac:dyDescent="0.2">
      <c r="A6957" t="s">
        <v>7</v>
      </c>
      <c r="B6957" t="s">
        <v>26</v>
      </c>
      <c r="C6957" t="str">
        <f t="shared" si="218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17"/>
        <v>7</v>
      </c>
    </row>
    <row r="6958" spans="1:8" x14ac:dyDescent="0.2">
      <c r="A6958" t="s">
        <v>7</v>
      </c>
      <c r="B6958" t="s">
        <v>26</v>
      </c>
      <c r="C6958" t="str">
        <f t="shared" si="218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17"/>
        <v>7</v>
      </c>
    </row>
    <row r="6959" spans="1:8" x14ac:dyDescent="0.2">
      <c r="A6959" t="s">
        <v>7</v>
      </c>
      <c r="B6959" t="s">
        <v>26</v>
      </c>
      <c r="C6959" t="str">
        <f t="shared" si="218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17"/>
        <v>7</v>
      </c>
    </row>
    <row r="6960" spans="1:8" x14ac:dyDescent="0.2">
      <c r="A6960" t="s">
        <v>7</v>
      </c>
      <c r="B6960" t="s">
        <v>26</v>
      </c>
      <c r="C6960" t="str">
        <f t="shared" si="218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17"/>
        <v>6</v>
      </c>
    </row>
    <row r="6961" spans="1:8" x14ac:dyDescent="0.2">
      <c r="A6961" t="s">
        <v>7</v>
      </c>
      <c r="B6961" t="s">
        <v>26</v>
      </c>
      <c r="C6961" t="str">
        <f t="shared" si="218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17"/>
        <v>6</v>
      </c>
    </row>
    <row r="6962" spans="1:8" x14ac:dyDescent="0.2">
      <c r="A6962" t="s">
        <v>7</v>
      </c>
      <c r="B6962" t="s">
        <v>26</v>
      </c>
      <c r="C6962" t="str">
        <f t="shared" si="218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17"/>
        <v>6</v>
      </c>
    </row>
    <row r="6963" spans="1:8" x14ac:dyDescent="0.2">
      <c r="A6963" t="s">
        <v>7</v>
      </c>
      <c r="B6963" t="s">
        <v>26</v>
      </c>
      <c r="C6963" t="str">
        <f t="shared" si="218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17"/>
        <v>6</v>
      </c>
    </row>
    <row r="6964" spans="1:8" x14ac:dyDescent="0.2">
      <c r="A6964" t="s">
        <v>7</v>
      </c>
      <c r="B6964" t="s">
        <v>26</v>
      </c>
      <c r="C6964" t="str">
        <f t="shared" si="218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17"/>
        <v>6</v>
      </c>
    </row>
    <row r="6965" spans="1:8" x14ac:dyDescent="0.2">
      <c r="A6965" t="s">
        <v>7</v>
      </c>
      <c r="B6965" t="s">
        <v>26</v>
      </c>
      <c r="C6965" t="str">
        <f t="shared" si="218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17"/>
        <v>8</v>
      </c>
    </row>
    <row r="6966" spans="1:8" x14ac:dyDescent="0.2">
      <c r="A6966" t="s">
        <v>7</v>
      </c>
      <c r="B6966" t="s">
        <v>26</v>
      </c>
      <c r="C6966" t="str">
        <f t="shared" si="218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17"/>
        <v>8</v>
      </c>
    </row>
    <row r="6967" spans="1:8" x14ac:dyDescent="0.2">
      <c r="A6967" t="s">
        <v>7</v>
      </c>
      <c r="B6967" t="s">
        <v>26</v>
      </c>
      <c r="C6967" t="str">
        <f t="shared" si="218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17"/>
        <v>6</v>
      </c>
    </row>
    <row r="6968" spans="1:8" x14ac:dyDescent="0.2">
      <c r="A6968" t="s">
        <v>7</v>
      </c>
      <c r="B6968" t="s">
        <v>26</v>
      </c>
      <c r="C6968" t="str">
        <f t="shared" si="218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17"/>
        <v>5</v>
      </c>
    </row>
    <row r="6969" spans="1:8" x14ac:dyDescent="0.2">
      <c r="A6969" t="s">
        <v>7</v>
      </c>
      <c r="B6969" t="s">
        <v>26</v>
      </c>
      <c r="C6969" t="str">
        <f t="shared" si="218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17"/>
        <v>5</v>
      </c>
    </row>
    <row r="6970" spans="1:8" x14ac:dyDescent="0.2">
      <c r="A6970" t="s">
        <v>7</v>
      </c>
      <c r="B6970" t="s">
        <v>26</v>
      </c>
      <c r="C6970" t="str">
        <f t="shared" si="218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17"/>
        <v>5</v>
      </c>
    </row>
    <row r="6971" spans="1:8" x14ac:dyDescent="0.2">
      <c r="A6971" t="s">
        <v>7</v>
      </c>
      <c r="B6971" t="s">
        <v>26</v>
      </c>
      <c r="C6971" t="str">
        <f t="shared" si="218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17"/>
        <v>5</v>
      </c>
    </row>
    <row r="6972" spans="1:8" x14ac:dyDescent="0.2">
      <c r="A6972" t="s">
        <v>7</v>
      </c>
      <c r="B6972" t="s">
        <v>26</v>
      </c>
      <c r="C6972" t="str">
        <f t="shared" si="218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17"/>
        <v>5</v>
      </c>
    </row>
    <row r="6973" spans="1:8" x14ac:dyDescent="0.2">
      <c r="A6973" t="s">
        <v>7</v>
      </c>
      <c r="B6973" t="s">
        <v>26</v>
      </c>
      <c r="C6973" t="str">
        <f t="shared" si="218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17"/>
        <v>5</v>
      </c>
    </row>
    <row r="6974" spans="1:8" x14ac:dyDescent="0.2">
      <c r="A6974" t="s">
        <v>7</v>
      </c>
      <c r="B6974" t="s">
        <v>26</v>
      </c>
      <c r="C6974" t="str">
        <f t="shared" si="218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17"/>
        <v>5</v>
      </c>
    </row>
    <row r="6975" spans="1:8" x14ac:dyDescent="0.2">
      <c r="A6975" t="s">
        <v>7</v>
      </c>
      <c r="B6975" t="s">
        <v>26</v>
      </c>
      <c r="C6975" t="str">
        <f t="shared" si="218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17"/>
        <v>7</v>
      </c>
    </row>
    <row r="6976" spans="1:8" x14ac:dyDescent="0.2">
      <c r="A6976" t="s">
        <v>7</v>
      </c>
      <c r="B6976" t="s">
        <v>26</v>
      </c>
      <c r="C6976" t="str">
        <f t="shared" si="218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17"/>
        <v>4</v>
      </c>
    </row>
    <row r="6977" spans="1:8" x14ac:dyDescent="0.2">
      <c r="A6977" t="s">
        <v>7</v>
      </c>
      <c r="B6977" t="s">
        <v>26</v>
      </c>
      <c r="C6977" t="str">
        <f t="shared" si="218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17"/>
        <v>6</v>
      </c>
    </row>
    <row r="6978" spans="1:8" x14ac:dyDescent="0.2">
      <c r="A6978" t="s">
        <v>7</v>
      </c>
      <c r="B6978" t="s">
        <v>26</v>
      </c>
      <c r="C6978" t="str">
        <f t="shared" si="218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17"/>
        <v>4</v>
      </c>
    </row>
    <row r="6979" spans="1:8" x14ac:dyDescent="0.2">
      <c r="A6979" t="s">
        <v>7</v>
      </c>
      <c r="B6979" t="s">
        <v>26</v>
      </c>
      <c r="C6979" t="str">
        <f t="shared" si="218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ref="H6979:H7042" si="219">F6979-G6979</f>
        <v>4</v>
      </c>
    </row>
    <row r="6980" spans="1:8" x14ac:dyDescent="0.2">
      <c r="A6980" t="s">
        <v>7</v>
      </c>
      <c r="B6980" t="s">
        <v>26</v>
      </c>
      <c r="C6980" t="str">
        <f t="shared" si="218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19"/>
        <v>4</v>
      </c>
    </row>
    <row r="6981" spans="1:8" x14ac:dyDescent="0.2">
      <c r="A6981" t="s">
        <v>7</v>
      </c>
      <c r="B6981" t="s">
        <v>26</v>
      </c>
      <c r="C6981" t="str">
        <f t="shared" ref="C6981:C7044" si="220">IF(H6981&gt;=0,"Cumple","No cumple")</f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19"/>
        <v>4</v>
      </c>
    </row>
    <row r="6982" spans="1:8" x14ac:dyDescent="0.2">
      <c r="A6982" t="s">
        <v>7</v>
      </c>
      <c r="B6982" t="s">
        <v>26</v>
      </c>
      <c r="C6982" t="str">
        <f t="shared" si="22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19"/>
        <v>3</v>
      </c>
    </row>
    <row r="6983" spans="1:8" x14ac:dyDescent="0.2">
      <c r="A6983" t="s">
        <v>7</v>
      </c>
      <c r="B6983" t="s">
        <v>26</v>
      </c>
      <c r="C6983" t="str">
        <f t="shared" si="22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19"/>
        <v>3</v>
      </c>
    </row>
    <row r="6984" spans="1:8" x14ac:dyDescent="0.2">
      <c r="A6984" t="s">
        <v>7</v>
      </c>
      <c r="B6984" t="s">
        <v>26</v>
      </c>
      <c r="C6984" t="str">
        <f t="shared" si="22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19"/>
        <v>5</v>
      </c>
    </row>
    <row r="6985" spans="1:8" x14ac:dyDescent="0.2">
      <c r="A6985" t="s">
        <v>7</v>
      </c>
      <c r="B6985" t="s">
        <v>26</v>
      </c>
      <c r="C6985" t="str">
        <f t="shared" si="22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19"/>
        <v>3</v>
      </c>
    </row>
    <row r="6986" spans="1:8" x14ac:dyDescent="0.2">
      <c r="A6986" t="s">
        <v>7</v>
      </c>
      <c r="B6986" t="s">
        <v>26</v>
      </c>
      <c r="C6986" t="str">
        <f t="shared" si="22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19"/>
        <v>5</v>
      </c>
    </row>
    <row r="6987" spans="1:8" x14ac:dyDescent="0.2">
      <c r="A6987" t="s">
        <v>7</v>
      </c>
      <c r="B6987" t="s">
        <v>26</v>
      </c>
      <c r="C6987" t="str">
        <f t="shared" si="22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19"/>
        <v>5</v>
      </c>
    </row>
    <row r="6988" spans="1:8" x14ac:dyDescent="0.2">
      <c r="A6988" t="s">
        <v>7</v>
      </c>
      <c r="B6988" t="s">
        <v>26</v>
      </c>
      <c r="C6988" t="str">
        <f t="shared" si="22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19"/>
        <v>5</v>
      </c>
    </row>
    <row r="6989" spans="1:8" x14ac:dyDescent="0.2">
      <c r="A6989" t="s">
        <v>7</v>
      </c>
      <c r="B6989" t="s">
        <v>26</v>
      </c>
      <c r="C6989" t="str">
        <f t="shared" si="22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19"/>
        <v>5</v>
      </c>
    </row>
    <row r="6990" spans="1:8" x14ac:dyDescent="0.2">
      <c r="A6990" t="s">
        <v>7</v>
      </c>
      <c r="B6990" t="s">
        <v>26</v>
      </c>
      <c r="C6990" t="str">
        <f t="shared" si="22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19"/>
        <v>3</v>
      </c>
    </row>
    <row r="6991" spans="1:8" x14ac:dyDescent="0.2">
      <c r="A6991" t="s">
        <v>7</v>
      </c>
      <c r="B6991" t="s">
        <v>26</v>
      </c>
      <c r="C6991" t="str">
        <f t="shared" si="22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19"/>
        <v>2</v>
      </c>
    </row>
    <row r="6992" spans="1:8" x14ac:dyDescent="0.2">
      <c r="A6992" t="s">
        <v>7</v>
      </c>
      <c r="B6992" t="s">
        <v>26</v>
      </c>
      <c r="C6992" t="str">
        <f t="shared" si="22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19"/>
        <v>2</v>
      </c>
    </row>
    <row r="6993" spans="1:8" x14ac:dyDescent="0.2">
      <c r="A6993" t="s">
        <v>7</v>
      </c>
      <c r="B6993" t="s">
        <v>26</v>
      </c>
      <c r="C6993" t="str">
        <f t="shared" si="22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19"/>
        <v>2</v>
      </c>
    </row>
    <row r="6994" spans="1:8" x14ac:dyDescent="0.2">
      <c r="A6994" t="s">
        <v>7</v>
      </c>
      <c r="B6994" t="s">
        <v>26</v>
      </c>
      <c r="C6994" t="str">
        <f t="shared" si="22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19"/>
        <v>4</v>
      </c>
    </row>
    <row r="6995" spans="1:8" x14ac:dyDescent="0.2">
      <c r="A6995" t="s">
        <v>7</v>
      </c>
      <c r="B6995" t="s">
        <v>26</v>
      </c>
      <c r="C6995" t="str">
        <f t="shared" si="22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19"/>
        <v>2</v>
      </c>
    </row>
    <row r="6996" spans="1:8" x14ac:dyDescent="0.2">
      <c r="A6996" t="s">
        <v>7</v>
      </c>
      <c r="B6996" t="s">
        <v>26</v>
      </c>
      <c r="C6996" t="str">
        <f t="shared" si="22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19"/>
        <v>4</v>
      </c>
    </row>
    <row r="6997" spans="1:8" x14ac:dyDescent="0.2">
      <c r="A6997" t="s">
        <v>7</v>
      </c>
      <c r="B6997" t="s">
        <v>26</v>
      </c>
      <c r="C6997" t="str">
        <f t="shared" si="22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19"/>
        <v>4</v>
      </c>
    </row>
    <row r="6998" spans="1:8" x14ac:dyDescent="0.2">
      <c r="A6998" t="s">
        <v>7</v>
      </c>
      <c r="B6998" t="s">
        <v>26</v>
      </c>
      <c r="C6998" t="str">
        <f t="shared" si="22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19"/>
        <v>2</v>
      </c>
    </row>
    <row r="6999" spans="1:8" x14ac:dyDescent="0.2">
      <c r="A6999" t="s">
        <v>7</v>
      </c>
      <c r="B6999" t="s">
        <v>26</v>
      </c>
      <c r="C6999" t="str">
        <f t="shared" si="22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19"/>
        <v>2</v>
      </c>
    </row>
    <row r="7000" spans="1:8" x14ac:dyDescent="0.2">
      <c r="A7000" t="s">
        <v>7</v>
      </c>
      <c r="B7000" t="s">
        <v>26</v>
      </c>
      <c r="C7000" t="str">
        <f t="shared" si="220"/>
        <v>Cumple</v>
      </c>
      <c r="D7000">
        <v>507</v>
      </c>
      <c r="E7000" t="s">
        <v>8</v>
      </c>
      <c r="F7000">
        <v>9</v>
      </c>
      <c r="G7000">
        <v>8</v>
      </c>
      <c r="H7000">
        <f t="shared" si="219"/>
        <v>1</v>
      </c>
    </row>
    <row r="7001" spans="1:8" x14ac:dyDescent="0.2">
      <c r="A7001" t="s">
        <v>7</v>
      </c>
      <c r="B7001" t="s">
        <v>26</v>
      </c>
      <c r="C7001" t="str">
        <f t="shared" si="220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19"/>
        <v>3</v>
      </c>
    </row>
    <row r="7002" spans="1:8" x14ac:dyDescent="0.2">
      <c r="A7002" t="s">
        <v>7</v>
      </c>
      <c r="B7002" t="s">
        <v>26</v>
      </c>
      <c r="C7002" t="str">
        <f t="shared" si="220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19"/>
        <v>1</v>
      </c>
    </row>
    <row r="7003" spans="1:8" x14ac:dyDescent="0.2">
      <c r="A7003" t="s">
        <v>7</v>
      </c>
      <c r="B7003" t="s">
        <v>26</v>
      </c>
      <c r="C7003" t="str">
        <f t="shared" si="220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19"/>
        <v>3</v>
      </c>
    </row>
    <row r="7004" spans="1:8" x14ac:dyDescent="0.2">
      <c r="A7004" t="s">
        <v>7</v>
      </c>
      <c r="B7004" t="s">
        <v>26</v>
      </c>
      <c r="C7004" t="str">
        <f t="shared" si="220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19"/>
        <v>1</v>
      </c>
    </row>
    <row r="7005" spans="1:8" x14ac:dyDescent="0.2">
      <c r="A7005" t="s">
        <v>7</v>
      </c>
      <c r="B7005" t="s">
        <v>26</v>
      </c>
      <c r="C7005" t="str">
        <f t="shared" si="220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19"/>
        <v>1</v>
      </c>
    </row>
    <row r="7006" spans="1:8" x14ac:dyDescent="0.2">
      <c r="A7006" t="s">
        <v>7</v>
      </c>
      <c r="B7006" t="s">
        <v>26</v>
      </c>
      <c r="C7006" t="str">
        <f t="shared" si="220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19"/>
        <v>1</v>
      </c>
    </row>
    <row r="7007" spans="1:8" x14ac:dyDescent="0.2">
      <c r="A7007" t="s">
        <v>7</v>
      </c>
      <c r="B7007" t="s">
        <v>26</v>
      </c>
      <c r="C7007" t="str">
        <f t="shared" si="220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19"/>
        <v>3</v>
      </c>
    </row>
    <row r="7008" spans="1:8" x14ac:dyDescent="0.2">
      <c r="A7008" t="s">
        <v>7</v>
      </c>
      <c r="B7008" t="s">
        <v>26</v>
      </c>
      <c r="C7008" t="str">
        <f t="shared" si="220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19"/>
        <v>1</v>
      </c>
    </row>
    <row r="7009" spans="1:8" x14ac:dyDescent="0.2">
      <c r="A7009" t="s">
        <v>7</v>
      </c>
      <c r="B7009" t="s">
        <v>26</v>
      </c>
      <c r="C7009" t="str">
        <f t="shared" si="220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19"/>
        <v>2</v>
      </c>
    </row>
    <row r="7010" spans="1:8" x14ac:dyDescent="0.2">
      <c r="A7010" t="s">
        <v>7</v>
      </c>
      <c r="B7010" t="s">
        <v>26</v>
      </c>
      <c r="C7010" t="str">
        <f t="shared" si="220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19"/>
        <v>2</v>
      </c>
    </row>
    <row r="7011" spans="1:8" x14ac:dyDescent="0.2">
      <c r="A7011" t="s">
        <v>7</v>
      </c>
      <c r="B7011" t="s">
        <v>26</v>
      </c>
      <c r="C7011" t="str">
        <f t="shared" si="220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19"/>
        <v>2</v>
      </c>
    </row>
    <row r="7012" spans="1:8" x14ac:dyDescent="0.2">
      <c r="A7012" t="s">
        <v>7</v>
      </c>
      <c r="B7012" t="s">
        <v>26</v>
      </c>
      <c r="C7012" t="str">
        <f t="shared" si="220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19"/>
        <v>0</v>
      </c>
    </row>
    <row r="7013" spans="1:8" x14ac:dyDescent="0.2">
      <c r="A7013" t="s">
        <v>7</v>
      </c>
      <c r="B7013" t="s">
        <v>26</v>
      </c>
      <c r="C7013" t="str">
        <f t="shared" si="220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19"/>
        <v>2</v>
      </c>
    </row>
    <row r="7014" spans="1:8" x14ac:dyDescent="0.2">
      <c r="A7014" t="s">
        <v>7</v>
      </c>
      <c r="B7014" t="s">
        <v>26</v>
      </c>
      <c r="C7014" t="str">
        <f t="shared" si="220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19"/>
        <v>-1</v>
      </c>
    </row>
    <row r="7015" spans="1:8" x14ac:dyDescent="0.2">
      <c r="A7015" t="s">
        <v>7</v>
      </c>
      <c r="B7015" t="s">
        <v>26</v>
      </c>
      <c r="C7015" t="str">
        <f t="shared" si="220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19"/>
        <v>-1</v>
      </c>
    </row>
    <row r="7016" spans="1:8" x14ac:dyDescent="0.2">
      <c r="A7016" t="s">
        <v>7</v>
      </c>
      <c r="B7016" t="s">
        <v>26</v>
      </c>
      <c r="C7016" t="str">
        <f t="shared" si="220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19"/>
        <v>-1</v>
      </c>
    </row>
    <row r="7017" spans="1:8" x14ac:dyDescent="0.2">
      <c r="A7017" t="s">
        <v>7</v>
      </c>
      <c r="B7017" t="s">
        <v>26</v>
      </c>
      <c r="C7017" t="str">
        <f t="shared" si="220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19"/>
        <v>1</v>
      </c>
    </row>
    <row r="7018" spans="1:8" x14ac:dyDescent="0.2">
      <c r="A7018" t="s">
        <v>7</v>
      </c>
      <c r="B7018" t="s">
        <v>26</v>
      </c>
      <c r="C7018" t="str">
        <f t="shared" si="220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19"/>
        <v>1</v>
      </c>
    </row>
    <row r="7019" spans="1:8" x14ac:dyDescent="0.2">
      <c r="A7019" t="s">
        <v>7</v>
      </c>
      <c r="B7019" t="s">
        <v>26</v>
      </c>
      <c r="C7019" t="str">
        <f t="shared" si="220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19"/>
        <v>1</v>
      </c>
    </row>
    <row r="7020" spans="1:8" x14ac:dyDescent="0.2">
      <c r="A7020" t="s">
        <v>7</v>
      </c>
      <c r="B7020" t="s">
        <v>26</v>
      </c>
      <c r="C7020" t="str">
        <f t="shared" si="220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19"/>
        <v>1</v>
      </c>
    </row>
    <row r="7021" spans="1:8" x14ac:dyDescent="0.2">
      <c r="A7021" t="s">
        <v>7</v>
      </c>
      <c r="B7021" t="s">
        <v>26</v>
      </c>
      <c r="C7021" t="str">
        <f t="shared" si="220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19"/>
        <v>1</v>
      </c>
    </row>
    <row r="7022" spans="1:8" x14ac:dyDescent="0.2">
      <c r="A7022" t="s">
        <v>7</v>
      </c>
      <c r="B7022" t="s">
        <v>26</v>
      </c>
      <c r="C7022" t="str">
        <f t="shared" si="220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19"/>
        <v>0</v>
      </c>
    </row>
    <row r="7023" spans="1:8" x14ac:dyDescent="0.2">
      <c r="A7023" t="s">
        <v>7</v>
      </c>
      <c r="B7023" t="s">
        <v>26</v>
      </c>
      <c r="C7023" t="str">
        <f t="shared" si="220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19"/>
        <v>1</v>
      </c>
    </row>
    <row r="7024" spans="1:8" x14ac:dyDescent="0.2">
      <c r="A7024" t="s">
        <v>7</v>
      </c>
      <c r="B7024" t="s">
        <v>26</v>
      </c>
      <c r="C7024" t="str">
        <f t="shared" si="220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19"/>
        <v>1</v>
      </c>
    </row>
    <row r="7025" spans="1:8" x14ac:dyDescent="0.2">
      <c r="A7025" t="s">
        <v>7</v>
      </c>
      <c r="B7025" t="s">
        <v>26</v>
      </c>
      <c r="C7025" t="str">
        <f t="shared" si="220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19"/>
        <v>1</v>
      </c>
    </row>
    <row r="7026" spans="1:8" x14ac:dyDescent="0.2">
      <c r="A7026" t="s">
        <v>7</v>
      </c>
      <c r="B7026" t="s">
        <v>26</v>
      </c>
      <c r="C7026" t="str">
        <f t="shared" si="220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19"/>
        <v>1</v>
      </c>
    </row>
    <row r="7027" spans="1:8" x14ac:dyDescent="0.2">
      <c r="A7027" t="s">
        <v>7</v>
      </c>
      <c r="B7027" t="s">
        <v>26</v>
      </c>
      <c r="C7027" t="str">
        <f t="shared" si="220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19"/>
        <v>1</v>
      </c>
    </row>
    <row r="7028" spans="1:8" x14ac:dyDescent="0.2">
      <c r="A7028" t="s">
        <v>7</v>
      </c>
      <c r="B7028" t="s">
        <v>26</v>
      </c>
      <c r="C7028" t="str">
        <f t="shared" si="220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19"/>
        <v>-1</v>
      </c>
    </row>
    <row r="7029" spans="1:8" x14ac:dyDescent="0.2">
      <c r="A7029" t="s">
        <v>7</v>
      </c>
      <c r="B7029" t="s">
        <v>26</v>
      </c>
      <c r="C7029" t="str">
        <f t="shared" si="220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19"/>
        <v>1</v>
      </c>
    </row>
    <row r="7030" spans="1:8" x14ac:dyDescent="0.2">
      <c r="A7030" t="s">
        <v>7</v>
      </c>
      <c r="B7030" t="s">
        <v>26</v>
      </c>
      <c r="C7030" t="str">
        <f t="shared" si="220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19"/>
        <v>1</v>
      </c>
    </row>
    <row r="7031" spans="1:8" x14ac:dyDescent="0.2">
      <c r="A7031" t="s">
        <v>7</v>
      </c>
      <c r="B7031" t="s">
        <v>26</v>
      </c>
      <c r="C7031" t="str">
        <f t="shared" si="220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19"/>
        <v>-1</v>
      </c>
    </row>
    <row r="7032" spans="1:8" x14ac:dyDescent="0.2">
      <c r="A7032" t="s">
        <v>7</v>
      </c>
      <c r="B7032" t="s">
        <v>26</v>
      </c>
      <c r="C7032" t="str">
        <f t="shared" si="220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19"/>
        <v>-1</v>
      </c>
    </row>
    <row r="7033" spans="1:8" x14ac:dyDescent="0.2">
      <c r="A7033" t="s">
        <v>7</v>
      </c>
      <c r="B7033" t="s">
        <v>26</v>
      </c>
      <c r="C7033" t="str">
        <f t="shared" si="220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19"/>
        <v>0</v>
      </c>
    </row>
    <row r="7034" spans="1:8" x14ac:dyDescent="0.2">
      <c r="A7034" t="s">
        <v>7</v>
      </c>
      <c r="B7034" t="s">
        <v>26</v>
      </c>
      <c r="C7034" t="str">
        <f t="shared" si="220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19"/>
        <v>0</v>
      </c>
    </row>
    <row r="7035" spans="1:8" x14ac:dyDescent="0.2">
      <c r="A7035" t="s">
        <v>7</v>
      </c>
      <c r="B7035" t="s">
        <v>26</v>
      </c>
      <c r="C7035" t="str">
        <f t="shared" si="220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19"/>
        <v>0</v>
      </c>
    </row>
    <row r="7036" spans="1:8" x14ac:dyDescent="0.2">
      <c r="A7036" t="s">
        <v>7</v>
      </c>
      <c r="B7036" t="s">
        <v>26</v>
      </c>
      <c r="C7036" t="str">
        <f t="shared" si="220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19"/>
        <v>0</v>
      </c>
    </row>
    <row r="7037" spans="1:8" x14ac:dyDescent="0.2">
      <c r="A7037" t="s">
        <v>7</v>
      </c>
      <c r="B7037" t="s">
        <v>26</v>
      </c>
      <c r="C7037" t="str">
        <f t="shared" si="220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19"/>
        <v>0</v>
      </c>
    </row>
    <row r="7038" spans="1:8" x14ac:dyDescent="0.2">
      <c r="A7038" t="s">
        <v>7</v>
      </c>
      <c r="B7038" t="s">
        <v>26</v>
      </c>
      <c r="C7038" t="str">
        <f t="shared" si="220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19"/>
        <v>0</v>
      </c>
    </row>
    <row r="7039" spans="1:8" x14ac:dyDescent="0.2">
      <c r="A7039" t="s">
        <v>7</v>
      </c>
      <c r="B7039" t="s">
        <v>26</v>
      </c>
      <c r="C7039" t="str">
        <f t="shared" si="220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19"/>
        <v>0</v>
      </c>
    </row>
    <row r="7040" spans="1:8" x14ac:dyDescent="0.2">
      <c r="A7040" t="s">
        <v>7</v>
      </c>
      <c r="B7040" t="s">
        <v>26</v>
      </c>
      <c r="C7040" t="str">
        <f t="shared" si="220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19"/>
        <v>0</v>
      </c>
    </row>
    <row r="7041" spans="1:8" x14ac:dyDescent="0.2">
      <c r="A7041" t="s">
        <v>7</v>
      </c>
      <c r="B7041" t="s">
        <v>26</v>
      </c>
      <c r="C7041" t="str">
        <f t="shared" si="220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19"/>
        <v>0</v>
      </c>
    </row>
    <row r="7042" spans="1:8" x14ac:dyDescent="0.2">
      <c r="A7042" t="s">
        <v>7</v>
      </c>
      <c r="B7042" t="s">
        <v>26</v>
      </c>
      <c r="C7042" t="str">
        <f t="shared" si="220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19"/>
        <v>0</v>
      </c>
    </row>
    <row r="7043" spans="1:8" x14ac:dyDescent="0.2">
      <c r="A7043" t="s">
        <v>7</v>
      </c>
      <c r="B7043" t="s">
        <v>26</v>
      </c>
      <c r="C7043" t="str">
        <f t="shared" si="220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ref="H7043:H7106" si="221">F7043-G7043</f>
        <v>0</v>
      </c>
    </row>
    <row r="7044" spans="1:8" x14ac:dyDescent="0.2">
      <c r="A7044" t="s">
        <v>7</v>
      </c>
      <c r="B7044" t="s">
        <v>26</v>
      </c>
      <c r="C7044" t="str">
        <f t="shared" si="220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21"/>
        <v>-2</v>
      </c>
    </row>
    <row r="7045" spans="1:8" x14ac:dyDescent="0.2">
      <c r="A7045" t="s">
        <v>7</v>
      </c>
      <c r="B7045" t="s">
        <v>26</v>
      </c>
      <c r="C7045" t="str">
        <f t="shared" ref="C7045:C7108" si="222">IF(H7045&gt;=0,"Cumple","No cumple")</f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21"/>
        <v>0</v>
      </c>
    </row>
    <row r="7046" spans="1:8" x14ac:dyDescent="0.2">
      <c r="A7046" t="s">
        <v>7</v>
      </c>
      <c r="B7046" t="s">
        <v>26</v>
      </c>
      <c r="C7046" t="str">
        <f t="shared" si="22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21"/>
        <v>-1</v>
      </c>
    </row>
    <row r="7047" spans="1:8" x14ac:dyDescent="0.2">
      <c r="A7047" t="s">
        <v>7</v>
      </c>
      <c r="B7047" t="s">
        <v>26</v>
      </c>
      <c r="C7047" t="str">
        <f t="shared" si="22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21"/>
        <v>-1</v>
      </c>
    </row>
    <row r="7048" spans="1:8" x14ac:dyDescent="0.2">
      <c r="A7048" t="s">
        <v>7</v>
      </c>
      <c r="B7048" t="s">
        <v>26</v>
      </c>
      <c r="C7048" t="str">
        <f t="shared" si="22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21"/>
        <v>-1</v>
      </c>
    </row>
    <row r="7049" spans="1:8" x14ac:dyDescent="0.2">
      <c r="A7049" t="s">
        <v>7</v>
      </c>
      <c r="B7049" t="s">
        <v>26</v>
      </c>
      <c r="C7049" t="str">
        <f t="shared" si="22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21"/>
        <v>-1</v>
      </c>
    </row>
    <row r="7050" spans="1:8" x14ac:dyDescent="0.2">
      <c r="A7050" t="s">
        <v>7</v>
      </c>
      <c r="B7050" t="s">
        <v>26</v>
      </c>
      <c r="C7050" t="str">
        <f t="shared" si="22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21"/>
        <v>-1</v>
      </c>
    </row>
    <row r="7051" spans="1:8" x14ac:dyDescent="0.2">
      <c r="A7051" t="s">
        <v>7</v>
      </c>
      <c r="B7051" t="s">
        <v>26</v>
      </c>
      <c r="C7051" t="str">
        <f t="shared" si="22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21"/>
        <v>-1</v>
      </c>
    </row>
    <row r="7052" spans="1:8" x14ac:dyDescent="0.2">
      <c r="A7052" t="s">
        <v>7</v>
      </c>
      <c r="B7052" t="s">
        <v>26</v>
      </c>
      <c r="C7052" t="str">
        <f t="shared" si="22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21"/>
        <v>-1</v>
      </c>
    </row>
    <row r="7053" spans="1:8" x14ac:dyDescent="0.2">
      <c r="A7053" t="s">
        <v>7</v>
      </c>
      <c r="B7053" t="s">
        <v>26</v>
      </c>
      <c r="C7053" t="str">
        <f t="shared" si="22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21"/>
        <v>-1</v>
      </c>
    </row>
    <row r="7054" spans="1:8" x14ac:dyDescent="0.2">
      <c r="A7054" t="s">
        <v>7</v>
      </c>
      <c r="B7054" t="s">
        <v>26</v>
      </c>
      <c r="C7054" t="str">
        <f t="shared" si="22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21"/>
        <v>-1</v>
      </c>
    </row>
    <row r="7055" spans="1:8" x14ac:dyDescent="0.2">
      <c r="A7055" t="s">
        <v>7</v>
      </c>
      <c r="B7055" t="s">
        <v>26</v>
      </c>
      <c r="C7055" t="str">
        <f t="shared" si="22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21"/>
        <v>-1</v>
      </c>
    </row>
    <row r="7056" spans="1:8" x14ac:dyDescent="0.2">
      <c r="A7056" t="s">
        <v>7</v>
      </c>
      <c r="B7056" t="s">
        <v>26</v>
      </c>
      <c r="C7056" t="str">
        <f t="shared" si="22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21"/>
        <v>-1</v>
      </c>
    </row>
    <row r="7057" spans="1:8" x14ac:dyDescent="0.2">
      <c r="A7057" t="s">
        <v>7</v>
      </c>
      <c r="B7057" t="s">
        <v>26</v>
      </c>
      <c r="C7057" t="str">
        <f t="shared" si="22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21"/>
        <v>-1</v>
      </c>
    </row>
    <row r="7058" spans="1:8" x14ac:dyDescent="0.2">
      <c r="A7058" t="s">
        <v>7</v>
      </c>
      <c r="B7058" t="s">
        <v>26</v>
      </c>
      <c r="C7058" t="str">
        <f t="shared" si="22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21"/>
        <v>-1</v>
      </c>
    </row>
    <row r="7059" spans="1:8" x14ac:dyDescent="0.2">
      <c r="A7059" t="s">
        <v>7</v>
      </c>
      <c r="B7059" t="s">
        <v>26</v>
      </c>
      <c r="C7059" t="str">
        <f t="shared" si="22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21"/>
        <v>-1</v>
      </c>
    </row>
    <row r="7060" spans="1:8" x14ac:dyDescent="0.2">
      <c r="A7060" t="s">
        <v>7</v>
      </c>
      <c r="B7060" t="s">
        <v>26</v>
      </c>
      <c r="C7060" t="str">
        <f t="shared" si="22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21"/>
        <v>-1</v>
      </c>
    </row>
    <row r="7061" spans="1:8" x14ac:dyDescent="0.2">
      <c r="A7061" t="s">
        <v>7</v>
      </c>
      <c r="B7061" t="s">
        <v>26</v>
      </c>
      <c r="C7061" t="str">
        <f t="shared" si="22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21"/>
        <v>-1</v>
      </c>
    </row>
    <row r="7062" spans="1:8" x14ac:dyDescent="0.2">
      <c r="A7062" t="s">
        <v>7</v>
      </c>
      <c r="B7062" t="s">
        <v>26</v>
      </c>
      <c r="C7062" t="str">
        <f t="shared" si="22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21"/>
        <v>-1</v>
      </c>
    </row>
    <row r="7063" spans="1:8" x14ac:dyDescent="0.2">
      <c r="A7063" t="s">
        <v>7</v>
      </c>
      <c r="B7063" t="s">
        <v>26</v>
      </c>
      <c r="C7063" t="str">
        <f t="shared" si="22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21"/>
        <v>-1</v>
      </c>
    </row>
    <row r="7064" spans="1:8" x14ac:dyDescent="0.2">
      <c r="A7064" t="s">
        <v>7</v>
      </c>
      <c r="B7064" t="s">
        <v>26</v>
      </c>
      <c r="C7064" t="str">
        <f t="shared" si="222"/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si="221"/>
        <v>-1</v>
      </c>
    </row>
    <row r="7065" spans="1:8" x14ac:dyDescent="0.2">
      <c r="A7065" t="s">
        <v>7</v>
      </c>
      <c r="B7065" t="s">
        <v>26</v>
      </c>
      <c r="C7065" t="str">
        <f t="shared" si="222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21"/>
        <v>-2</v>
      </c>
    </row>
    <row r="7066" spans="1:8" x14ac:dyDescent="0.2">
      <c r="A7066" t="s">
        <v>7</v>
      </c>
      <c r="B7066" t="s">
        <v>26</v>
      </c>
      <c r="C7066" t="str">
        <f t="shared" si="222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21"/>
        <v>-2</v>
      </c>
    </row>
    <row r="7067" spans="1:8" x14ac:dyDescent="0.2">
      <c r="A7067" t="s">
        <v>7</v>
      </c>
      <c r="B7067" t="s">
        <v>26</v>
      </c>
      <c r="C7067" t="str">
        <f t="shared" si="222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21"/>
        <v>-2</v>
      </c>
    </row>
    <row r="7068" spans="1:8" x14ac:dyDescent="0.2">
      <c r="A7068" t="s">
        <v>7</v>
      </c>
      <c r="B7068" t="s">
        <v>26</v>
      </c>
      <c r="C7068" t="str">
        <f t="shared" si="222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21"/>
        <v>-2</v>
      </c>
    </row>
    <row r="7069" spans="1:8" x14ac:dyDescent="0.2">
      <c r="A7069" t="s">
        <v>7</v>
      </c>
      <c r="B7069" t="s">
        <v>26</v>
      </c>
      <c r="C7069" t="str">
        <f t="shared" si="222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21"/>
        <v>-2</v>
      </c>
    </row>
    <row r="7070" spans="1:8" x14ac:dyDescent="0.2">
      <c r="A7070" t="s">
        <v>7</v>
      </c>
      <c r="B7070" t="s">
        <v>26</v>
      </c>
      <c r="C7070" t="str">
        <f t="shared" si="222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21"/>
        <v>-2</v>
      </c>
    </row>
    <row r="7071" spans="1:8" x14ac:dyDescent="0.2">
      <c r="A7071" t="s">
        <v>7</v>
      </c>
      <c r="B7071" t="s">
        <v>26</v>
      </c>
      <c r="C7071" t="str">
        <f t="shared" si="222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21"/>
        <v>0</v>
      </c>
    </row>
    <row r="7072" spans="1:8" x14ac:dyDescent="0.2">
      <c r="A7072" t="s">
        <v>7</v>
      </c>
      <c r="B7072" t="s">
        <v>26</v>
      </c>
      <c r="C7072" t="str">
        <f t="shared" si="222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21"/>
        <v>-2</v>
      </c>
    </row>
    <row r="7073" spans="1:8" x14ac:dyDescent="0.2">
      <c r="A7073" t="s">
        <v>7</v>
      </c>
      <c r="B7073" t="s">
        <v>26</v>
      </c>
      <c r="C7073" t="str">
        <f t="shared" si="222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21"/>
        <v>-2</v>
      </c>
    </row>
    <row r="7074" spans="1:8" x14ac:dyDescent="0.2">
      <c r="A7074" t="s">
        <v>7</v>
      </c>
      <c r="B7074" t="s">
        <v>26</v>
      </c>
      <c r="C7074" t="str">
        <f t="shared" si="222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21"/>
        <v>-2</v>
      </c>
    </row>
    <row r="7075" spans="1:8" x14ac:dyDescent="0.2">
      <c r="A7075" t="s">
        <v>7</v>
      </c>
      <c r="B7075" t="s">
        <v>26</v>
      </c>
      <c r="C7075" t="str">
        <f t="shared" si="222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21"/>
        <v>-2</v>
      </c>
    </row>
    <row r="7076" spans="1:8" x14ac:dyDescent="0.2">
      <c r="A7076" t="s">
        <v>7</v>
      </c>
      <c r="B7076" t="s">
        <v>26</v>
      </c>
      <c r="C7076" t="str">
        <f t="shared" si="222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21"/>
        <v>-2</v>
      </c>
    </row>
    <row r="7077" spans="1:8" x14ac:dyDescent="0.2">
      <c r="A7077" t="s">
        <v>7</v>
      </c>
      <c r="B7077" t="s">
        <v>26</v>
      </c>
      <c r="C7077" t="str">
        <f t="shared" si="222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21"/>
        <v>-2</v>
      </c>
    </row>
    <row r="7078" spans="1:8" x14ac:dyDescent="0.2">
      <c r="A7078" t="s">
        <v>7</v>
      </c>
      <c r="B7078" t="s">
        <v>26</v>
      </c>
      <c r="C7078" t="str">
        <f t="shared" si="222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21"/>
        <v>-2</v>
      </c>
    </row>
    <row r="7079" spans="1:8" x14ac:dyDescent="0.2">
      <c r="A7079" t="s">
        <v>7</v>
      </c>
      <c r="B7079" t="s">
        <v>26</v>
      </c>
      <c r="C7079" t="str">
        <f t="shared" si="222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21"/>
        <v>-2</v>
      </c>
    </row>
    <row r="7080" spans="1:8" x14ac:dyDescent="0.2">
      <c r="A7080" t="s">
        <v>7</v>
      </c>
      <c r="B7080" t="s">
        <v>26</v>
      </c>
      <c r="C7080" t="str">
        <f t="shared" si="222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21"/>
        <v>-2</v>
      </c>
    </row>
    <row r="7081" spans="1:8" x14ac:dyDescent="0.2">
      <c r="A7081" t="s">
        <v>7</v>
      </c>
      <c r="B7081" t="s">
        <v>26</v>
      </c>
      <c r="C7081" t="str">
        <f t="shared" si="222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21"/>
        <v>-2</v>
      </c>
    </row>
    <row r="7082" spans="1:8" x14ac:dyDescent="0.2">
      <c r="A7082" t="s">
        <v>7</v>
      </c>
      <c r="B7082" t="s">
        <v>26</v>
      </c>
      <c r="C7082" t="str">
        <f t="shared" si="222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21"/>
        <v>-4</v>
      </c>
    </row>
    <row r="7083" spans="1:8" x14ac:dyDescent="0.2">
      <c r="A7083" t="s">
        <v>7</v>
      </c>
      <c r="B7083" t="s">
        <v>26</v>
      </c>
      <c r="C7083" t="str">
        <f t="shared" si="222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21"/>
        <v>-2</v>
      </c>
    </row>
    <row r="7084" spans="1:8" x14ac:dyDescent="0.2">
      <c r="A7084" t="s">
        <v>7</v>
      </c>
      <c r="B7084" t="s">
        <v>26</v>
      </c>
      <c r="C7084" t="str">
        <f t="shared" si="222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21"/>
        <v>-2</v>
      </c>
    </row>
    <row r="7085" spans="1:8" x14ac:dyDescent="0.2">
      <c r="A7085" t="s">
        <v>7</v>
      </c>
      <c r="B7085" t="s">
        <v>26</v>
      </c>
      <c r="C7085" t="str">
        <f t="shared" si="222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21"/>
        <v>-2</v>
      </c>
    </row>
    <row r="7086" spans="1:8" x14ac:dyDescent="0.2">
      <c r="A7086" t="s">
        <v>7</v>
      </c>
      <c r="B7086" t="s">
        <v>26</v>
      </c>
      <c r="C7086" t="str">
        <f t="shared" si="222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21"/>
        <v>-2</v>
      </c>
    </row>
    <row r="7087" spans="1:8" x14ac:dyDescent="0.2">
      <c r="A7087" t="s">
        <v>7</v>
      </c>
      <c r="B7087" t="s">
        <v>26</v>
      </c>
      <c r="C7087" t="str">
        <f t="shared" si="222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21"/>
        <v>-2</v>
      </c>
    </row>
    <row r="7088" spans="1:8" x14ac:dyDescent="0.2">
      <c r="A7088" t="s">
        <v>7</v>
      </c>
      <c r="B7088" t="s">
        <v>26</v>
      </c>
      <c r="C7088" t="str">
        <f t="shared" si="222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21"/>
        <v>-2</v>
      </c>
    </row>
    <row r="7089" spans="1:8" x14ac:dyDescent="0.2">
      <c r="A7089" t="s">
        <v>7</v>
      </c>
      <c r="B7089" t="s">
        <v>26</v>
      </c>
      <c r="C7089" t="str">
        <f t="shared" si="222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21"/>
        <v>0</v>
      </c>
    </row>
    <row r="7090" spans="1:8" x14ac:dyDescent="0.2">
      <c r="A7090" t="s">
        <v>7</v>
      </c>
      <c r="B7090" t="s">
        <v>26</v>
      </c>
      <c r="C7090" t="str">
        <f t="shared" si="222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21"/>
        <v>-3</v>
      </c>
    </row>
    <row r="7091" spans="1:8" x14ac:dyDescent="0.2">
      <c r="A7091" t="s">
        <v>7</v>
      </c>
      <c r="B7091" t="s">
        <v>26</v>
      </c>
      <c r="C7091" t="str">
        <f t="shared" si="222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21"/>
        <v>-5</v>
      </c>
    </row>
    <row r="7092" spans="1:8" x14ac:dyDescent="0.2">
      <c r="A7092" t="s">
        <v>7</v>
      </c>
      <c r="B7092" t="s">
        <v>26</v>
      </c>
      <c r="C7092" t="str">
        <f t="shared" si="222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21"/>
        <v>-3</v>
      </c>
    </row>
    <row r="7093" spans="1:8" x14ac:dyDescent="0.2">
      <c r="A7093" t="s">
        <v>7</v>
      </c>
      <c r="B7093" t="s">
        <v>26</v>
      </c>
      <c r="C7093" t="str">
        <f t="shared" si="222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21"/>
        <v>-3</v>
      </c>
    </row>
    <row r="7094" spans="1:8" x14ac:dyDescent="0.2">
      <c r="A7094" t="s">
        <v>7</v>
      </c>
      <c r="B7094" t="s">
        <v>26</v>
      </c>
      <c r="C7094" t="str">
        <f t="shared" si="222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21"/>
        <v>-3</v>
      </c>
    </row>
    <row r="7095" spans="1:8" x14ac:dyDescent="0.2">
      <c r="A7095" t="s">
        <v>7</v>
      </c>
      <c r="B7095" t="s">
        <v>26</v>
      </c>
      <c r="C7095" t="str">
        <f t="shared" si="222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21"/>
        <v>-3</v>
      </c>
    </row>
    <row r="7096" spans="1:8" x14ac:dyDescent="0.2">
      <c r="A7096" t="s">
        <v>7</v>
      </c>
      <c r="B7096" t="s">
        <v>26</v>
      </c>
      <c r="C7096" t="str">
        <f t="shared" si="222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21"/>
        <v>-3</v>
      </c>
    </row>
    <row r="7097" spans="1:8" x14ac:dyDescent="0.2">
      <c r="A7097" t="s">
        <v>7</v>
      </c>
      <c r="B7097" t="s">
        <v>26</v>
      </c>
      <c r="C7097" t="str">
        <f t="shared" si="222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21"/>
        <v>-3</v>
      </c>
    </row>
    <row r="7098" spans="1:8" x14ac:dyDescent="0.2">
      <c r="A7098" t="s">
        <v>7</v>
      </c>
      <c r="B7098" t="s">
        <v>26</v>
      </c>
      <c r="C7098" t="str">
        <f t="shared" si="222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21"/>
        <v>-3</v>
      </c>
    </row>
    <row r="7099" spans="1:8" x14ac:dyDescent="0.2">
      <c r="A7099" t="s">
        <v>7</v>
      </c>
      <c r="B7099" t="s">
        <v>26</v>
      </c>
      <c r="C7099" t="str">
        <f t="shared" si="222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21"/>
        <v>-3</v>
      </c>
    </row>
    <row r="7100" spans="1:8" x14ac:dyDescent="0.2">
      <c r="A7100" t="s">
        <v>7</v>
      </c>
      <c r="B7100" t="s">
        <v>26</v>
      </c>
      <c r="C7100" t="str">
        <f t="shared" si="222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21"/>
        <v>-3</v>
      </c>
    </row>
    <row r="7101" spans="1:8" x14ac:dyDescent="0.2">
      <c r="A7101" t="s">
        <v>7</v>
      </c>
      <c r="B7101" t="s">
        <v>26</v>
      </c>
      <c r="C7101" t="str">
        <f t="shared" si="222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21"/>
        <v>-3</v>
      </c>
    </row>
    <row r="7102" spans="1:8" x14ac:dyDescent="0.2">
      <c r="A7102" t="s">
        <v>7</v>
      </c>
      <c r="B7102" t="s">
        <v>26</v>
      </c>
      <c r="C7102" t="str">
        <f t="shared" si="222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21"/>
        <v>-3</v>
      </c>
    </row>
    <row r="7103" spans="1:8" x14ac:dyDescent="0.2">
      <c r="A7103" t="s">
        <v>7</v>
      </c>
      <c r="B7103" t="s">
        <v>26</v>
      </c>
      <c r="C7103" t="str">
        <f t="shared" si="222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21"/>
        <v>-3</v>
      </c>
    </row>
    <row r="7104" spans="1:8" x14ac:dyDescent="0.2">
      <c r="A7104" t="s">
        <v>7</v>
      </c>
      <c r="B7104" t="s">
        <v>26</v>
      </c>
      <c r="C7104" t="str">
        <f t="shared" si="222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21"/>
        <v>-3</v>
      </c>
    </row>
    <row r="7105" spans="1:8" x14ac:dyDescent="0.2">
      <c r="A7105" t="s">
        <v>7</v>
      </c>
      <c r="B7105" t="s">
        <v>26</v>
      </c>
      <c r="C7105" t="str">
        <f t="shared" si="222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21"/>
        <v>-3</v>
      </c>
    </row>
    <row r="7106" spans="1:8" x14ac:dyDescent="0.2">
      <c r="A7106" t="s">
        <v>7</v>
      </c>
      <c r="B7106" t="s">
        <v>26</v>
      </c>
      <c r="C7106" t="str">
        <f t="shared" si="222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21"/>
        <v>-3</v>
      </c>
    </row>
    <row r="7107" spans="1:8" x14ac:dyDescent="0.2">
      <c r="A7107" t="s">
        <v>7</v>
      </c>
      <c r="B7107" t="s">
        <v>26</v>
      </c>
      <c r="C7107" t="str">
        <f t="shared" si="222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ref="H7107:H7170" si="223">F7107-G7107</f>
        <v>-3</v>
      </c>
    </row>
    <row r="7108" spans="1:8" x14ac:dyDescent="0.2">
      <c r="A7108" t="s">
        <v>7</v>
      </c>
      <c r="B7108" t="s">
        <v>26</v>
      </c>
      <c r="C7108" t="str">
        <f t="shared" si="222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23"/>
        <v>-3</v>
      </c>
    </row>
    <row r="7109" spans="1:8" x14ac:dyDescent="0.2">
      <c r="A7109" t="s">
        <v>7</v>
      </c>
      <c r="B7109" t="s">
        <v>26</v>
      </c>
      <c r="C7109" t="str">
        <f t="shared" ref="C7109:C7172" si="224">IF(H7109&gt;=0,"Cumple","No cumple")</f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23"/>
        <v>-3</v>
      </c>
    </row>
    <row r="7110" spans="1:8" x14ac:dyDescent="0.2">
      <c r="A7110" t="s">
        <v>7</v>
      </c>
      <c r="B7110" t="s">
        <v>26</v>
      </c>
      <c r="C7110" t="str">
        <f t="shared" si="22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23"/>
        <v>-3</v>
      </c>
    </row>
    <row r="7111" spans="1:8" x14ac:dyDescent="0.2">
      <c r="A7111" t="s">
        <v>7</v>
      </c>
      <c r="B7111" t="s">
        <v>26</v>
      </c>
      <c r="C7111" t="str">
        <f t="shared" si="22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23"/>
        <v>-3</v>
      </c>
    </row>
    <row r="7112" spans="1:8" x14ac:dyDescent="0.2">
      <c r="A7112" t="s">
        <v>7</v>
      </c>
      <c r="B7112" t="s">
        <v>26</v>
      </c>
      <c r="C7112" t="str">
        <f t="shared" si="22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23"/>
        <v>-3</v>
      </c>
    </row>
    <row r="7113" spans="1:8" x14ac:dyDescent="0.2">
      <c r="A7113" t="s">
        <v>7</v>
      </c>
      <c r="B7113" t="s">
        <v>26</v>
      </c>
      <c r="C7113" t="str">
        <f t="shared" si="22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23"/>
        <v>-3</v>
      </c>
    </row>
    <row r="7114" spans="1:8" x14ac:dyDescent="0.2">
      <c r="A7114" t="s">
        <v>7</v>
      </c>
      <c r="B7114" t="s">
        <v>26</v>
      </c>
      <c r="C7114" t="str">
        <f t="shared" si="22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23"/>
        <v>-3</v>
      </c>
    </row>
    <row r="7115" spans="1:8" x14ac:dyDescent="0.2">
      <c r="A7115" t="s">
        <v>7</v>
      </c>
      <c r="B7115" t="s">
        <v>26</v>
      </c>
      <c r="C7115" t="str">
        <f t="shared" si="22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23"/>
        <v>-3</v>
      </c>
    </row>
    <row r="7116" spans="1:8" x14ac:dyDescent="0.2">
      <c r="A7116" t="s">
        <v>7</v>
      </c>
      <c r="B7116" t="s">
        <v>26</v>
      </c>
      <c r="C7116" t="str">
        <f t="shared" si="22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23"/>
        <v>-3</v>
      </c>
    </row>
    <row r="7117" spans="1:8" x14ac:dyDescent="0.2">
      <c r="A7117" t="s">
        <v>7</v>
      </c>
      <c r="B7117" t="s">
        <v>26</v>
      </c>
      <c r="C7117" t="str">
        <f t="shared" si="22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23"/>
        <v>-4</v>
      </c>
    </row>
    <row r="7118" spans="1:8" x14ac:dyDescent="0.2">
      <c r="A7118" t="s">
        <v>7</v>
      </c>
      <c r="B7118" t="s">
        <v>26</v>
      </c>
      <c r="C7118" t="str">
        <f t="shared" si="22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23"/>
        <v>-4</v>
      </c>
    </row>
    <row r="7119" spans="1:8" x14ac:dyDescent="0.2">
      <c r="A7119" t="s">
        <v>7</v>
      </c>
      <c r="B7119" t="s">
        <v>26</v>
      </c>
      <c r="C7119" t="str">
        <f t="shared" si="22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23"/>
        <v>-4</v>
      </c>
    </row>
    <row r="7120" spans="1:8" x14ac:dyDescent="0.2">
      <c r="A7120" t="s">
        <v>7</v>
      </c>
      <c r="B7120" t="s">
        <v>26</v>
      </c>
      <c r="C7120" t="str">
        <f t="shared" si="22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23"/>
        <v>-4</v>
      </c>
    </row>
    <row r="7121" spans="1:8" x14ac:dyDescent="0.2">
      <c r="A7121" t="s">
        <v>7</v>
      </c>
      <c r="B7121" t="s">
        <v>26</v>
      </c>
      <c r="C7121" t="str">
        <f t="shared" si="22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23"/>
        <v>-4</v>
      </c>
    </row>
    <row r="7122" spans="1:8" x14ac:dyDescent="0.2">
      <c r="A7122" t="s">
        <v>7</v>
      </c>
      <c r="B7122" t="s">
        <v>26</v>
      </c>
      <c r="C7122" t="str">
        <f t="shared" si="22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23"/>
        <v>-4</v>
      </c>
    </row>
    <row r="7123" spans="1:8" x14ac:dyDescent="0.2">
      <c r="A7123" t="s">
        <v>7</v>
      </c>
      <c r="B7123" t="s">
        <v>26</v>
      </c>
      <c r="C7123" t="str">
        <f t="shared" si="22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23"/>
        <v>-4</v>
      </c>
    </row>
    <row r="7124" spans="1:8" x14ac:dyDescent="0.2">
      <c r="A7124" t="s">
        <v>7</v>
      </c>
      <c r="B7124" t="s">
        <v>26</v>
      </c>
      <c r="C7124" t="str">
        <f t="shared" si="22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23"/>
        <v>-4</v>
      </c>
    </row>
    <row r="7125" spans="1:8" x14ac:dyDescent="0.2">
      <c r="A7125" t="s">
        <v>7</v>
      </c>
      <c r="B7125" t="s">
        <v>26</v>
      </c>
      <c r="C7125" t="str">
        <f t="shared" si="22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23"/>
        <v>-4</v>
      </c>
    </row>
    <row r="7126" spans="1:8" x14ac:dyDescent="0.2">
      <c r="A7126" t="s">
        <v>7</v>
      </c>
      <c r="B7126" t="s">
        <v>26</v>
      </c>
      <c r="C7126" t="str">
        <f t="shared" si="22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23"/>
        <v>-4</v>
      </c>
    </row>
    <row r="7127" spans="1:8" x14ac:dyDescent="0.2">
      <c r="A7127" t="s">
        <v>7</v>
      </c>
      <c r="B7127" t="s">
        <v>26</v>
      </c>
      <c r="C7127" t="str">
        <f t="shared" si="22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23"/>
        <v>-4</v>
      </c>
    </row>
    <row r="7128" spans="1:8" x14ac:dyDescent="0.2">
      <c r="A7128" t="s">
        <v>7</v>
      </c>
      <c r="B7128" t="s">
        <v>26</v>
      </c>
      <c r="C7128" t="str">
        <f t="shared" si="224"/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si="223"/>
        <v>-4</v>
      </c>
    </row>
    <row r="7129" spans="1:8" x14ac:dyDescent="0.2">
      <c r="A7129" t="s">
        <v>7</v>
      </c>
      <c r="B7129" t="s">
        <v>26</v>
      </c>
      <c r="C7129" t="str">
        <f t="shared" si="224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23"/>
        <v>-4</v>
      </c>
    </row>
    <row r="7130" spans="1:8" x14ac:dyDescent="0.2">
      <c r="A7130" t="s">
        <v>7</v>
      </c>
      <c r="B7130" t="s">
        <v>26</v>
      </c>
      <c r="C7130" t="str">
        <f t="shared" si="224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23"/>
        <v>-4</v>
      </c>
    </row>
    <row r="7131" spans="1:8" x14ac:dyDescent="0.2">
      <c r="A7131" t="s">
        <v>7</v>
      </c>
      <c r="B7131" t="s">
        <v>26</v>
      </c>
      <c r="C7131" t="str">
        <f t="shared" si="224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23"/>
        <v>-4</v>
      </c>
    </row>
    <row r="7132" spans="1:8" x14ac:dyDescent="0.2">
      <c r="A7132" t="s">
        <v>7</v>
      </c>
      <c r="B7132" t="s">
        <v>26</v>
      </c>
      <c r="C7132" t="str">
        <f t="shared" si="224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23"/>
        <v>-4</v>
      </c>
    </row>
    <row r="7133" spans="1:8" x14ac:dyDescent="0.2">
      <c r="A7133" t="s">
        <v>7</v>
      </c>
      <c r="B7133" t="s">
        <v>26</v>
      </c>
      <c r="C7133" t="str">
        <f t="shared" si="224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23"/>
        <v>-4</v>
      </c>
    </row>
    <row r="7134" spans="1:8" x14ac:dyDescent="0.2">
      <c r="A7134" t="s">
        <v>7</v>
      </c>
      <c r="B7134" t="s">
        <v>26</v>
      </c>
      <c r="C7134" t="str">
        <f t="shared" si="224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23"/>
        <v>-4</v>
      </c>
    </row>
    <row r="7135" spans="1:8" x14ac:dyDescent="0.2">
      <c r="A7135" t="s">
        <v>7</v>
      </c>
      <c r="B7135" t="s">
        <v>26</v>
      </c>
      <c r="C7135" t="str">
        <f t="shared" si="224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23"/>
        <v>-4</v>
      </c>
    </row>
    <row r="7136" spans="1:8" x14ac:dyDescent="0.2">
      <c r="A7136" t="s">
        <v>7</v>
      </c>
      <c r="B7136" t="s">
        <v>26</v>
      </c>
      <c r="C7136" t="str">
        <f t="shared" si="224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23"/>
        <v>-5</v>
      </c>
    </row>
    <row r="7137" spans="1:8" x14ac:dyDescent="0.2">
      <c r="A7137" t="s">
        <v>7</v>
      </c>
      <c r="B7137" t="s">
        <v>26</v>
      </c>
      <c r="C7137" t="str">
        <f t="shared" si="224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23"/>
        <v>-5</v>
      </c>
    </row>
    <row r="7138" spans="1:8" x14ac:dyDescent="0.2">
      <c r="A7138" t="s">
        <v>7</v>
      </c>
      <c r="B7138" t="s">
        <v>26</v>
      </c>
      <c r="C7138" t="str">
        <f t="shared" si="224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23"/>
        <v>-5</v>
      </c>
    </row>
    <row r="7139" spans="1:8" x14ac:dyDescent="0.2">
      <c r="A7139" t="s">
        <v>7</v>
      </c>
      <c r="B7139" t="s">
        <v>26</v>
      </c>
      <c r="C7139" t="str">
        <f t="shared" si="224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23"/>
        <v>-5</v>
      </c>
    </row>
    <row r="7140" spans="1:8" x14ac:dyDescent="0.2">
      <c r="A7140" t="s">
        <v>7</v>
      </c>
      <c r="B7140" t="s">
        <v>26</v>
      </c>
      <c r="C7140" t="str">
        <f t="shared" si="224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23"/>
        <v>-5</v>
      </c>
    </row>
    <row r="7141" spans="1:8" x14ac:dyDescent="0.2">
      <c r="A7141" t="s">
        <v>7</v>
      </c>
      <c r="B7141" t="s">
        <v>26</v>
      </c>
      <c r="C7141" t="str">
        <f t="shared" si="224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23"/>
        <v>-5</v>
      </c>
    </row>
    <row r="7142" spans="1:8" x14ac:dyDescent="0.2">
      <c r="A7142" t="s">
        <v>7</v>
      </c>
      <c r="B7142" t="s">
        <v>26</v>
      </c>
      <c r="C7142" t="str">
        <f t="shared" si="224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23"/>
        <v>0</v>
      </c>
    </row>
    <row r="7143" spans="1:8" x14ac:dyDescent="0.2">
      <c r="A7143" t="s">
        <v>7</v>
      </c>
      <c r="B7143" t="s">
        <v>26</v>
      </c>
      <c r="C7143" t="str">
        <f t="shared" si="224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23"/>
        <v>-5</v>
      </c>
    </row>
    <row r="7144" spans="1:8" x14ac:dyDescent="0.2">
      <c r="A7144" t="s">
        <v>7</v>
      </c>
      <c r="B7144" t="s">
        <v>26</v>
      </c>
      <c r="C7144" t="str">
        <f t="shared" si="224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23"/>
        <v>-5</v>
      </c>
    </row>
    <row r="7145" spans="1:8" x14ac:dyDescent="0.2">
      <c r="A7145" t="s">
        <v>7</v>
      </c>
      <c r="B7145" t="s">
        <v>26</v>
      </c>
      <c r="C7145" t="str">
        <f t="shared" si="224"/>
        <v>Cumple</v>
      </c>
      <c r="D7145">
        <v>2672</v>
      </c>
      <c r="E7145" t="s">
        <v>8</v>
      </c>
      <c r="F7145" s="9">
        <v>6</v>
      </c>
      <c r="G7145">
        <v>6</v>
      </c>
      <c r="H7145">
        <f t="shared" si="223"/>
        <v>0</v>
      </c>
    </row>
    <row r="7146" spans="1:8" x14ac:dyDescent="0.2">
      <c r="A7146" t="s">
        <v>7</v>
      </c>
      <c r="B7146" t="s">
        <v>26</v>
      </c>
      <c r="C7146" t="str">
        <f t="shared" si="224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23"/>
        <v>-5</v>
      </c>
    </row>
    <row r="7147" spans="1:8" x14ac:dyDescent="0.2">
      <c r="A7147" t="s">
        <v>7</v>
      </c>
      <c r="B7147" t="s">
        <v>26</v>
      </c>
      <c r="C7147" t="str">
        <f t="shared" si="224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23"/>
        <v>-5</v>
      </c>
    </row>
    <row r="7148" spans="1:8" x14ac:dyDescent="0.2">
      <c r="A7148" t="s">
        <v>7</v>
      </c>
      <c r="B7148" t="s">
        <v>26</v>
      </c>
      <c r="C7148" t="str">
        <f t="shared" si="224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23"/>
        <v>-5</v>
      </c>
    </row>
    <row r="7149" spans="1:8" x14ac:dyDescent="0.2">
      <c r="A7149" t="s">
        <v>7</v>
      </c>
      <c r="B7149" t="s">
        <v>26</v>
      </c>
      <c r="C7149" t="str">
        <f t="shared" si="224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23"/>
        <v>-5</v>
      </c>
    </row>
    <row r="7150" spans="1:8" x14ac:dyDescent="0.2">
      <c r="A7150" t="s">
        <v>7</v>
      </c>
      <c r="B7150" t="s">
        <v>26</v>
      </c>
      <c r="C7150" t="str">
        <f t="shared" si="224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23"/>
        <v>0</v>
      </c>
    </row>
    <row r="7151" spans="1:8" x14ac:dyDescent="0.2">
      <c r="A7151" t="s">
        <v>7</v>
      </c>
      <c r="B7151" t="s">
        <v>26</v>
      </c>
      <c r="C7151" t="str">
        <f t="shared" si="224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23"/>
        <v>-5</v>
      </c>
    </row>
    <row r="7152" spans="1:8" x14ac:dyDescent="0.2">
      <c r="A7152" t="s">
        <v>7</v>
      </c>
      <c r="B7152" t="s">
        <v>26</v>
      </c>
      <c r="C7152" t="str">
        <f t="shared" si="224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23"/>
        <v>-5</v>
      </c>
    </row>
    <row r="7153" spans="1:8" x14ac:dyDescent="0.2">
      <c r="A7153" t="s">
        <v>7</v>
      </c>
      <c r="B7153" t="s">
        <v>26</v>
      </c>
      <c r="C7153" t="str">
        <f t="shared" si="224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23"/>
        <v>-5</v>
      </c>
    </row>
    <row r="7154" spans="1:8" x14ac:dyDescent="0.2">
      <c r="A7154" t="s">
        <v>7</v>
      </c>
      <c r="B7154" t="s">
        <v>26</v>
      </c>
      <c r="C7154" t="str">
        <f t="shared" si="224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23"/>
        <v>-5</v>
      </c>
    </row>
    <row r="7155" spans="1:8" x14ac:dyDescent="0.2">
      <c r="A7155" t="s">
        <v>7</v>
      </c>
      <c r="B7155" t="s">
        <v>26</v>
      </c>
      <c r="C7155" t="str">
        <f t="shared" si="224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23"/>
        <v>-5</v>
      </c>
    </row>
    <row r="7156" spans="1:8" x14ac:dyDescent="0.2">
      <c r="A7156" t="s">
        <v>7</v>
      </c>
      <c r="B7156" t="s">
        <v>26</v>
      </c>
      <c r="C7156" t="str">
        <f t="shared" si="224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23"/>
        <v>-5</v>
      </c>
    </row>
    <row r="7157" spans="1:8" x14ac:dyDescent="0.2">
      <c r="A7157" t="s">
        <v>7</v>
      </c>
      <c r="B7157" t="s">
        <v>26</v>
      </c>
      <c r="C7157" t="str">
        <f t="shared" si="224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23"/>
        <v>-5</v>
      </c>
    </row>
    <row r="7158" spans="1:8" x14ac:dyDescent="0.2">
      <c r="A7158" t="s">
        <v>7</v>
      </c>
      <c r="B7158" t="s">
        <v>26</v>
      </c>
      <c r="C7158" t="str">
        <f t="shared" si="224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23"/>
        <v>-5</v>
      </c>
    </row>
    <row r="7159" spans="1:8" x14ac:dyDescent="0.2">
      <c r="A7159" t="s">
        <v>7</v>
      </c>
      <c r="B7159" t="s">
        <v>26</v>
      </c>
      <c r="C7159" t="str">
        <f t="shared" si="224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23"/>
        <v>-5</v>
      </c>
    </row>
    <row r="7160" spans="1:8" x14ac:dyDescent="0.2">
      <c r="A7160" t="s">
        <v>7</v>
      </c>
      <c r="B7160" t="s">
        <v>26</v>
      </c>
      <c r="C7160" t="str">
        <f t="shared" si="224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23"/>
        <v>-5</v>
      </c>
    </row>
    <row r="7161" spans="1:8" x14ac:dyDescent="0.2">
      <c r="A7161" t="s">
        <v>7</v>
      </c>
      <c r="B7161" t="s">
        <v>26</v>
      </c>
      <c r="C7161" t="str">
        <f t="shared" si="224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23"/>
        <v>-5</v>
      </c>
    </row>
    <row r="7162" spans="1:8" x14ac:dyDescent="0.2">
      <c r="A7162" t="s">
        <v>7</v>
      </c>
      <c r="B7162" t="s">
        <v>26</v>
      </c>
      <c r="C7162" t="str">
        <f t="shared" si="224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23"/>
        <v>-5</v>
      </c>
    </row>
    <row r="7163" spans="1:8" x14ac:dyDescent="0.2">
      <c r="A7163" t="s">
        <v>7</v>
      </c>
      <c r="B7163" t="s">
        <v>26</v>
      </c>
      <c r="C7163" t="str">
        <f t="shared" si="224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23"/>
        <v>-5</v>
      </c>
    </row>
    <row r="7164" spans="1:8" x14ac:dyDescent="0.2">
      <c r="A7164" t="s">
        <v>7</v>
      </c>
      <c r="B7164" t="s">
        <v>26</v>
      </c>
      <c r="C7164" t="str">
        <f t="shared" si="224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23"/>
        <v>-5</v>
      </c>
    </row>
    <row r="7165" spans="1:8" x14ac:dyDescent="0.2">
      <c r="A7165" t="s">
        <v>7</v>
      </c>
      <c r="B7165" t="s">
        <v>26</v>
      </c>
      <c r="C7165" t="str">
        <f t="shared" si="224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23"/>
        <v>-5</v>
      </c>
    </row>
    <row r="7166" spans="1:8" x14ac:dyDescent="0.2">
      <c r="A7166" t="s">
        <v>7</v>
      </c>
      <c r="B7166" t="s">
        <v>26</v>
      </c>
      <c r="C7166" t="str">
        <f t="shared" si="224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23"/>
        <v>-5</v>
      </c>
    </row>
    <row r="7167" spans="1:8" x14ac:dyDescent="0.2">
      <c r="A7167" t="s">
        <v>7</v>
      </c>
      <c r="B7167" t="s">
        <v>26</v>
      </c>
      <c r="C7167" t="str">
        <f t="shared" si="224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23"/>
        <v>-5</v>
      </c>
    </row>
    <row r="7168" spans="1:8" x14ac:dyDescent="0.2">
      <c r="A7168" t="s">
        <v>7</v>
      </c>
      <c r="B7168" t="s">
        <v>26</v>
      </c>
      <c r="C7168" t="str">
        <f t="shared" si="224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23"/>
        <v>-7</v>
      </c>
    </row>
    <row r="7169" spans="1:8" x14ac:dyDescent="0.2">
      <c r="A7169" t="s">
        <v>7</v>
      </c>
      <c r="B7169" t="s">
        <v>26</v>
      </c>
      <c r="C7169" t="str">
        <f t="shared" si="224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23"/>
        <v>-5</v>
      </c>
    </row>
    <row r="7170" spans="1:8" x14ac:dyDescent="0.2">
      <c r="A7170" t="s">
        <v>7</v>
      </c>
      <c r="B7170" t="s">
        <v>26</v>
      </c>
      <c r="C7170" t="str">
        <f t="shared" si="224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23"/>
        <v>-5</v>
      </c>
    </row>
    <row r="7171" spans="1:8" x14ac:dyDescent="0.2">
      <c r="A7171" t="s">
        <v>7</v>
      </c>
      <c r="B7171" t="s">
        <v>26</v>
      </c>
      <c r="C7171" t="str">
        <f t="shared" si="224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ref="H7171:H7234" si="225">F7171-G7171</f>
        <v>-5</v>
      </c>
    </row>
    <row r="7172" spans="1:8" x14ac:dyDescent="0.2">
      <c r="A7172" t="s">
        <v>18</v>
      </c>
      <c r="B7172" t="s">
        <v>26</v>
      </c>
      <c r="C7172" t="str">
        <f t="shared" si="224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25"/>
        <v>-6</v>
      </c>
    </row>
    <row r="7173" spans="1:8" x14ac:dyDescent="0.2">
      <c r="A7173" t="s">
        <v>7</v>
      </c>
      <c r="B7173" t="s">
        <v>26</v>
      </c>
      <c r="C7173" t="str">
        <f t="shared" ref="C7173:C7236" si="226">IF(H7173&gt;=0,"Cumple","No cumple")</f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25"/>
        <v>-6</v>
      </c>
    </row>
    <row r="7174" spans="1:8" x14ac:dyDescent="0.2">
      <c r="A7174" t="s">
        <v>7</v>
      </c>
      <c r="B7174" t="s">
        <v>26</v>
      </c>
      <c r="C7174" t="str">
        <f t="shared" si="22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25"/>
        <v>-6</v>
      </c>
    </row>
    <row r="7175" spans="1:8" x14ac:dyDescent="0.2">
      <c r="A7175" t="s">
        <v>18</v>
      </c>
      <c r="B7175" t="s">
        <v>26</v>
      </c>
      <c r="C7175" t="str">
        <f t="shared" si="22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25"/>
        <v>0</v>
      </c>
    </row>
    <row r="7176" spans="1:8" x14ac:dyDescent="0.2">
      <c r="A7176" t="s">
        <v>18</v>
      </c>
      <c r="B7176" t="s">
        <v>26</v>
      </c>
      <c r="C7176" t="str">
        <f t="shared" si="22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25"/>
        <v>-6</v>
      </c>
    </row>
    <row r="7177" spans="1:8" x14ac:dyDescent="0.2">
      <c r="A7177" t="s">
        <v>18</v>
      </c>
      <c r="B7177" t="s">
        <v>26</v>
      </c>
      <c r="C7177" t="str">
        <f t="shared" si="22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25"/>
        <v>-6</v>
      </c>
    </row>
    <row r="7178" spans="1:8" x14ac:dyDescent="0.2">
      <c r="A7178" t="s">
        <v>18</v>
      </c>
      <c r="B7178" t="s">
        <v>26</v>
      </c>
      <c r="C7178" t="str">
        <f t="shared" si="22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25"/>
        <v>-6</v>
      </c>
    </row>
    <row r="7179" spans="1:8" x14ac:dyDescent="0.2">
      <c r="A7179" t="s">
        <v>18</v>
      </c>
      <c r="B7179" t="s">
        <v>26</v>
      </c>
      <c r="C7179" t="str">
        <f t="shared" si="22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25"/>
        <v>-6</v>
      </c>
    </row>
    <row r="7180" spans="1:8" x14ac:dyDescent="0.2">
      <c r="A7180" t="s">
        <v>7</v>
      </c>
      <c r="B7180" t="s">
        <v>26</v>
      </c>
      <c r="C7180" t="str">
        <f t="shared" si="22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25"/>
        <v>-6</v>
      </c>
    </row>
    <row r="7181" spans="1:8" x14ac:dyDescent="0.2">
      <c r="A7181" t="s">
        <v>7</v>
      </c>
      <c r="B7181" t="s">
        <v>26</v>
      </c>
      <c r="C7181" t="str">
        <f t="shared" si="22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25"/>
        <v>-6</v>
      </c>
    </row>
    <row r="7182" spans="1:8" x14ac:dyDescent="0.2">
      <c r="A7182" t="s">
        <v>7</v>
      </c>
      <c r="B7182" t="s">
        <v>26</v>
      </c>
      <c r="C7182" t="str">
        <f t="shared" si="22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25"/>
        <v>-6</v>
      </c>
    </row>
    <row r="7183" spans="1:8" x14ac:dyDescent="0.2">
      <c r="A7183" t="s">
        <v>7</v>
      </c>
      <c r="B7183" t="s">
        <v>26</v>
      </c>
      <c r="C7183" t="str">
        <f t="shared" si="22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25"/>
        <v>-6</v>
      </c>
    </row>
    <row r="7184" spans="1:8" x14ac:dyDescent="0.2">
      <c r="A7184" t="s">
        <v>7</v>
      </c>
      <c r="B7184" t="s">
        <v>26</v>
      </c>
      <c r="C7184" t="str">
        <f t="shared" si="22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25"/>
        <v>-6</v>
      </c>
    </row>
    <row r="7185" spans="1:8" x14ac:dyDescent="0.2">
      <c r="A7185" t="s">
        <v>19</v>
      </c>
      <c r="B7185" t="s">
        <v>26</v>
      </c>
      <c r="C7185" t="str">
        <f t="shared" si="22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25"/>
        <v>-6</v>
      </c>
    </row>
    <row r="7186" spans="1:8" x14ac:dyDescent="0.2">
      <c r="A7186" t="s">
        <v>7</v>
      </c>
      <c r="B7186" t="s">
        <v>26</v>
      </c>
      <c r="C7186" t="str">
        <f t="shared" si="22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25"/>
        <v>-6</v>
      </c>
    </row>
    <row r="7187" spans="1:8" x14ac:dyDescent="0.2">
      <c r="A7187" t="s">
        <v>19</v>
      </c>
      <c r="B7187" t="s">
        <v>26</v>
      </c>
      <c r="C7187" t="str">
        <f t="shared" si="22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25"/>
        <v>-6</v>
      </c>
    </row>
    <row r="7188" spans="1:8" x14ac:dyDescent="0.2">
      <c r="A7188" t="s">
        <v>7</v>
      </c>
      <c r="B7188" t="s">
        <v>26</v>
      </c>
      <c r="C7188" t="str">
        <f t="shared" si="22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25"/>
        <v>-6</v>
      </c>
    </row>
    <row r="7189" spans="1:8" x14ac:dyDescent="0.2">
      <c r="A7189" t="s">
        <v>18</v>
      </c>
      <c r="B7189" t="s">
        <v>26</v>
      </c>
      <c r="C7189" t="str">
        <f t="shared" si="22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25"/>
        <v>-6</v>
      </c>
    </row>
    <row r="7190" spans="1:8" x14ac:dyDescent="0.2">
      <c r="A7190" t="s">
        <v>18</v>
      </c>
      <c r="B7190" t="s">
        <v>26</v>
      </c>
      <c r="C7190" t="str">
        <f t="shared" si="22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25"/>
        <v>-6</v>
      </c>
    </row>
    <row r="7191" spans="1:8" x14ac:dyDescent="0.2">
      <c r="A7191" t="s">
        <v>7</v>
      </c>
      <c r="B7191" t="s">
        <v>26</v>
      </c>
      <c r="C7191" t="str">
        <f t="shared" si="22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25"/>
        <v>-6</v>
      </c>
    </row>
    <row r="7192" spans="1:8" x14ac:dyDescent="0.2">
      <c r="A7192" t="s">
        <v>18</v>
      </c>
      <c r="B7192" t="s">
        <v>26</v>
      </c>
      <c r="C7192" t="str">
        <f t="shared" si="226"/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si="225"/>
        <v>-6</v>
      </c>
    </row>
    <row r="7193" spans="1:8" x14ac:dyDescent="0.2">
      <c r="A7193" t="s">
        <v>18</v>
      </c>
      <c r="B7193" t="s">
        <v>26</v>
      </c>
      <c r="C7193" t="str">
        <f t="shared" si="226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25"/>
        <v>-6</v>
      </c>
    </row>
    <row r="7194" spans="1:8" x14ac:dyDescent="0.2">
      <c r="A7194" t="s">
        <v>18</v>
      </c>
      <c r="B7194" t="s">
        <v>26</v>
      </c>
      <c r="C7194" t="str">
        <f t="shared" si="226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25"/>
        <v>-6</v>
      </c>
    </row>
    <row r="7195" spans="1:8" x14ac:dyDescent="0.2">
      <c r="A7195" t="s">
        <v>18</v>
      </c>
      <c r="B7195" t="s">
        <v>26</v>
      </c>
      <c r="C7195" t="str">
        <f t="shared" si="226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25"/>
        <v>-6</v>
      </c>
    </row>
    <row r="7196" spans="1:8" x14ac:dyDescent="0.2">
      <c r="A7196" t="s">
        <v>18</v>
      </c>
      <c r="B7196" t="s">
        <v>26</v>
      </c>
      <c r="C7196" t="str">
        <f t="shared" si="226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25"/>
        <v>-6</v>
      </c>
    </row>
    <row r="7197" spans="1:8" x14ac:dyDescent="0.2">
      <c r="A7197" t="s">
        <v>7</v>
      </c>
      <c r="B7197" t="s">
        <v>26</v>
      </c>
      <c r="C7197" t="str">
        <f t="shared" si="226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25"/>
        <v>-6</v>
      </c>
    </row>
    <row r="7198" spans="1:8" x14ac:dyDescent="0.2">
      <c r="A7198" t="s">
        <v>7</v>
      </c>
      <c r="B7198" t="s">
        <v>26</v>
      </c>
      <c r="C7198" t="str">
        <f t="shared" si="226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25"/>
        <v>-6</v>
      </c>
    </row>
    <row r="7199" spans="1:8" x14ac:dyDescent="0.2">
      <c r="A7199" t="s">
        <v>7</v>
      </c>
      <c r="B7199" t="s">
        <v>26</v>
      </c>
      <c r="C7199" t="str">
        <f t="shared" si="226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25"/>
        <v>-6</v>
      </c>
    </row>
    <row r="7200" spans="1:8" x14ac:dyDescent="0.2">
      <c r="A7200" t="s">
        <v>7</v>
      </c>
      <c r="B7200" t="s">
        <v>26</v>
      </c>
      <c r="C7200" t="str">
        <f t="shared" si="226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25"/>
        <v>-6</v>
      </c>
    </row>
    <row r="7201" spans="1:8" x14ac:dyDescent="0.2">
      <c r="A7201" t="s">
        <v>18</v>
      </c>
      <c r="B7201" t="s">
        <v>26</v>
      </c>
      <c r="C7201" t="str">
        <f t="shared" si="226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25"/>
        <v>-6</v>
      </c>
    </row>
    <row r="7202" spans="1:8" x14ac:dyDescent="0.2">
      <c r="A7202" t="s">
        <v>18</v>
      </c>
      <c r="B7202" t="s">
        <v>26</v>
      </c>
      <c r="C7202" t="str">
        <f t="shared" si="226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25"/>
        <v>-6</v>
      </c>
    </row>
    <row r="7203" spans="1:8" x14ac:dyDescent="0.2">
      <c r="A7203" t="s">
        <v>7</v>
      </c>
      <c r="B7203" t="s">
        <v>26</v>
      </c>
      <c r="C7203" t="str">
        <f t="shared" si="226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25"/>
        <v>-6</v>
      </c>
    </row>
    <row r="7204" spans="1:8" x14ac:dyDescent="0.2">
      <c r="A7204" t="s">
        <v>7</v>
      </c>
      <c r="B7204" t="s">
        <v>26</v>
      </c>
      <c r="C7204" t="str">
        <f t="shared" si="226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25"/>
        <v>-8</v>
      </c>
    </row>
    <row r="7205" spans="1:8" x14ac:dyDescent="0.2">
      <c r="A7205" t="s">
        <v>7</v>
      </c>
      <c r="B7205" t="s">
        <v>26</v>
      </c>
      <c r="C7205" t="str">
        <f t="shared" si="226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25"/>
        <v>-6</v>
      </c>
    </row>
    <row r="7206" spans="1:8" x14ac:dyDescent="0.2">
      <c r="A7206" t="s">
        <v>7</v>
      </c>
      <c r="B7206" t="s">
        <v>26</v>
      </c>
      <c r="C7206" t="str">
        <f t="shared" si="226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25"/>
        <v>-6</v>
      </c>
    </row>
    <row r="7207" spans="1:8" x14ac:dyDescent="0.2">
      <c r="A7207" t="s">
        <v>18</v>
      </c>
      <c r="B7207" t="s">
        <v>26</v>
      </c>
      <c r="C7207" t="str">
        <f t="shared" si="226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25"/>
        <v>-6</v>
      </c>
    </row>
    <row r="7208" spans="1:8" x14ac:dyDescent="0.2">
      <c r="A7208" t="s">
        <v>18</v>
      </c>
      <c r="B7208" t="s">
        <v>26</v>
      </c>
      <c r="C7208" t="str">
        <f t="shared" si="226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25"/>
        <v>-6</v>
      </c>
    </row>
    <row r="7209" spans="1:8" x14ac:dyDescent="0.2">
      <c r="A7209" t="s">
        <v>7</v>
      </c>
      <c r="B7209" t="s">
        <v>26</v>
      </c>
      <c r="C7209" t="str">
        <f t="shared" si="226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25"/>
        <v>-6</v>
      </c>
    </row>
    <row r="7210" spans="1:8" x14ac:dyDescent="0.2">
      <c r="A7210" t="s">
        <v>7</v>
      </c>
      <c r="B7210" t="s">
        <v>26</v>
      </c>
      <c r="C7210" t="str">
        <f t="shared" si="226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25"/>
        <v>-6</v>
      </c>
    </row>
    <row r="7211" spans="1:8" x14ac:dyDescent="0.2">
      <c r="A7211" t="s">
        <v>7</v>
      </c>
      <c r="B7211" t="s">
        <v>26</v>
      </c>
      <c r="C7211" t="str">
        <f t="shared" si="226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25"/>
        <v>-6</v>
      </c>
    </row>
    <row r="7212" spans="1:8" x14ac:dyDescent="0.2">
      <c r="A7212" t="s">
        <v>7</v>
      </c>
      <c r="B7212" t="s">
        <v>26</v>
      </c>
      <c r="C7212" t="str">
        <f t="shared" si="226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25"/>
        <v>-6</v>
      </c>
    </row>
    <row r="7213" spans="1:8" x14ac:dyDescent="0.2">
      <c r="A7213" t="s">
        <v>7</v>
      </c>
      <c r="B7213" t="s">
        <v>26</v>
      </c>
      <c r="C7213" t="str">
        <f t="shared" si="226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25"/>
        <v>-6</v>
      </c>
    </row>
    <row r="7214" spans="1:8" x14ac:dyDescent="0.2">
      <c r="A7214" t="s">
        <v>18</v>
      </c>
      <c r="B7214" t="s">
        <v>26</v>
      </c>
      <c r="C7214" t="str">
        <f t="shared" si="226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25"/>
        <v>-6</v>
      </c>
    </row>
    <row r="7215" spans="1:8" x14ac:dyDescent="0.2">
      <c r="A7215" t="s">
        <v>18</v>
      </c>
      <c r="B7215" t="s">
        <v>26</v>
      </c>
      <c r="C7215" t="str">
        <f t="shared" si="226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25"/>
        <v>-6</v>
      </c>
    </row>
    <row r="7216" spans="1:8" x14ac:dyDescent="0.2">
      <c r="A7216" t="s">
        <v>18</v>
      </c>
      <c r="B7216" t="s">
        <v>26</v>
      </c>
      <c r="C7216" t="str">
        <f t="shared" si="226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25"/>
        <v>-6</v>
      </c>
    </row>
    <row r="7217" spans="1:8" x14ac:dyDescent="0.2">
      <c r="A7217" t="s">
        <v>18</v>
      </c>
      <c r="B7217" t="s">
        <v>26</v>
      </c>
      <c r="C7217" t="str">
        <f t="shared" si="226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25"/>
        <v>-6</v>
      </c>
    </row>
    <row r="7218" spans="1:8" x14ac:dyDescent="0.2">
      <c r="A7218" t="s">
        <v>7</v>
      </c>
      <c r="B7218" t="s">
        <v>26</v>
      </c>
      <c r="C7218" t="str">
        <f t="shared" si="226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25"/>
        <v>-6</v>
      </c>
    </row>
    <row r="7219" spans="1:8" x14ac:dyDescent="0.2">
      <c r="A7219" t="s">
        <v>19</v>
      </c>
      <c r="B7219" t="s">
        <v>26</v>
      </c>
      <c r="C7219" t="str">
        <f t="shared" si="226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25"/>
        <v>-6</v>
      </c>
    </row>
    <row r="7220" spans="1:8" x14ac:dyDescent="0.2">
      <c r="A7220" t="s">
        <v>18</v>
      </c>
      <c r="B7220" t="s">
        <v>26</v>
      </c>
      <c r="C7220" t="str">
        <f t="shared" si="226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25"/>
        <v>-6</v>
      </c>
    </row>
    <row r="7221" spans="1:8" x14ac:dyDescent="0.2">
      <c r="A7221" t="s">
        <v>19</v>
      </c>
      <c r="B7221" t="s">
        <v>26</v>
      </c>
      <c r="C7221" t="str">
        <f t="shared" si="226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25"/>
        <v>-6</v>
      </c>
    </row>
    <row r="7222" spans="1:8" x14ac:dyDescent="0.2">
      <c r="A7222" t="s">
        <v>7</v>
      </c>
      <c r="B7222" t="s">
        <v>26</v>
      </c>
      <c r="C7222" t="str">
        <f t="shared" si="226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25"/>
        <v>-6</v>
      </c>
    </row>
    <row r="7223" spans="1:8" x14ac:dyDescent="0.2">
      <c r="A7223" t="s">
        <v>7</v>
      </c>
      <c r="B7223" t="s">
        <v>26</v>
      </c>
      <c r="C7223" t="str">
        <f t="shared" si="226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25"/>
        <v>-6</v>
      </c>
    </row>
    <row r="7224" spans="1:8" x14ac:dyDescent="0.2">
      <c r="A7224" t="s">
        <v>19</v>
      </c>
      <c r="B7224" t="s">
        <v>26</v>
      </c>
      <c r="C7224" t="str">
        <f t="shared" si="226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25"/>
        <v>-6</v>
      </c>
    </row>
    <row r="7225" spans="1:8" x14ac:dyDescent="0.2">
      <c r="A7225" t="s">
        <v>18</v>
      </c>
      <c r="B7225" t="s">
        <v>26</v>
      </c>
      <c r="C7225" t="str">
        <f t="shared" si="226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25"/>
        <v>-6</v>
      </c>
    </row>
    <row r="7226" spans="1:8" x14ac:dyDescent="0.2">
      <c r="A7226" t="s">
        <v>19</v>
      </c>
      <c r="B7226" t="s">
        <v>26</v>
      </c>
      <c r="C7226" t="str">
        <f t="shared" si="226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25"/>
        <v>-6</v>
      </c>
    </row>
    <row r="7227" spans="1:8" x14ac:dyDescent="0.2">
      <c r="A7227" t="s">
        <v>7</v>
      </c>
      <c r="B7227" t="s">
        <v>26</v>
      </c>
      <c r="C7227" t="str">
        <f t="shared" si="226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25"/>
        <v>-6</v>
      </c>
    </row>
    <row r="7228" spans="1:8" x14ac:dyDescent="0.2">
      <c r="A7228" t="s">
        <v>18</v>
      </c>
      <c r="B7228" t="s">
        <v>26</v>
      </c>
      <c r="C7228" t="str">
        <f t="shared" si="226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25"/>
        <v>-6</v>
      </c>
    </row>
    <row r="7229" spans="1:8" x14ac:dyDescent="0.2">
      <c r="A7229" t="s">
        <v>19</v>
      </c>
      <c r="B7229" t="s">
        <v>26</v>
      </c>
      <c r="C7229" t="str">
        <f t="shared" si="226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25"/>
        <v>-6</v>
      </c>
    </row>
    <row r="7230" spans="1:8" x14ac:dyDescent="0.2">
      <c r="A7230" t="s">
        <v>7</v>
      </c>
      <c r="B7230" t="s">
        <v>26</v>
      </c>
      <c r="C7230" t="str">
        <f t="shared" si="226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25"/>
        <v>-6</v>
      </c>
    </row>
    <row r="7231" spans="1:8" x14ac:dyDescent="0.2">
      <c r="A7231" t="s">
        <v>7</v>
      </c>
      <c r="B7231" t="s">
        <v>26</v>
      </c>
      <c r="C7231" t="str">
        <f t="shared" si="226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25"/>
        <v>-6</v>
      </c>
    </row>
    <row r="7232" spans="1:8" x14ac:dyDescent="0.2">
      <c r="A7232" t="s">
        <v>18</v>
      </c>
      <c r="B7232" t="s">
        <v>26</v>
      </c>
      <c r="C7232" t="str">
        <f t="shared" si="226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25"/>
        <v>-6</v>
      </c>
    </row>
    <row r="7233" spans="1:8" x14ac:dyDescent="0.2">
      <c r="A7233" t="s">
        <v>18</v>
      </c>
      <c r="B7233" t="s">
        <v>26</v>
      </c>
      <c r="C7233" t="str">
        <f t="shared" si="226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25"/>
        <v>-6</v>
      </c>
    </row>
    <row r="7234" spans="1:8" x14ac:dyDescent="0.2">
      <c r="A7234" t="s">
        <v>7</v>
      </c>
      <c r="B7234" t="s">
        <v>26</v>
      </c>
      <c r="C7234" t="str">
        <f t="shared" si="226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25"/>
        <v>-6</v>
      </c>
    </row>
    <row r="7235" spans="1:8" x14ac:dyDescent="0.2">
      <c r="A7235" t="s">
        <v>19</v>
      </c>
      <c r="B7235" t="s">
        <v>26</v>
      </c>
      <c r="C7235" t="str">
        <f t="shared" si="226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ref="H7235:H7298" si="227">F7235-G7235</f>
        <v>-6</v>
      </c>
    </row>
    <row r="7236" spans="1:8" x14ac:dyDescent="0.2">
      <c r="A7236" t="s">
        <v>18</v>
      </c>
      <c r="B7236" t="s">
        <v>26</v>
      </c>
      <c r="C7236" t="str">
        <f t="shared" si="226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27"/>
        <v>-6</v>
      </c>
    </row>
    <row r="7237" spans="1:8" x14ac:dyDescent="0.2">
      <c r="A7237" t="s">
        <v>18</v>
      </c>
      <c r="B7237" t="s">
        <v>26</v>
      </c>
      <c r="C7237" t="str">
        <f t="shared" ref="C7237:C7300" si="228">IF(H7237&gt;=0,"Cumple","No cumple")</f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27"/>
        <v>-6</v>
      </c>
    </row>
    <row r="7238" spans="1:8" x14ac:dyDescent="0.2">
      <c r="A7238" t="s">
        <v>7</v>
      </c>
      <c r="B7238" t="s">
        <v>26</v>
      </c>
      <c r="C7238" t="str">
        <f t="shared" si="22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27"/>
        <v>-6</v>
      </c>
    </row>
    <row r="7239" spans="1:8" x14ac:dyDescent="0.2">
      <c r="A7239" t="s">
        <v>18</v>
      </c>
      <c r="B7239" t="s">
        <v>26</v>
      </c>
      <c r="C7239" t="str">
        <f t="shared" si="22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27"/>
        <v>-6</v>
      </c>
    </row>
    <row r="7240" spans="1:8" x14ac:dyDescent="0.2">
      <c r="A7240" t="s">
        <v>7</v>
      </c>
      <c r="B7240" t="s">
        <v>26</v>
      </c>
      <c r="C7240" t="str">
        <f t="shared" si="22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27"/>
        <v>0</v>
      </c>
    </row>
    <row r="7241" spans="1:8" x14ac:dyDescent="0.2">
      <c r="A7241" t="s">
        <v>18</v>
      </c>
      <c r="B7241" t="s">
        <v>26</v>
      </c>
      <c r="C7241" t="str">
        <f t="shared" si="22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27"/>
        <v>-6</v>
      </c>
    </row>
    <row r="7242" spans="1:8" x14ac:dyDescent="0.2">
      <c r="A7242" t="s">
        <v>7</v>
      </c>
      <c r="B7242" t="s">
        <v>26</v>
      </c>
      <c r="C7242" t="str">
        <f t="shared" si="22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27"/>
        <v>-6</v>
      </c>
    </row>
    <row r="7243" spans="1:8" x14ac:dyDescent="0.2">
      <c r="A7243" t="s">
        <v>19</v>
      </c>
      <c r="B7243" t="s">
        <v>26</v>
      </c>
      <c r="C7243" t="str">
        <f t="shared" si="22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27"/>
        <v>-6</v>
      </c>
    </row>
    <row r="7244" spans="1:8" x14ac:dyDescent="0.2">
      <c r="A7244" t="s">
        <v>18</v>
      </c>
      <c r="B7244" t="s">
        <v>26</v>
      </c>
      <c r="C7244" t="str">
        <f t="shared" si="22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27"/>
        <v>-6</v>
      </c>
    </row>
    <row r="7245" spans="1:8" x14ac:dyDescent="0.2">
      <c r="A7245" t="s">
        <v>7</v>
      </c>
      <c r="B7245" t="s">
        <v>26</v>
      </c>
      <c r="C7245" t="str">
        <f t="shared" si="22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27"/>
        <v>-6</v>
      </c>
    </row>
    <row r="7246" spans="1:8" x14ac:dyDescent="0.2">
      <c r="A7246" t="s">
        <v>18</v>
      </c>
      <c r="B7246" t="s">
        <v>26</v>
      </c>
      <c r="C7246" t="str">
        <f t="shared" si="22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27"/>
        <v>-6</v>
      </c>
    </row>
    <row r="7247" spans="1:8" x14ac:dyDescent="0.2">
      <c r="A7247" t="s">
        <v>7</v>
      </c>
      <c r="B7247" t="s">
        <v>26</v>
      </c>
      <c r="C7247" t="str">
        <f t="shared" si="22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27"/>
        <v>-6</v>
      </c>
    </row>
    <row r="7248" spans="1:8" x14ac:dyDescent="0.2">
      <c r="A7248" t="s">
        <v>7</v>
      </c>
      <c r="B7248" t="s">
        <v>26</v>
      </c>
      <c r="C7248" t="str">
        <f t="shared" si="22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27"/>
        <v>-6</v>
      </c>
    </row>
    <row r="7249" spans="1:8" x14ac:dyDescent="0.2">
      <c r="A7249" t="s">
        <v>19</v>
      </c>
      <c r="B7249" t="s">
        <v>26</v>
      </c>
      <c r="C7249" t="str">
        <f t="shared" si="22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27"/>
        <v>-6</v>
      </c>
    </row>
    <row r="7250" spans="1:8" x14ac:dyDescent="0.2">
      <c r="A7250" t="s">
        <v>18</v>
      </c>
      <c r="B7250" t="s">
        <v>26</v>
      </c>
      <c r="C7250" t="str">
        <f t="shared" si="22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27"/>
        <v>-6</v>
      </c>
    </row>
    <row r="7251" spans="1:8" x14ac:dyDescent="0.2">
      <c r="A7251" t="s">
        <v>7</v>
      </c>
      <c r="B7251" t="s">
        <v>26</v>
      </c>
      <c r="C7251" t="str">
        <f t="shared" si="22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27"/>
        <v>-6</v>
      </c>
    </row>
    <row r="7252" spans="1:8" x14ac:dyDescent="0.2">
      <c r="A7252" t="s">
        <v>7</v>
      </c>
      <c r="B7252" t="s">
        <v>26</v>
      </c>
      <c r="C7252" t="str">
        <f t="shared" si="22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27"/>
        <v>-6</v>
      </c>
    </row>
    <row r="7253" spans="1:8" x14ac:dyDescent="0.2">
      <c r="A7253" t="s">
        <v>19</v>
      </c>
      <c r="B7253" t="s">
        <v>26</v>
      </c>
      <c r="C7253" t="str">
        <f t="shared" si="22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27"/>
        <v>-6</v>
      </c>
    </row>
    <row r="7254" spans="1:8" x14ac:dyDescent="0.2">
      <c r="A7254" t="s">
        <v>7</v>
      </c>
      <c r="B7254" t="s">
        <v>26</v>
      </c>
      <c r="C7254" t="str">
        <f t="shared" si="22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27"/>
        <v>-6</v>
      </c>
    </row>
    <row r="7255" spans="1:8" x14ac:dyDescent="0.2">
      <c r="A7255" t="s">
        <v>7</v>
      </c>
      <c r="B7255" t="s">
        <v>26</v>
      </c>
      <c r="C7255" t="str">
        <f t="shared" si="22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27"/>
        <v>-6</v>
      </c>
    </row>
    <row r="7256" spans="1:8" x14ac:dyDescent="0.2">
      <c r="A7256" t="s">
        <v>18</v>
      </c>
      <c r="B7256" t="s">
        <v>26</v>
      </c>
      <c r="C7256" t="str">
        <f t="shared" si="228"/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si="227"/>
        <v>-6</v>
      </c>
    </row>
    <row r="7257" spans="1:8" x14ac:dyDescent="0.2">
      <c r="A7257" t="s">
        <v>18</v>
      </c>
      <c r="B7257" t="s">
        <v>26</v>
      </c>
      <c r="C7257" t="str">
        <f t="shared" si="228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27"/>
        <v>-6</v>
      </c>
    </row>
    <row r="7258" spans="1:8" x14ac:dyDescent="0.2">
      <c r="A7258" t="s">
        <v>19</v>
      </c>
      <c r="B7258" t="s">
        <v>26</v>
      </c>
      <c r="C7258" t="str">
        <f t="shared" si="228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27"/>
        <v>-6</v>
      </c>
    </row>
    <row r="7259" spans="1:8" x14ac:dyDescent="0.2">
      <c r="A7259" t="s">
        <v>18</v>
      </c>
      <c r="B7259" t="s">
        <v>26</v>
      </c>
      <c r="C7259" t="str">
        <f t="shared" si="228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27"/>
        <v>-6</v>
      </c>
    </row>
    <row r="7260" spans="1:8" x14ac:dyDescent="0.2">
      <c r="A7260" t="s">
        <v>19</v>
      </c>
      <c r="B7260" t="s">
        <v>26</v>
      </c>
      <c r="C7260" t="str">
        <f t="shared" si="228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27"/>
        <v>-8</v>
      </c>
    </row>
    <row r="7261" spans="1:8" x14ac:dyDescent="0.2">
      <c r="A7261" t="s">
        <v>18</v>
      </c>
      <c r="B7261" t="s">
        <v>26</v>
      </c>
      <c r="C7261" t="str">
        <f t="shared" si="228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27"/>
        <v>-8</v>
      </c>
    </row>
    <row r="7262" spans="1:8" x14ac:dyDescent="0.2">
      <c r="A7262" t="s">
        <v>7</v>
      </c>
      <c r="B7262" t="s">
        <v>26</v>
      </c>
      <c r="C7262" t="str">
        <f t="shared" si="228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27"/>
        <v>-8</v>
      </c>
    </row>
    <row r="7263" spans="1:8" x14ac:dyDescent="0.2">
      <c r="A7263" t="s">
        <v>19</v>
      </c>
      <c r="B7263" t="s">
        <v>26</v>
      </c>
      <c r="C7263" t="str">
        <f t="shared" si="228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27"/>
        <v>-8</v>
      </c>
    </row>
    <row r="7264" spans="1:8" x14ac:dyDescent="0.2">
      <c r="A7264" t="s">
        <v>18</v>
      </c>
      <c r="B7264" t="s">
        <v>26</v>
      </c>
      <c r="C7264" t="str">
        <f t="shared" si="228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27"/>
        <v>-8</v>
      </c>
    </row>
    <row r="7265" spans="1:8" x14ac:dyDescent="0.2">
      <c r="A7265" t="s">
        <v>18</v>
      </c>
      <c r="B7265" t="s">
        <v>26</v>
      </c>
      <c r="C7265" t="str">
        <f t="shared" si="228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27"/>
        <v>-8</v>
      </c>
    </row>
    <row r="7266" spans="1:8" x14ac:dyDescent="0.2">
      <c r="A7266" t="s">
        <v>19</v>
      </c>
      <c r="B7266" t="s">
        <v>26</v>
      </c>
      <c r="C7266" t="str">
        <f t="shared" si="228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27"/>
        <v>-8</v>
      </c>
    </row>
    <row r="7267" spans="1:8" x14ac:dyDescent="0.2">
      <c r="A7267" t="s">
        <v>18</v>
      </c>
      <c r="B7267" t="s">
        <v>26</v>
      </c>
      <c r="C7267" t="str">
        <f t="shared" si="228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27"/>
        <v>-6</v>
      </c>
    </row>
    <row r="7268" spans="1:8" x14ac:dyDescent="0.2">
      <c r="A7268" t="s">
        <v>18</v>
      </c>
      <c r="B7268" t="s">
        <v>26</v>
      </c>
      <c r="C7268" t="str">
        <f t="shared" si="228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27"/>
        <v>-6</v>
      </c>
    </row>
    <row r="7269" spans="1:8" x14ac:dyDescent="0.2">
      <c r="A7269" t="s">
        <v>18</v>
      </c>
      <c r="B7269" t="s">
        <v>26</v>
      </c>
      <c r="C7269" t="str">
        <f t="shared" si="228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27"/>
        <v>-6</v>
      </c>
    </row>
    <row r="7270" spans="1:8" x14ac:dyDescent="0.2">
      <c r="A7270" t="s">
        <v>18</v>
      </c>
      <c r="B7270" t="s">
        <v>26</v>
      </c>
      <c r="C7270" t="str">
        <f t="shared" si="228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27"/>
        <v>-6</v>
      </c>
    </row>
    <row r="7271" spans="1:8" x14ac:dyDescent="0.2">
      <c r="A7271" t="s">
        <v>7</v>
      </c>
      <c r="B7271" t="s">
        <v>26</v>
      </c>
      <c r="C7271" t="str">
        <f t="shared" si="228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27"/>
        <v>-6</v>
      </c>
    </row>
    <row r="7272" spans="1:8" x14ac:dyDescent="0.2">
      <c r="A7272" t="s">
        <v>19</v>
      </c>
      <c r="B7272" t="s">
        <v>26</v>
      </c>
      <c r="C7272" t="str">
        <f t="shared" si="228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27"/>
        <v>-6</v>
      </c>
    </row>
    <row r="7273" spans="1:8" x14ac:dyDescent="0.2">
      <c r="A7273" t="s">
        <v>18</v>
      </c>
      <c r="B7273" t="s">
        <v>26</v>
      </c>
      <c r="C7273" t="str">
        <f t="shared" si="228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27"/>
        <v>-6</v>
      </c>
    </row>
    <row r="7274" spans="1:8" x14ac:dyDescent="0.2">
      <c r="A7274" t="s">
        <v>18</v>
      </c>
      <c r="B7274" t="s">
        <v>26</v>
      </c>
      <c r="C7274" t="str">
        <f t="shared" si="228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27"/>
        <v>-6</v>
      </c>
    </row>
    <row r="7275" spans="1:8" x14ac:dyDescent="0.2">
      <c r="A7275" t="s">
        <v>18</v>
      </c>
      <c r="B7275" t="s">
        <v>26</v>
      </c>
      <c r="C7275" t="str">
        <f t="shared" si="228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27"/>
        <v>-6</v>
      </c>
    </row>
    <row r="7276" spans="1:8" x14ac:dyDescent="0.2">
      <c r="A7276" t="s">
        <v>18</v>
      </c>
      <c r="B7276" t="s">
        <v>26</v>
      </c>
      <c r="C7276" t="str">
        <f t="shared" si="228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27"/>
        <v>-6</v>
      </c>
    </row>
    <row r="7277" spans="1:8" x14ac:dyDescent="0.2">
      <c r="A7277" t="s">
        <v>7</v>
      </c>
      <c r="B7277" t="s">
        <v>26</v>
      </c>
      <c r="C7277" t="str">
        <f t="shared" si="228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27"/>
        <v>-6</v>
      </c>
    </row>
    <row r="7278" spans="1:8" x14ac:dyDescent="0.2">
      <c r="A7278" t="s">
        <v>18</v>
      </c>
      <c r="B7278" t="s">
        <v>26</v>
      </c>
      <c r="C7278" t="str">
        <f t="shared" si="228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27"/>
        <v>-6</v>
      </c>
    </row>
    <row r="7279" spans="1:8" x14ac:dyDescent="0.2">
      <c r="A7279" t="s">
        <v>7</v>
      </c>
      <c r="B7279" t="s">
        <v>26</v>
      </c>
      <c r="C7279" t="str">
        <f t="shared" si="228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27"/>
        <v>-6</v>
      </c>
    </row>
    <row r="7280" spans="1:8" x14ac:dyDescent="0.2">
      <c r="A7280" t="s">
        <v>18</v>
      </c>
      <c r="B7280" t="s">
        <v>26</v>
      </c>
      <c r="C7280" t="str">
        <f t="shared" si="228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27"/>
        <v>-6</v>
      </c>
    </row>
    <row r="7281" spans="1:8" x14ac:dyDescent="0.2">
      <c r="A7281" t="s">
        <v>7</v>
      </c>
      <c r="B7281" t="s">
        <v>26</v>
      </c>
      <c r="C7281" t="str">
        <f t="shared" si="228"/>
        <v>Cumple</v>
      </c>
      <c r="D7281">
        <v>9937</v>
      </c>
      <c r="E7281" t="s">
        <v>10</v>
      </c>
      <c r="F7281">
        <v>48</v>
      </c>
      <c r="G7281">
        <v>20</v>
      </c>
      <c r="H7281">
        <f t="shared" si="227"/>
        <v>28</v>
      </c>
    </row>
    <row r="7282" spans="1:8" x14ac:dyDescent="0.2">
      <c r="A7282" t="s">
        <v>7</v>
      </c>
      <c r="B7282" t="s">
        <v>26</v>
      </c>
      <c r="C7282" t="str">
        <f t="shared" si="228"/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si="227"/>
        <v>27</v>
      </c>
    </row>
    <row r="7283" spans="1:8" x14ac:dyDescent="0.2">
      <c r="A7283" t="s">
        <v>7</v>
      </c>
      <c r="B7283" t="s">
        <v>26</v>
      </c>
      <c r="C7283" t="str">
        <f t="shared" si="228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27"/>
        <v>26</v>
      </c>
    </row>
    <row r="7284" spans="1:8" x14ac:dyDescent="0.2">
      <c r="A7284" t="s">
        <v>7</v>
      </c>
      <c r="B7284" t="s">
        <v>26</v>
      </c>
      <c r="C7284" t="str">
        <f t="shared" si="228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27"/>
        <v>25</v>
      </c>
    </row>
    <row r="7285" spans="1:8" x14ac:dyDescent="0.2">
      <c r="A7285" t="s">
        <v>7</v>
      </c>
      <c r="B7285" t="s">
        <v>26</v>
      </c>
      <c r="C7285" t="str">
        <f t="shared" si="228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27"/>
        <v>18</v>
      </c>
    </row>
    <row r="7286" spans="1:8" x14ac:dyDescent="0.2">
      <c r="A7286" t="s">
        <v>7</v>
      </c>
      <c r="B7286" t="s">
        <v>26</v>
      </c>
      <c r="C7286" t="str">
        <f t="shared" si="228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27"/>
        <v>18</v>
      </c>
    </row>
    <row r="7287" spans="1:8" x14ac:dyDescent="0.2">
      <c r="A7287" t="s">
        <v>7</v>
      </c>
      <c r="B7287" t="s">
        <v>26</v>
      </c>
      <c r="C7287" t="str">
        <f t="shared" si="228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27"/>
        <v>18</v>
      </c>
    </row>
    <row r="7288" spans="1:8" x14ac:dyDescent="0.2">
      <c r="A7288" t="s">
        <v>7</v>
      </c>
      <c r="B7288" t="s">
        <v>26</v>
      </c>
      <c r="C7288" t="str">
        <f t="shared" si="228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27"/>
        <v>17</v>
      </c>
    </row>
    <row r="7289" spans="1:8" x14ac:dyDescent="0.2">
      <c r="A7289" t="s">
        <v>7</v>
      </c>
      <c r="B7289" t="s">
        <v>26</v>
      </c>
      <c r="C7289" t="str">
        <f t="shared" si="228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27"/>
        <v>17</v>
      </c>
    </row>
    <row r="7290" spans="1:8" x14ac:dyDescent="0.2">
      <c r="A7290" t="s">
        <v>7</v>
      </c>
      <c r="B7290" t="s">
        <v>26</v>
      </c>
      <c r="C7290" t="str">
        <f t="shared" si="228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27"/>
        <v>16</v>
      </c>
    </row>
    <row r="7291" spans="1:8" x14ac:dyDescent="0.2">
      <c r="A7291" t="s">
        <v>7</v>
      </c>
      <c r="B7291" t="s">
        <v>26</v>
      </c>
      <c r="C7291" t="str">
        <f t="shared" si="228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27"/>
        <v>16</v>
      </c>
    </row>
    <row r="7292" spans="1:8" x14ac:dyDescent="0.2">
      <c r="A7292" t="s">
        <v>7</v>
      </c>
      <c r="B7292" t="s">
        <v>26</v>
      </c>
      <c r="C7292" t="str">
        <f t="shared" si="228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27"/>
        <v>16</v>
      </c>
    </row>
    <row r="7293" spans="1:8" x14ac:dyDescent="0.2">
      <c r="A7293" t="s">
        <v>7</v>
      </c>
      <c r="B7293" t="s">
        <v>26</v>
      </c>
      <c r="C7293" t="str">
        <f t="shared" si="228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27"/>
        <v>16</v>
      </c>
    </row>
    <row r="7294" spans="1:8" x14ac:dyDescent="0.2">
      <c r="A7294" t="s">
        <v>7</v>
      </c>
      <c r="B7294" t="s">
        <v>26</v>
      </c>
      <c r="C7294" t="str">
        <f t="shared" si="228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27"/>
        <v>15</v>
      </c>
    </row>
    <row r="7295" spans="1:8" x14ac:dyDescent="0.2">
      <c r="A7295" t="s">
        <v>7</v>
      </c>
      <c r="B7295" t="s">
        <v>26</v>
      </c>
      <c r="C7295" t="str">
        <f t="shared" si="228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27"/>
        <v>15</v>
      </c>
    </row>
    <row r="7296" spans="1:8" x14ac:dyDescent="0.2">
      <c r="A7296" t="s">
        <v>7</v>
      </c>
      <c r="B7296" t="s">
        <v>26</v>
      </c>
      <c r="C7296" t="str">
        <f t="shared" si="228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27"/>
        <v>15</v>
      </c>
    </row>
    <row r="7297" spans="1:8" x14ac:dyDescent="0.2">
      <c r="A7297" t="s">
        <v>7</v>
      </c>
      <c r="B7297" t="s">
        <v>26</v>
      </c>
      <c r="C7297" t="str">
        <f t="shared" si="228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27"/>
        <v>15</v>
      </c>
    </row>
    <row r="7298" spans="1:8" x14ac:dyDescent="0.2">
      <c r="A7298" t="s">
        <v>7</v>
      </c>
      <c r="B7298" t="s">
        <v>26</v>
      </c>
      <c r="C7298" t="str">
        <f t="shared" si="228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27"/>
        <v>15</v>
      </c>
    </row>
    <row r="7299" spans="1:8" x14ac:dyDescent="0.2">
      <c r="A7299" t="s">
        <v>7</v>
      </c>
      <c r="B7299" t="s">
        <v>26</v>
      </c>
      <c r="C7299" t="str">
        <f t="shared" si="228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ref="H7299:H7362" si="229">F7299-G7299</f>
        <v>15</v>
      </c>
    </row>
    <row r="7300" spans="1:8" x14ac:dyDescent="0.2">
      <c r="A7300" t="s">
        <v>7</v>
      </c>
      <c r="B7300" t="s">
        <v>26</v>
      </c>
      <c r="C7300" t="str">
        <f t="shared" si="228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29"/>
        <v>15</v>
      </c>
    </row>
    <row r="7301" spans="1:8" x14ac:dyDescent="0.2">
      <c r="A7301" t="s">
        <v>7</v>
      </c>
      <c r="B7301" t="s">
        <v>26</v>
      </c>
      <c r="C7301" t="str">
        <f t="shared" ref="C7301:C7364" si="230">IF(H7301&gt;=0,"Cumple","No cumple")</f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29"/>
        <v>20</v>
      </c>
    </row>
    <row r="7302" spans="1:8" x14ac:dyDescent="0.2">
      <c r="A7302" t="s">
        <v>7</v>
      </c>
      <c r="B7302" t="s">
        <v>26</v>
      </c>
      <c r="C7302" t="str">
        <f t="shared" si="230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29"/>
        <v>14</v>
      </c>
    </row>
    <row r="7303" spans="1:8" x14ac:dyDescent="0.2">
      <c r="A7303" t="s">
        <v>7</v>
      </c>
      <c r="B7303" t="s">
        <v>26</v>
      </c>
      <c r="C7303" t="str">
        <f t="shared" si="230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29"/>
        <v>14</v>
      </c>
    </row>
    <row r="7304" spans="1:8" x14ac:dyDescent="0.2">
      <c r="A7304" t="s">
        <v>7</v>
      </c>
      <c r="B7304" t="s">
        <v>26</v>
      </c>
      <c r="C7304" t="str">
        <f t="shared" si="230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29"/>
        <v>14</v>
      </c>
    </row>
    <row r="7305" spans="1:8" x14ac:dyDescent="0.2">
      <c r="A7305" t="s">
        <v>7</v>
      </c>
      <c r="B7305" t="s">
        <v>26</v>
      </c>
      <c r="C7305" t="str">
        <f t="shared" si="230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29"/>
        <v>13</v>
      </c>
    </row>
    <row r="7306" spans="1:8" x14ac:dyDescent="0.2">
      <c r="A7306" t="s">
        <v>7</v>
      </c>
      <c r="B7306" t="s">
        <v>26</v>
      </c>
      <c r="C7306" t="str">
        <f t="shared" si="230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29"/>
        <v>13</v>
      </c>
    </row>
    <row r="7307" spans="1:8" x14ac:dyDescent="0.2">
      <c r="A7307" t="s">
        <v>7</v>
      </c>
      <c r="B7307" t="s">
        <v>26</v>
      </c>
      <c r="C7307" t="str">
        <f t="shared" si="230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29"/>
        <v>13</v>
      </c>
    </row>
    <row r="7308" spans="1:8" x14ac:dyDescent="0.2">
      <c r="A7308" t="s">
        <v>7</v>
      </c>
      <c r="B7308" t="s">
        <v>26</v>
      </c>
      <c r="C7308" t="str">
        <f t="shared" si="230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29"/>
        <v>13</v>
      </c>
    </row>
    <row r="7309" spans="1:8" x14ac:dyDescent="0.2">
      <c r="A7309" t="s">
        <v>7</v>
      </c>
      <c r="B7309" t="s">
        <v>26</v>
      </c>
      <c r="C7309" t="str">
        <f t="shared" si="230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29"/>
        <v>13</v>
      </c>
    </row>
    <row r="7310" spans="1:8" x14ac:dyDescent="0.2">
      <c r="A7310" t="s">
        <v>7</v>
      </c>
      <c r="B7310" t="s">
        <v>26</v>
      </c>
      <c r="C7310" t="str">
        <f t="shared" si="230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29"/>
        <v>13</v>
      </c>
    </row>
    <row r="7311" spans="1:8" x14ac:dyDescent="0.2">
      <c r="A7311" t="s">
        <v>7</v>
      </c>
      <c r="B7311" t="s">
        <v>26</v>
      </c>
      <c r="C7311" t="str">
        <f t="shared" si="230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29"/>
        <v>13</v>
      </c>
    </row>
    <row r="7312" spans="1:8" x14ac:dyDescent="0.2">
      <c r="A7312" t="s">
        <v>7</v>
      </c>
      <c r="B7312" t="s">
        <v>26</v>
      </c>
      <c r="C7312" t="str">
        <f t="shared" si="230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29"/>
        <v>12</v>
      </c>
    </row>
    <row r="7313" spans="1:8" x14ac:dyDescent="0.2">
      <c r="A7313" t="s">
        <v>7</v>
      </c>
      <c r="B7313" t="s">
        <v>26</v>
      </c>
      <c r="C7313" t="str">
        <f t="shared" si="230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29"/>
        <v>12</v>
      </c>
    </row>
    <row r="7314" spans="1:8" x14ac:dyDescent="0.2">
      <c r="A7314" t="s">
        <v>7</v>
      </c>
      <c r="B7314" t="s">
        <v>26</v>
      </c>
      <c r="C7314" t="str">
        <f t="shared" si="230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29"/>
        <v>12</v>
      </c>
    </row>
    <row r="7315" spans="1:8" x14ac:dyDescent="0.2">
      <c r="A7315" t="s">
        <v>7</v>
      </c>
      <c r="B7315" t="s">
        <v>26</v>
      </c>
      <c r="C7315" t="str">
        <f t="shared" si="230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29"/>
        <v>12</v>
      </c>
    </row>
    <row r="7316" spans="1:8" x14ac:dyDescent="0.2">
      <c r="A7316" t="s">
        <v>7</v>
      </c>
      <c r="B7316" t="s">
        <v>26</v>
      </c>
      <c r="C7316" t="str">
        <f t="shared" si="230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29"/>
        <v>12</v>
      </c>
    </row>
    <row r="7317" spans="1:8" x14ac:dyDescent="0.2">
      <c r="A7317" t="s">
        <v>7</v>
      </c>
      <c r="B7317" t="s">
        <v>26</v>
      </c>
      <c r="C7317" t="str">
        <f t="shared" si="230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29"/>
        <v>11</v>
      </c>
    </row>
    <row r="7318" spans="1:8" x14ac:dyDescent="0.2">
      <c r="A7318" t="s">
        <v>7</v>
      </c>
      <c r="B7318" t="s">
        <v>26</v>
      </c>
      <c r="C7318" t="str">
        <f t="shared" si="230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29"/>
        <v>11</v>
      </c>
    </row>
    <row r="7319" spans="1:8" x14ac:dyDescent="0.2">
      <c r="A7319" t="s">
        <v>7</v>
      </c>
      <c r="B7319" t="s">
        <v>26</v>
      </c>
      <c r="C7319" t="str">
        <f t="shared" si="230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29"/>
        <v>11</v>
      </c>
    </row>
    <row r="7320" spans="1:8" x14ac:dyDescent="0.2">
      <c r="A7320" t="s">
        <v>7</v>
      </c>
      <c r="B7320" t="s">
        <v>26</v>
      </c>
      <c r="C7320" t="str">
        <f t="shared" si="230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29"/>
        <v>11</v>
      </c>
    </row>
    <row r="7321" spans="1:8" x14ac:dyDescent="0.2">
      <c r="A7321" t="s">
        <v>7</v>
      </c>
      <c r="B7321" t="s">
        <v>26</v>
      </c>
      <c r="C7321" t="str">
        <f t="shared" si="230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29"/>
        <v>11</v>
      </c>
    </row>
    <row r="7322" spans="1:8" x14ac:dyDescent="0.2">
      <c r="A7322" t="s">
        <v>7</v>
      </c>
      <c r="B7322" t="s">
        <v>26</v>
      </c>
      <c r="C7322" t="str">
        <f t="shared" si="230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29"/>
        <v>11</v>
      </c>
    </row>
    <row r="7323" spans="1:8" x14ac:dyDescent="0.2">
      <c r="A7323" t="s">
        <v>7</v>
      </c>
      <c r="B7323" t="s">
        <v>26</v>
      </c>
      <c r="C7323" t="str">
        <f t="shared" si="230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29"/>
        <v>11</v>
      </c>
    </row>
    <row r="7324" spans="1:8" x14ac:dyDescent="0.2">
      <c r="A7324" t="s">
        <v>7</v>
      </c>
      <c r="B7324" t="s">
        <v>26</v>
      </c>
      <c r="C7324" t="str">
        <f t="shared" si="230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29"/>
        <v>11</v>
      </c>
    </row>
    <row r="7325" spans="1:8" x14ac:dyDescent="0.2">
      <c r="A7325" t="s">
        <v>7</v>
      </c>
      <c r="B7325" t="s">
        <v>26</v>
      </c>
      <c r="C7325" t="str">
        <f t="shared" si="230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29"/>
        <v>11</v>
      </c>
    </row>
    <row r="7326" spans="1:8" x14ac:dyDescent="0.2">
      <c r="A7326" t="s">
        <v>7</v>
      </c>
      <c r="B7326" t="s">
        <v>26</v>
      </c>
      <c r="C7326" t="str">
        <f t="shared" si="230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29"/>
        <v>11</v>
      </c>
    </row>
    <row r="7327" spans="1:8" x14ac:dyDescent="0.2">
      <c r="A7327" t="s">
        <v>7</v>
      </c>
      <c r="B7327" t="s">
        <v>26</v>
      </c>
      <c r="C7327" t="str">
        <f t="shared" si="230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29"/>
        <v>10</v>
      </c>
    </row>
    <row r="7328" spans="1:8" x14ac:dyDescent="0.2">
      <c r="A7328" t="s">
        <v>7</v>
      </c>
      <c r="B7328" t="s">
        <v>26</v>
      </c>
      <c r="C7328" t="str">
        <f t="shared" si="230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29"/>
        <v>10</v>
      </c>
    </row>
    <row r="7329" spans="1:8" x14ac:dyDescent="0.2">
      <c r="A7329" t="s">
        <v>7</v>
      </c>
      <c r="B7329" t="s">
        <v>26</v>
      </c>
      <c r="C7329" t="str">
        <f t="shared" si="230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29"/>
        <v>10</v>
      </c>
    </row>
    <row r="7330" spans="1:8" x14ac:dyDescent="0.2">
      <c r="A7330" t="s">
        <v>7</v>
      </c>
      <c r="B7330" t="s">
        <v>26</v>
      </c>
      <c r="C7330" t="str">
        <f t="shared" si="230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29"/>
        <v>10</v>
      </c>
    </row>
    <row r="7331" spans="1:8" x14ac:dyDescent="0.2">
      <c r="A7331" t="s">
        <v>7</v>
      </c>
      <c r="B7331" t="s">
        <v>26</v>
      </c>
      <c r="C7331" t="str">
        <f t="shared" si="230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29"/>
        <v>10</v>
      </c>
    </row>
    <row r="7332" spans="1:8" x14ac:dyDescent="0.2">
      <c r="A7332" t="s">
        <v>7</v>
      </c>
      <c r="B7332" t="s">
        <v>26</v>
      </c>
      <c r="C7332" t="str">
        <f t="shared" si="230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29"/>
        <v>10</v>
      </c>
    </row>
    <row r="7333" spans="1:8" x14ac:dyDescent="0.2">
      <c r="A7333" t="s">
        <v>7</v>
      </c>
      <c r="B7333" t="s">
        <v>26</v>
      </c>
      <c r="C7333" t="str">
        <f t="shared" si="230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29"/>
        <v>15</v>
      </c>
    </row>
    <row r="7334" spans="1:8" x14ac:dyDescent="0.2">
      <c r="A7334" t="s">
        <v>7</v>
      </c>
      <c r="B7334" t="s">
        <v>26</v>
      </c>
      <c r="C7334" t="str">
        <f t="shared" si="230"/>
        <v>Cumple</v>
      </c>
      <c r="D7334">
        <v>3924</v>
      </c>
      <c r="E7334" s="19" t="s">
        <v>12</v>
      </c>
      <c r="F7334">
        <v>30</v>
      </c>
      <c r="G7334">
        <v>20</v>
      </c>
      <c r="H7334">
        <f t="shared" si="229"/>
        <v>10</v>
      </c>
    </row>
    <row r="7335" spans="1:8" x14ac:dyDescent="0.2">
      <c r="A7335" t="s">
        <v>7</v>
      </c>
      <c r="B7335" t="s">
        <v>26</v>
      </c>
      <c r="C7335" t="str">
        <f t="shared" si="230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29"/>
        <v>15</v>
      </c>
    </row>
    <row r="7336" spans="1:8" x14ac:dyDescent="0.2">
      <c r="A7336" t="s">
        <v>7</v>
      </c>
      <c r="B7336" t="s">
        <v>26</v>
      </c>
      <c r="C7336" t="str">
        <f t="shared" si="230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29"/>
        <v>9</v>
      </c>
    </row>
    <row r="7337" spans="1:8" x14ac:dyDescent="0.2">
      <c r="A7337" t="s">
        <v>7</v>
      </c>
      <c r="B7337" t="s">
        <v>26</v>
      </c>
      <c r="C7337" t="str">
        <f t="shared" si="230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29"/>
        <v>14</v>
      </c>
    </row>
    <row r="7338" spans="1:8" x14ac:dyDescent="0.2">
      <c r="A7338" t="s">
        <v>7</v>
      </c>
      <c r="B7338" t="s">
        <v>26</v>
      </c>
      <c r="C7338" t="str">
        <f t="shared" si="230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29"/>
        <v>8</v>
      </c>
    </row>
    <row r="7339" spans="1:8" x14ac:dyDescent="0.2">
      <c r="A7339" t="s">
        <v>7</v>
      </c>
      <c r="B7339" t="s">
        <v>26</v>
      </c>
      <c r="C7339" t="str">
        <f t="shared" si="230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29"/>
        <v>13</v>
      </c>
    </row>
    <row r="7340" spans="1:8" x14ac:dyDescent="0.2">
      <c r="A7340" t="s">
        <v>7</v>
      </c>
      <c r="B7340" t="s">
        <v>26</v>
      </c>
      <c r="C7340" t="str">
        <f t="shared" si="230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29"/>
        <v>8</v>
      </c>
    </row>
    <row r="7341" spans="1:8" x14ac:dyDescent="0.2">
      <c r="A7341" t="s">
        <v>7</v>
      </c>
      <c r="B7341" t="s">
        <v>26</v>
      </c>
      <c r="C7341" t="str">
        <f t="shared" si="230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29"/>
        <v>8</v>
      </c>
    </row>
    <row r="7342" spans="1:8" x14ac:dyDescent="0.2">
      <c r="A7342" t="s">
        <v>7</v>
      </c>
      <c r="B7342" t="s">
        <v>26</v>
      </c>
      <c r="C7342" t="str">
        <f t="shared" si="230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29"/>
        <v>8</v>
      </c>
    </row>
    <row r="7343" spans="1:8" x14ac:dyDescent="0.2">
      <c r="A7343" t="s">
        <v>7</v>
      </c>
      <c r="B7343" t="s">
        <v>26</v>
      </c>
      <c r="C7343" t="str">
        <f t="shared" si="230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29"/>
        <v>8</v>
      </c>
    </row>
    <row r="7344" spans="1:8" x14ac:dyDescent="0.2">
      <c r="A7344" t="s">
        <v>7</v>
      </c>
      <c r="B7344" t="s">
        <v>26</v>
      </c>
      <c r="C7344" t="str">
        <f t="shared" si="230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29"/>
        <v>7</v>
      </c>
    </row>
    <row r="7345" spans="1:8" x14ac:dyDescent="0.2">
      <c r="A7345" t="s">
        <v>7</v>
      </c>
      <c r="B7345" t="s">
        <v>26</v>
      </c>
      <c r="C7345" t="str">
        <f t="shared" si="230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29"/>
        <v>7</v>
      </c>
    </row>
    <row r="7346" spans="1:8" x14ac:dyDescent="0.2">
      <c r="A7346" t="s">
        <v>7</v>
      </c>
      <c r="B7346" t="s">
        <v>26</v>
      </c>
      <c r="C7346" t="str">
        <f t="shared" si="230"/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si="229"/>
        <v>7</v>
      </c>
    </row>
    <row r="7347" spans="1:8" x14ac:dyDescent="0.2">
      <c r="A7347" t="s">
        <v>7</v>
      </c>
      <c r="B7347" t="s">
        <v>26</v>
      </c>
      <c r="C7347" t="str">
        <f t="shared" si="230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29"/>
        <v>7</v>
      </c>
    </row>
    <row r="7348" spans="1:8" x14ac:dyDescent="0.2">
      <c r="A7348" t="s">
        <v>7</v>
      </c>
      <c r="B7348" t="s">
        <v>26</v>
      </c>
      <c r="C7348" t="str">
        <f t="shared" si="230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29"/>
        <v>7</v>
      </c>
    </row>
    <row r="7349" spans="1:8" x14ac:dyDescent="0.2">
      <c r="A7349" t="s">
        <v>7</v>
      </c>
      <c r="B7349" t="s">
        <v>26</v>
      </c>
      <c r="C7349" t="str">
        <f t="shared" si="230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29"/>
        <v>6</v>
      </c>
    </row>
    <row r="7350" spans="1:8" x14ac:dyDescent="0.2">
      <c r="A7350" t="s">
        <v>7</v>
      </c>
      <c r="B7350" t="s">
        <v>26</v>
      </c>
      <c r="C7350" t="str">
        <f t="shared" si="230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29"/>
        <v>6</v>
      </c>
    </row>
    <row r="7351" spans="1:8" x14ac:dyDescent="0.2">
      <c r="A7351" t="s">
        <v>7</v>
      </c>
      <c r="B7351" t="s">
        <v>26</v>
      </c>
      <c r="C7351" t="str">
        <f t="shared" si="230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29"/>
        <v>6</v>
      </c>
    </row>
    <row r="7352" spans="1:8" x14ac:dyDescent="0.2">
      <c r="A7352" t="s">
        <v>7</v>
      </c>
      <c r="B7352" t="s">
        <v>26</v>
      </c>
      <c r="C7352" t="str">
        <f t="shared" si="230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29"/>
        <v>6</v>
      </c>
    </row>
    <row r="7353" spans="1:8" x14ac:dyDescent="0.2">
      <c r="A7353" t="s">
        <v>7</v>
      </c>
      <c r="B7353" t="s">
        <v>26</v>
      </c>
      <c r="C7353" t="str">
        <f t="shared" si="230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29"/>
        <v>6</v>
      </c>
    </row>
    <row r="7354" spans="1:8" x14ac:dyDescent="0.2">
      <c r="A7354" t="s">
        <v>7</v>
      </c>
      <c r="B7354" t="s">
        <v>26</v>
      </c>
      <c r="C7354" t="str">
        <f t="shared" si="230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29"/>
        <v>6</v>
      </c>
    </row>
    <row r="7355" spans="1:8" x14ac:dyDescent="0.2">
      <c r="A7355" t="s">
        <v>7</v>
      </c>
      <c r="B7355" t="s">
        <v>26</v>
      </c>
      <c r="C7355" t="str">
        <f t="shared" si="230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29"/>
        <v>6</v>
      </c>
    </row>
    <row r="7356" spans="1:8" x14ac:dyDescent="0.2">
      <c r="A7356" t="s">
        <v>7</v>
      </c>
      <c r="B7356" t="s">
        <v>26</v>
      </c>
      <c r="C7356" t="str">
        <f t="shared" si="230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29"/>
        <v>6</v>
      </c>
    </row>
    <row r="7357" spans="1:8" x14ac:dyDescent="0.2">
      <c r="A7357" t="s">
        <v>7</v>
      </c>
      <c r="B7357" t="s">
        <v>26</v>
      </c>
      <c r="C7357" t="str">
        <f t="shared" si="230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29"/>
        <v>11</v>
      </c>
    </row>
    <row r="7358" spans="1:8" x14ac:dyDescent="0.2">
      <c r="A7358" t="s">
        <v>7</v>
      </c>
      <c r="B7358" t="s">
        <v>26</v>
      </c>
      <c r="C7358" t="str">
        <f t="shared" si="230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29"/>
        <v>10</v>
      </c>
    </row>
    <row r="7359" spans="1:8" x14ac:dyDescent="0.2">
      <c r="A7359" t="s">
        <v>7</v>
      </c>
      <c r="B7359" t="s">
        <v>26</v>
      </c>
      <c r="C7359" t="str">
        <f t="shared" si="230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29"/>
        <v>5</v>
      </c>
    </row>
    <row r="7360" spans="1:8" x14ac:dyDescent="0.2">
      <c r="A7360" t="s">
        <v>7</v>
      </c>
      <c r="B7360" t="s">
        <v>26</v>
      </c>
      <c r="C7360" t="str">
        <f t="shared" si="230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29"/>
        <v>5</v>
      </c>
    </row>
    <row r="7361" spans="1:8" x14ac:dyDescent="0.2">
      <c r="A7361" t="s">
        <v>7</v>
      </c>
      <c r="B7361" t="s">
        <v>26</v>
      </c>
      <c r="C7361" t="str">
        <f t="shared" si="230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29"/>
        <v>5</v>
      </c>
    </row>
    <row r="7362" spans="1:8" x14ac:dyDescent="0.2">
      <c r="A7362" t="s">
        <v>7</v>
      </c>
      <c r="B7362" t="s">
        <v>26</v>
      </c>
      <c r="C7362" t="str">
        <f t="shared" si="230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29"/>
        <v>10</v>
      </c>
    </row>
    <row r="7363" spans="1:8" x14ac:dyDescent="0.2">
      <c r="A7363" t="s">
        <v>7</v>
      </c>
      <c r="B7363" t="s">
        <v>26</v>
      </c>
      <c r="C7363" t="str">
        <f t="shared" si="230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ref="H7363:H7426" si="231">F7363-G7363</f>
        <v>5</v>
      </c>
    </row>
    <row r="7364" spans="1:8" x14ac:dyDescent="0.2">
      <c r="A7364" t="s">
        <v>7</v>
      </c>
      <c r="B7364" t="s">
        <v>26</v>
      </c>
      <c r="C7364" t="str">
        <f t="shared" si="230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31"/>
        <v>5</v>
      </c>
    </row>
    <row r="7365" spans="1:8" x14ac:dyDescent="0.2">
      <c r="A7365" t="s">
        <v>7</v>
      </c>
      <c r="B7365" t="s">
        <v>26</v>
      </c>
      <c r="C7365" t="str">
        <f t="shared" ref="C7365:C7428" si="232">IF(H7365&gt;=0,"Cumple","No cumple")</f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31"/>
        <v>5</v>
      </c>
    </row>
    <row r="7366" spans="1:8" x14ac:dyDescent="0.2">
      <c r="A7366" t="s">
        <v>7</v>
      </c>
      <c r="B7366" t="s">
        <v>26</v>
      </c>
      <c r="C7366" t="str">
        <f t="shared" si="232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31"/>
        <v>3</v>
      </c>
    </row>
    <row r="7367" spans="1:8" x14ac:dyDescent="0.2">
      <c r="A7367" t="s">
        <v>7</v>
      </c>
      <c r="B7367" t="s">
        <v>26</v>
      </c>
      <c r="C7367" t="str">
        <f t="shared" si="232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31"/>
        <v>3</v>
      </c>
    </row>
    <row r="7368" spans="1:8" x14ac:dyDescent="0.2">
      <c r="A7368" t="s">
        <v>7</v>
      </c>
      <c r="B7368" t="s">
        <v>26</v>
      </c>
      <c r="C7368" t="str">
        <f t="shared" si="232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31"/>
        <v>3</v>
      </c>
    </row>
    <row r="7369" spans="1:8" x14ac:dyDescent="0.2">
      <c r="A7369" t="s">
        <v>7</v>
      </c>
      <c r="B7369" t="s">
        <v>26</v>
      </c>
      <c r="C7369" t="str">
        <f t="shared" si="232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31"/>
        <v>3</v>
      </c>
    </row>
    <row r="7370" spans="1:8" x14ac:dyDescent="0.2">
      <c r="A7370" t="s">
        <v>7</v>
      </c>
      <c r="B7370" t="s">
        <v>26</v>
      </c>
      <c r="C7370" t="str">
        <f t="shared" si="232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31"/>
        <v>3</v>
      </c>
    </row>
    <row r="7371" spans="1:8" x14ac:dyDescent="0.2">
      <c r="A7371" t="s">
        <v>7</v>
      </c>
      <c r="B7371" t="s">
        <v>26</v>
      </c>
      <c r="C7371" t="str">
        <f t="shared" si="232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31"/>
        <v>8</v>
      </c>
    </row>
    <row r="7372" spans="1:8" x14ac:dyDescent="0.2">
      <c r="A7372" t="s">
        <v>7</v>
      </c>
      <c r="B7372" t="s">
        <v>26</v>
      </c>
      <c r="C7372" t="str">
        <f t="shared" si="232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31"/>
        <v>3</v>
      </c>
    </row>
    <row r="7373" spans="1:8" x14ac:dyDescent="0.2">
      <c r="A7373" t="s">
        <v>7</v>
      </c>
      <c r="B7373" t="s">
        <v>26</v>
      </c>
      <c r="C7373" t="str">
        <f t="shared" si="232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31"/>
        <v>3</v>
      </c>
    </row>
    <row r="7374" spans="1:8" x14ac:dyDescent="0.2">
      <c r="A7374" t="s">
        <v>7</v>
      </c>
      <c r="B7374" t="s">
        <v>26</v>
      </c>
      <c r="C7374" t="str">
        <f t="shared" si="232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31"/>
        <v>3</v>
      </c>
    </row>
    <row r="7375" spans="1:8" x14ac:dyDescent="0.2">
      <c r="A7375" t="s">
        <v>7</v>
      </c>
      <c r="B7375" t="s">
        <v>26</v>
      </c>
      <c r="C7375" t="str">
        <f t="shared" si="232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31"/>
        <v>3</v>
      </c>
    </row>
    <row r="7376" spans="1:8" x14ac:dyDescent="0.2">
      <c r="A7376" t="s">
        <v>7</v>
      </c>
      <c r="B7376" t="s">
        <v>26</v>
      </c>
      <c r="C7376" t="str">
        <f t="shared" si="232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31"/>
        <v>3</v>
      </c>
    </row>
    <row r="7377" spans="1:8" x14ac:dyDescent="0.2">
      <c r="A7377" t="s">
        <v>7</v>
      </c>
      <c r="B7377" t="s">
        <v>26</v>
      </c>
      <c r="C7377" t="str">
        <f t="shared" si="232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31"/>
        <v>3</v>
      </c>
    </row>
    <row r="7378" spans="1:8" x14ac:dyDescent="0.2">
      <c r="A7378" t="s">
        <v>7</v>
      </c>
      <c r="B7378" t="s">
        <v>26</v>
      </c>
      <c r="C7378" t="str">
        <f t="shared" si="232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31"/>
        <v>3</v>
      </c>
    </row>
    <row r="7379" spans="1:8" x14ac:dyDescent="0.2">
      <c r="A7379" t="s">
        <v>7</v>
      </c>
      <c r="B7379" t="s">
        <v>26</v>
      </c>
      <c r="C7379" t="str">
        <f t="shared" si="232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31"/>
        <v>3</v>
      </c>
    </row>
    <row r="7380" spans="1:8" x14ac:dyDescent="0.2">
      <c r="A7380" t="s">
        <v>7</v>
      </c>
      <c r="B7380" t="s">
        <v>26</v>
      </c>
      <c r="C7380" t="str">
        <f t="shared" si="232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31"/>
        <v>2</v>
      </c>
    </row>
    <row r="7381" spans="1:8" x14ac:dyDescent="0.2">
      <c r="A7381" t="s">
        <v>7</v>
      </c>
      <c r="B7381" t="s">
        <v>26</v>
      </c>
      <c r="C7381" t="str">
        <f t="shared" si="232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31"/>
        <v>2</v>
      </c>
    </row>
    <row r="7382" spans="1:8" x14ac:dyDescent="0.2">
      <c r="A7382" t="s">
        <v>7</v>
      </c>
      <c r="B7382" t="s">
        <v>26</v>
      </c>
      <c r="C7382" t="str">
        <f t="shared" si="232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31"/>
        <v>2</v>
      </c>
    </row>
    <row r="7383" spans="1:8" x14ac:dyDescent="0.2">
      <c r="A7383" t="s">
        <v>7</v>
      </c>
      <c r="B7383" t="s">
        <v>26</v>
      </c>
      <c r="C7383" t="str">
        <f t="shared" si="232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31"/>
        <v>7</v>
      </c>
    </row>
    <row r="7384" spans="1:8" x14ac:dyDescent="0.2">
      <c r="A7384" t="s">
        <v>7</v>
      </c>
      <c r="B7384" t="s">
        <v>26</v>
      </c>
      <c r="C7384" t="str">
        <f t="shared" si="232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31"/>
        <v>7</v>
      </c>
    </row>
    <row r="7385" spans="1:8" x14ac:dyDescent="0.2">
      <c r="A7385" t="s">
        <v>7</v>
      </c>
      <c r="B7385" t="s">
        <v>26</v>
      </c>
      <c r="C7385" t="str">
        <f t="shared" si="232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31"/>
        <v>7</v>
      </c>
    </row>
    <row r="7386" spans="1:8" x14ac:dyDescent="0.2">
      <c r="A7386" t="s">
        <v>7</v>
      </c>
      <c r="B7386" t="s">
        <v>26</v>
      </c>
      <c r="C7386" t="str">
        <f t="shared" si="232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31"/>
        <v>2</v>
      </c>
    </row>
    <row r="7387" spans="1:8" x14ac:dyDescent="0.2">
      <c r="A7387" t="s">
        <v>7</v>
      </c>
      <c r="B7387" t="s">
        <v>26</v>
      </c>
      <c r="C7387" t="str">
        <f t="shared" si="232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31"/>
        <v>2</v>
      </c>
    </row>
    <row r="7388" spans="1:8" x14ac:dyDescent="0.2">
      <c r="A7388" t="s">
        <v>7</v>
      </c>
      <c r="B7388" t="s">
        <v>26</v>
      </c>
      <c r="C7388" t="str">
        <f t="shared" si="232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31"/>
        <v>7</v>
      </c>
    </row>
    <row r="7389" spans="1:8" x14ac:dyDescent="0.2">
      <c r="A7389" t="s">
        <v>7</v>
      </c>
      <c r="B7389" t="s">
        <v>26</v>
      </c>
      <c r="C7389" t="str">
        <f t="shared" si="232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31"/>
        <v>1</v>
      </c>
    </row>
    <row r="7390" spans="1:8" x14ac:dyDescent="0.2">
      <c r="A7390" t="s">
        <v>7</v>
      </c>
      <c r="B7390" t="s">
        <v>26</v>
      </c>
      <c r="C7390" t="str">
        <f t="shared" si="232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31"/>
        <v>1</v>
      </c>
    </row>
    <row r="7391" spans="1:8" x14ac:dyDescent="0.2">
      <c r="A7391" t="s">
        <v>7</v>
      </c>
      <c r="B7391" t="s">
        <v>26</v>
      </c>
      <c r="C7391" t="str">
        <f t="shared" si="232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31"/>
        <v>6</v>
      </c>
    </row>
    <row r="7392" spans="1:8" x14ac:dyDescent="0.2">
      <c r="A7392" t="s">
        <v>7</v>
      </c>
      <c r="B7392" t="s">
        <v>26</v>
      </c>
      <c r="C7392" t="str">
        <f t="shared" si="232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31"/>
        <v>5</v>
      </c>
    </row>
    <row r="7393" spans="1:8" x14ac:dyDescent="0.2">
      <c r="A7393" t="s">
        <v>7</v>
      </c>
      <c r="B7393" t="s">
        <v>26</v>
      </c>
      <c r="C7393" t="str">
        <f t="shared" si="232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31"/>
        <v>0</v>
      </c>
    </row>
    <row r="7394" spans="1:8" x14ac:dyDescent="0.2">
      <c r="A7394" t="s">
        <v>7</v>
      </c>
      <c r="B7394" t="s">
        <v>26</v>
      </c>
      <c r="C7394" t="str">
        <f t="shared" si="232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31"/>
        <v>0</v>
      </c>
    </row>
    <row r="7395" spans="1:8" x14ac:dyDescent="0.2">
      <c r="A7395" t="s">
        <v>7</v>
      </c>
      <c r="B7395" t="s">
        <v>26</v>
      </c>
      <c r="C7395" t="str">
        <f t="shared" si="232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31"/>
        <v>0</v>
      </c>
    </row>
    <row r="7396" spans="1:8" x14ac:dyDescent="0.2">
      <c r="A7396" t="s">
        <v>7</v>
      </c>
      <c r="B7396" t="s">
        <v>26</v>
      </c>
      <c r="C7396" t="str">
        <f t="shared" si="232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31"/>
        <v>0</v>
      </c>
    </row>
    <row r="7397" spans="1:8" x14ac:dyDescent="0.2">
      <c r="A7397" t="s">
        <v>7</v>
      </c>
      <c r="B7397" t="s">
        <v>26</v>
      </c>
      <c r="C7397" t="str">
        <f t="shared" si="232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31"/>
        <v>5</v>
      </c>
    </row>
    <row r="7398" spans="1:8" x14ac:dyDescent="0.2">
      <c r="A7398" t="s">
        <v>7</v>
      </c>
      <c r="B7398" t="s">
        <v>26</v>
      </c>
      <c r="C7398" t="str">
        <f t="shared" si="232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31"/>
        <v>0</v>
      </c>
    </row>
    <row r="7399" spans="1:8" x14ac:dyDescent="0.2">
      <c r="A7399" t="s">
        <v>7</v>
      </c>
      <c r="B7399" t="s">
        <v>26</v>
      </c>
      <c r="C7399" t="str">
        <f t="shared" si="232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31"/>
        <v>4</v>
      </c>
    </row>
    <row r="7400" spans="1:8" x14ac:dyDescent="0.2">
      <c r="A7400" t="s">
        <v>7</v>
      </c>
      <c r="B7400" t="s">
        <v>26</v>
      </c>
      <c r="C7400" t="str">
        <f t="shared" si="232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31"/>
        <v>0</v>
      </c>
    </row>
    <row r="7401" spans="1:8" x14ac:dyDescent="0.2">
      <c r="A7401" t="s">
        <v>7</v>
      </c>
      <c r="B7401" t="s">
        <v>26</v>
      </c>
      <c r="C7401" t="str">
        <f t="shared" si="232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31"/>
        <v>-1</v>
      </c>
    </row>
    <row r="7402" spans="1:8" x14ac:dyDescent="0.2">
      <c r="A7402" t="s">
        <v>7</v>
      </c>
      <c r="B7402" t="s">
        <v>26</v>
      </c>
      <c r="C7402" t="str">
        <f t="shared" si="232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31"/>
        <v>-1</v>
      </c>
    </row>
    <row r="7403" spans="1:8" x14ac:dyDescent="0.2">
      <c r="A7403" t="s">
        <v>7</v>
      </c>
      <c r="B7403" t="s">
        <v>26</v>
      </c>
      <c r="C7403" t="str">
        <f t="shared" si="232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31"/>
        <v>-1</v>
      </c>
    </row>
    <row r="7404" spans="1:8" x14ac:dyDescent="0.2">
      <c r="A7404" t="s">
        <v>7</v>
      </c>
      <c r="B7404" t="s">
        <v>26</v>
      </c>
      <c r="C7404" t="str">
        <f t="shared" si="232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31"/>
        <v>4</v>
      </c>
    </row>
    <row r="7405" spans="1:8" x14ac:dyDescent="0.2">
      <c r="A7405" t="s">
        <v>7</v>
      </c>
      <c r="B7405" t="s">
        <v>26</v>
      </c>
      <c r="C7405" t="str">
        <f t="shared" si="232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31"/>
        <v>4</v>
      </c>
    </row>
    <row r="7406" spans="1:8" x14ac:dyDescent="0.2">
      <c r="A7406" t="s">
        <v>7</v>
      </c>
      <c r="B7406" t="s">
        <v>26</v>
      </c>
      <c r="C7406" t="str">
        <f t="shared" si="232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31"/>
        <v>-1</v>
      </c>
    </row>
    <row r="7407" spans="1:8" x14ac:dyDescent="0.2">
      <c r="A7407" t="s">
        <v>7</v>
      </c>
      <c r="B7407" t="s">
        <v>26</v>
      </c>
      <c r="C7407" t="str">
        <f t="shared" si="232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31"/>
        <v>-1</v>
      </c>
    </row>
    <row r="7408" spans="1:8" x14ac:dyDescent="0.2">
      <c r="A7408" t="s">
        <v>7</v>
      </c>
      <c r="B7408" t="s">
        <v>26</v>
      </c>
      <c r="C7408" t="str">
        <f t="shared" si="232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31"/>
        <v>3</v>
      </c>
    </row>
    <row r="7409" spans="1:8" x14ac:dyDescent="0.2">
      <c r="A7409" t="s">
        <v>7</v>
      </c>
      <c r="B7409" t="s">
        <v>26</v>
      </c>
      <c r="C7409" t="str">
        <f t="shared" si="232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31"/>
        <v>-3</v>
      </c>
    </row>
    <row r="7410" spans="1:8" x14ac:dyDescent="0.2">
      <c r="A7410" t="s">
        <v>7</v>
      </c>
      <c r="B7410" t="s">
        <v>26</v>
      </c>
      <c r="C7410" t="str">
        <f t="shared" si="232"/>
        <v>Cumple</v>
      </c>
      <c r="D7410">
        <v>9650</v>
      </c>
      <c r="E7410" t="s">
        <v>11</v>
      </c>
      <c r="F7410" s="9">
        <v>20</v>
      </c>
      <c r="G7410">
        <v>20</v>
      </c>
      <c r="H7410">
        <f t="shared" si="231"/>
        <v>0</v>
      </c>
    </row>
    <row r="7411" spans="1:8" x14ac:dyDescent="0.2">
      <c r="A7411" t="s">
        <v>7</v>
      </c>
      <c r="B7411" t="s">
        <v>26</v>
      </c>
      <c r="C7411" t="str">
        <f t="shared" si="232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31"/>
        <v>2</v>
      </c>
    </row>
    <row r="7412" spans="1:8" x14ac:dyDescent="0.2">
      <c r="A7412" t="s">
        <v>7</v>
      </c>
      <c r="B7412" t="s">
        <v>26</v>
      </c>
      <c r="C7412" t="str">
        <f t="shared" si="232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31"/>
        <v>1</v>
      </c>
    </row>
    <row r="7413" spans="1:8" x14ac:dyDescent="0.2">
      <c r="A7413" t="s">
        <v>7</v>
      </c>
      <c r="B7413" t="s">
        <v>26</v>
      </c>
      <c r="C7413" t="str">
        <f t="shared" si="232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31"/>
        <v>1</v>
      </c>
    </row>
    <row r="7414" spans="1:8" x14ac:dyDescent="0.2">
      <c r="A7414" t="s">
        <v>7</v>
      </c>
      <c r="B7414" t="s">
        <v>26</v>
      </c>
      <c r="C7414" t="str">
        <f t="shared" si="232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31"/>
        <v>-4</v>
      </c>
    </row>
    <row r="7415" spans="1:8" x14ac:dyDescent="0.2">
      <c r="A7415" t="s">
        <v>7</v>
      </c>
      <c r="B7415" t="s">
        <v>26</v>
      </c>
      <c r="C7415" t="str">
        <f t="shared" si="232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31"/>
        <v>1</v>
      </c>
    </row>
    <row r="7416" spans="1:8" x14ac:dyDescent="0.2">
      <c r="A7416" t="s">
        <v>7</v>
      </c>
      <c r="B7416" t="s">
        <v>26</v>
      </c>
      <c r="C7416" t="str">
        <f t="shared" si="232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31"/>
        <v>0</v>
      </c>
    </row>
    <row r="7417" spans="1:8" x14ac:dyDescent="0.2">
      <c r="A7417" t="s">
        <v>7</v>
      </c>
      <c r="B7417" t="s">
        <v>26</v>
      </c>
      <c r="C7417" t="str">
        <f t="shared" si="232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31"/>
        <v>0</v>
      </c>
    </row>
    <row r="7418" spans="1:8" x14ac:dyDescent="0.2">
      <c r="A7418" t="s">
        <v>7</v>
      </c>
      <c r="B7418" t="s">
        <v>26</v>
      </c>
      <c r="C7418" t="str">
        <f t="shared" si="232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31"/>
        <v>-1</v>
      </c>
    </row>
    <row r="7419" spans="1:8" x14ac:dyDescent="0.2">
      <c r="A7419" t="s">
        <v>7</v>
      </c>
      <c r="B7419" t="s">
        <v>26</v>
      </c>
      <c r="C7419" t="str">
        <f t="shared" si="232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31"/>
        <v>-1</v>
      </c>
    </row>
    <row r="7420" spans="1:8" x14ac:dyDescent="0.2">
      <c r="A7420" t="s">
        <v>7</v>
      </c>
      <c r="B7420" t="s">
        <v>26</v>
      </c>
      <c r="C7420" t="str">
        <f t="shared" si="232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31"/>
        <v>-1</v>
      </c>
    </row>
    <row r="7421" spans="1:8" x14ac:dyDescent="0.2">
      <c r="A7421" t="s">
        <v>7</v>
      </c>
      <c r="B7421" t="s">
        <v>26</v>
      </c>
      <c r="C7421" t="str">
        <f t="shared" si="232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31"/>
        <v>-1</v>
      </c>
    </row>
    <row r="7422" spans="1:8" x14ac:dyDescent="0.2">
      <c r="A7422" t="s">
        <v>7</v>
      </c>
      <c r="B7422" t="s">
        <v>26</v>
      </c>
      <c r="C7422" t="str">
        <f t="shared" si="232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31"/>
        <v>-1</v>
      </c>
    </row>
    <row r="7423" spans="1:8" x14ac:dyDescent="0.2">
      <c r="A7423" t="s">
        <v>7</v>
      </c>
      <c r="B7423" t="s">
        <v>26</v>
      </c>
      <c r="C7423" t="str">
        <f t="shared" si="232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31"/>
        <v>-2</v>
      </c>
    </row>
    <row r="7424" spans="1:8" x14ac:dyDescent="0.2">
      <c r="A7424" t="s">
        <v>7</v>
      </c>
      <c r="B7424" t="s">
        <v>26</v>
      </c>
      <c r="C7424" t="str">
        <f t="shared" si="232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31"/>
        <v>-2</v>
      </c>
    </row>
    <row r="7425" spans="1:8" x14ac:dyDescent="0.2">
      <c r="A7425" t="s">
        <v>7</v>
      </c>
      <c r="B7425" t="s">
        <v>26</v>
      </c>
      <c r="C7425" t="str">
        <f t="shared" si="232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31"/>
        <v>-3</v>
      </c>
    </row>
    <row r="7426" spans="1:8" x14ac:dyDescent="0.2">
      <c r="A7426" t="s">
        <v>7</v>
      </c>
      <c r="B7426" t="s">
        <v>26</v>
      </c>
      <c r="C7426" t="str">
        <f t="shared" si="232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31"/>
        <v>-3</v>
      </c>
    </row>
    <row r="7427" spans="1:8" x14ac:dyDescent="0.2">
      <c r="A7427" t="s">
        <v>7</v>
      </c>
      <c r="B7427" t="s">
        <v>26</v>
      </c>
      <c r="C7427" t="str">
        <f t="shared" si="232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ref="H7427:H7490" si="233">F7427-G7427</f>
        <v>-3</v>
      </c>
    </row>
    <row r="7428" spans="1:8" x14ac:dyDescent="0.2">
      <c r="A7428" t="s">
        <v>7</v>
      </c>
      <c r="B7428" t="s">
        <v>26</v>
      </c>
      <c r="C7428" t="str">
        <f t="shared" si="232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33"/>
        <v>-3</v>
      </c>
    </row>
    <row r="7429" spans="1:8" x14ac:dyDescent="0.2">
      <c r="A7429" t="s">
        <v>7</v>
      </c>
      <c r="B7429" t="s">
        <v>26</v>
      </c>
      <c r="C7429" t="str">
        <f t="shared" ref="C7429:C7492" si="234">IF(H7429&gt;=0,"Cumple","No cumple")</f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33"/>
        <v>-3</v>
      </c>
    </row>
    <row r="7430" spans="1:8" x14ac:dyDescent="0.2">
      <c r="A7430" t="s">
        <v>7</v>
      </c>
      <c r="B7430" t="s">
        <v>26</v>
      </c>
      <c r="C7430" t="str">
        <f t="shared" si="234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33"/>
        <v>-4</v>
      </c>
    </row>
    <row r="7431" spans="1:8" x14ac:dyDescent="0.2">
      <c r="A7431" t="s">
        <v>7</v>
      </c>
      <c r="B7431" t="s">
        <v>26</v>
      </c>
      <c r="C7431" t="str">
        <f t="shared" si="234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33"/>
        <v>-4</v>
      </c>
    </row>
    <row r="7432" spans="1:8" x14ac:dyDescent="0.2">
      <c r="A7432" t="s">
        <v>7</v>
      </c>
      <c r="B7432" t="s">
        <v>26</v>
      </c>
      <c r="C7432" t="str">
        <f t="shared" si="234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33"/>
        <v>-4</v>
      </c>
    </row>
    <row r="7433" spans="1:8" x14ac:dyDescent="0.2">
      <c r="A7433" t="s">
        <v>7</v>
      </c>
      <c r="B7433" t="s">
        <v>26</v>
      </c>
      <c r="C7433" t="str">
        <f t="shared" si="234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33"/>
        <v>-5</v>
      </c>
    </row>
    <row r="7434" spans="1:8" x14ac:dyDescent="0.2">
      <c r="A7434" t="s">
        <v>7</v>
      </c>
      <c r="B7434" t="s">
        <v>26</v>
      </c>
      <c r="C7434" t="str">
        <f t="shared" si="234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33"/>
        <v>-5</v>
      </c>
    </row>
    <row r="7435" spans="1:8" x14ac:dyDescent="0.2">
      <c r="A7435" t="s">
        <v>7</v>
      </c>
      <c r="B7435" t="s">
        <v>26</v>
      </c>
      <c r="C7435" t="str">
        <f t="shared" si="234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33"/>
        <v>-5</v>
      </c>
    </row>
    <row r="7436" spans="1:8" x14ac:dyDescent="0.2">
      <c r="A7436" t="s">
        <v>7</v>
      </c>
      <c r="B7436" t="s">
        <v>26</v>
      </c>
      <c r="C7436" t="str">
        <f t="shared" si="234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33"/>
        <v>-5</v>
      </c>
    </row>
    <row r="7437" spans="1:8" x14ac:dyDescent="0.2">
      <c r="A7437" t="s">
        <v>7</v>
      </c>
      <c r="B7437" t="s">
        <v>26</v>
      </c>
      <c r="C7437" t="str">
        <f t="shared" si="234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33"/>
        <v>-5</v>
      </c>
    </row>
    <row r="7438" spans="1:8" x14ac:dyDescent="0.2">
      <c r="A7438" t="s">
        <v>7</v>
      </c>
      <c r="B7438" t="s">
        <v>26</v>
      </c>
      <c r="C7438" t="str">
        <f t="shared" si="234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33"/>
        <v>-6</v>
      </c>
    </row>
    <row r="7439" spans="1:8" x14ac:dyDescent="0.2">
      <c r="A7439" t="s">
        <v>7</v>
      </c>
      <c r="B7439" t="s">
        <v>26</v>
      </c>
      <c r="C7439" t="str">
        <f t="shared" si="234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33"/>
        <v>-6</v>
      </c>
    </row>
    <row r="7440" spans="1:8" x14ac:dyDescent="0.2">
      <c r="A7440" t="s">
        <v>7</v>
      </c>
      <c r="B7440" t="s">
        <v>26</v>
      </c>
      <c r="C7440" t="str">
        <f t="shared" si="234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33"/>
        <v>-6</v>
      </c>
    </row>
    <row r="7441" spans="1:8" x14ac:dyDescent="0.2">
      <c r="A7441" t="s">
        <v>7</v>
      </c>
      <c r="B7441" t="s">
        <v>26</v>
      </c>
      <c r="C7441" t="str">
        <f t="shared" si="234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33"/>
        <v>-7</v>
      </c>
    </row>
    <row r="7442" spans="1:8" x14ac:dyDescent="0.2">
      <c r="A7442" t="s">
        <v>7</v>
      </c>
      <c r="B7442" t="s">
        <v>26</v>
      </c>
      <c r="C7442" t="str">
        <f t="shared" si="234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33"/>
        <v>-7</v>
      </c>
    </row>
    <row r="7443" spans="1:8" x14ac:dyDescent="0.2">
      <c r="A7443" t="s">
        <v>7</v>
      </c>
      <c r="B7443" t="s">
        <v>26</v>
      </c>
      <c r="C7443" t="str">
        <f t="shared" si="234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33"/>
        <v>-7</v>
      </c>
    </row>
    <row r="7444" spans="1:8" x14ac:dyDescent="0.2">
      <c r="A7444" t="s">
        <v>7</v>
      </c>
      <c r="B7444" t="s">
        <v>26</v>
      </c>
      <c r="C7444" t="str">
        <f t="shared" si="234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33"/>
        <v>-7</v>
      </c>
    </row>
    <row r="7445" spans="1:8" x14ac:dyDescent="0.2">
      <c r="A7445" t="s">
        <v>7</v>
      </c>
      <c r="B7445" t="s">
        <v>26</v>
      </c>
      <c r="C7445" t="str">
        <f t="shared" si="234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33"/>
        <v>-7</v>
      </c>
    </row>
    <row r="7446" spans="1:8" x14ac:dyDescent="0.2">
      <c r="A7446" t="s">
        <v>7</v>
      </c>
      <c r="B7446" t="s">
        <v>26</v>
      </c>
      <c r="C7446" t="str">
        <f t="shared" si="234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33"/>
        <v>-7</v>
      </c>
    </row>
    <row r="7447" spans="1:8" x14ac:dyDescent="0.2">
      <c r="A7447" t="s">
        <v>7</v>
      </c>
      <c r="B7447" t="s">
        <v>26</v>
      </c>
      <c r="C7447" t="str">
        <f t="shared" si="234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33"/>
        <v>-7</v>
      </c>
    </row>
    <row r="7448" spans="1:8" x14ac:dyDescent="0.2">
      <c r="A7448" t="s">
        <v>7</v>
      </c>
      <c r="B7448" t="s">
        <v>26</v>
      </c>
      <c r="C7448" t="str">
        <f t="shared" si="234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33"/>
        <v>0</v>
      </c>
    </row>
    <row r="7449" spans="1:8" x14ac:dyDescent="0.2">
      <c r="A7449" t="s">
        <v>7</v>
      </c>
      <c r="B7449" t="s">
        <v>26</v>
      </c>
      <c r="C7449" t="str">
        <f t="shared" si="234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33"/>
        <v>0</v>
      </c>
    </row>
    <row r="7450" spans="1:8" x14ac:dyDescent="0.2">
      <c r="A7450" t="s">
        <v>7</v>
      </c>
      <c r="B7450" t="s">
        <v>26</v>
      </c>
      <c r="C7450" t="str">
        <f t="shared" si="234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33"/>
        <v>-8</v>
      </c>
    </row>
    <row r="7451" spans="1:8" x14ac:dyDescent="0.2">
      <c r="A7451" t="s">
        <v>7</v>
      </c>
      <c r="B7451" t="s">
        <v>26</v>
      </c>
      <c r="C7451" t="str">
        <f t="shared" si="234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33"/>
        <v>-9</v>
      </c>
    </row>
    <row r="7452" spans="1:8" x14ac:dyDescent="0.2">
      <c r="A7452" t="s">
        <v>7</v>
      </c>
      <c r="B7452" t="s">
        <v>26</v>
      </c>
      <c r="C7452" t="str">
        <f t="shared" si="234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33"/>
        <v>-9</v>
      </c>
    </row>
    <row r="7453" spans="1:8" x14ac:dyDescent="0.2">
      <c r="A7453" t="s">
        <v>7</v>
      </c>
      <c r="B7453" t="s">
        <v>26</v>
      </c>
      <c r="C7453" t="str">
        <f t="shared" si="234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33"/>
        <v>-14</v>
      </c>
    </row>
    <row r="7454" spans="1:8" x14ac:dyDescent="0.2">
      <c r="A7454" t="s">
        <v>7</v>
      </c>
      <c r="B7454" t="s">
        <v>26</v>
      </c>
      <c r="C7454" t="str">
        <f t="shared" si="234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33"/>
        <v>-9</v>
      </c>
    </row>
    <row r="7455" spans="1:8" x14ac:dyDescent="0.2">
      <c r="A7455" t="s">
        <v>7</v>
      </c>
      <c r="B7455" t="s">
        <v>26</v>
      </c>
      <c r="C7455" t="str">
        <f t="shared" si="234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33"/>
        <v>-9</v>
      </c>
    </row>
    <row r="7456" spans="1:8" x14ac:dyDescent="0.2">
      <c r="A7456" t="s">
        <v>7</v>
      </c>
      <c r="B7456" t="s">
        <v>26</v>
      </c>
      <c r="C7456" t="str">
        <f t="shared" si="234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33"/>
        <v>-10</v>
      </c>
    </row>
    <row r="7457" spans="1:8" x14ac:dyDescent="0.2">
      <c r="A7457" t="s">
        <v>7</v>
      </c>
      <c r="B7457" t="s">
        <v>26</v>
      </c>
      <c r="C7457" t="str">
        <f t="shared" si="234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33"/>
        <v>-10</v>
      </c>
    </row>
    <row r="7458" spans="1:8" x14ac:dyDescent="0.2">
      <c r="A7458" t="s">
        <v>7</v>
      </c>
      <c r="B7458" t="s">
        <v>26</v>
      </c>
      <c r="C7458" t="str">
        <f t="shared" si="234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33"/>
        <v>-10</v>
      </c>
    </row>
    <row r="7459" spans="1:8" x14ac:dyDescent="0.2">
      <c r="A7459" t="s">
        <v>7</v>
      </c>
      <c r="B7459" t="s">
        <v>26</v>
      </c>
      <c r="C7459" t="str">
        <f t="shared" si="234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33"/>
        <v>-11</v>
      </c>
    </row>
    <row r="7460" spans="1:8" x14ac:dyDescent="0.2">
      <c r="A7460" t="s">
        <v>7</v>
      </c>
      <c r="B7460" t="s">
        <v>26</v>
      </c>
      <c r="C7460" t="str">
        <f t="shared" si="234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33"/>
        <v>-16</v>
      </c>
    </row>
    <row r="7461" spans="1:8" x14ac:dyDescent="0.2">
      <c r="A7461" t="s">
        <v>7</v>
      </c>
      <c r="B7461" t="s">
        <v>26</v>
      </c>
      <c r="C7461" t="str">
        <f t="shared" si="234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33"/>
        <v>-11</v>
      </c>
    </row>
    <row r="7462" spans="1:8" x14ac:dyDescent="0.2">
      <c r="A7462" t="s">
        <v>7</v>
      </c>
      <c r="B7462" t="s">
        <v>26</v>
      </c>
      <c r="C7462" t="str">
        <f t="shared" si="234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33"/>
        <v>-11</v>
      </c>
    </row>
    <row r="7463" spans="1:8" x14ac:dyDescent="0.2">
      <c r="A7463" t="s">
        <v>7</v>
      </c>
      <c r="B7463" t="s">
        <v>26</v>
      </c>
      <c r="C7463" t="str">
        <f t="shared" si="234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33"/>
        <v>-12</v>
      </c>
    </row>
    <row r="7464" spans="1:8" x14ac:dyDescent="0.2">
      <c r="A7464" t="s">
        <v>7</v>
      </c>
      <c r="B7464" t="s">
        <v>26</v>
      </c>
      <c r="C7464" t="str">
        <f t="shared" si="234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33"/>
        <v>-12</v>
      </c>
    </row>
    <row r="7465" spans="1:8" x14ac:dyDescent="0.2">
      <c r="A7465" t="s">
        <v>7</v>
      </c>
      <c r="B7465" t="s">
        <v>26</v>
      </c>
      <c r="C7465" t="str">
        <f t="shared" si="234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33"/>
        <v>-12</v>
      </c>
    </row>
    <row r="7466" spans="1:8" x14ac:dyDescent="0.2">
      <c r="A7466" t="s">
        <v>7</v>
      </c>
      <c r="B7466" t="s">
        <v>26</v>
      </c>
      <c r="C7466" t="str">
        <f t="shared" si="234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33"/>
        <v>-13</v>
      </c>
    </row>
    <row r="7467" spans="1:8" x14ac:dyDescent="0.2">
      <c r="A7467" t="s">
        <v>7</v>
      </c>
      <c r="B7467" t="s">
        <v>26</v>
      </c>
      <c r="C7467" t="str">
        <f t="shared" si="234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33"/>
        <v>-13</v>
      </c>
    </row>
    <row r="7468" spans="1:8" x14ac:dyDescent="0.2">
      <c r="A7468" t="s">
        <v>7</v>
      </c>
      <c r="B7468" t="s">
        <v>26</v>
      </c>
      <c r="C7468" t="str">
        <f t="shared" si="234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33"/>
        <v>-18</v>
      </c>
    </row>
    <row r="7469" spans="1:8" x14ac:dyDescent="0.2">
      <c r="A7469" t="s">
        <v>7</v>
      </c>
      <c r="B7469" t="s">
        <v>26</v>
      </c>
      <c r="C7469" t="str">
        <f t="shared" si="234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33"/>
        <v>-13</v>
      </c>
    </row>
    <row r="7470" spans="1:8" x14ac:dyDescent="0.2">
      <c r="A7470" t="s">
        <v>7</v>
      </c>
      <c r="B7470" t="s">
        <v>26</v>
      </c>
      <c r="C7470" t="str">
        <f t="shared" si="234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33"/>
        <v>-13</v>
      </c>
    </row>
    <row r="7471" spans="1:8" x14ac:dyDescent="0.2">
      <c r="A7471" t="s">
        <v>7</v>
      </c>
      <c r="B7471" t="s">
        <v>26</v>
      </c>
      <c r="C7471" t="str">
        <f t="shared" si="234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33"/>
        <v>-13</v>
      </c>
    </row>
    <row r="7472" spans="1:8" x14ac:dyDescent="0.2">
      <c r="A7472" t="s">
        <v>7</v>
      </c>
      <c r="B7472" t="s">
        <v>26</v>
      </c>
      <c r="C7472" t="str">
        <f t="shared" si="234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33"/>
        <v>-13</v>
      </c>
    </row>
    <row r="7473" spans="1:8" x14ac:dyDescent="0.2">
      <c r="A7473" t="s">
        <v>7</v>
      </c>
      <c r="B7473" t="s">
        <v>26</v>
      </c>
      <c r="C7473" t="str">
        <f t="shared" si="234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33"/>
        <v>-14</v>
      </c>
    </row>
    <row r="7474" spans="1:8" x14ac:dyDescent="0.2">
      <c r="A7474" t="s">
        <v>7</v>
      </c>
      <c r="B7474" t="s">
        <v>26</v>
      </c>
      <c r="C7474" t="str">
        <f t="shared" si="234"/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si="233"/>
        <v>-14</v>
      </c>
    </row>
    <row r="7475" spans="1:8" x14ac:dyDescent="0.2">
      <c r="A7475" t="s">
        <v>18</v>
      </c>
      <c r="B7475" t="s">
        <v>26</v>
      </c>
      <c r="C7475" t="str">
        <f t="shared" si="234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33"/>
        <v>-15</v>
      </c>
    </row>
    <row r="7476" spans="1:8" x14ac:dyDescent="0.2">
      <c r="A7476" t="s">
        <v>18</v>
      </c>
      <c r="B7476" t="s">
        <v>26</v>
      </c>
      <c r="C7476" t="str">
        <f t="shared" si="234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33"/>
        <v>-15</v>
      </c>
    </row>
    <row r="7477" spans="1:8" x14ac:dyDescent="0.2">
      <c r="A7477" t="s">
        <v>19</v>
      </c>
      <c r="B7477" t="s">
        <v>26</v>
      </c>
      <c r="C7477" t="str">
        <f t="shared" si="234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33"/>
        <v>-15</v>
      </c>
    </row>
    <row r="7478" spans="1:8" x14ac:dyDescent="0.2">
      <c r="A7478" t="s">
        <v>18</v>
      </c>
      <c r="B7478" t="s">
        <v>26</v>
      </c>
      <c r="C7478" t="str">
        <f t="shared" si="234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33"/>
        <v>-15</v>
      </c>
    </row>
    <row r="7479" spans="1:8" x14ac:dyDescent="0.2">
      <c r="A7479" t="s">
        <v>18</v>
      </c>
      <c r="B7479" t="s">
        <v>26</v>
      </c>
      <c r="C7479" t="str">
        <f t="shared" si="234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33"/>
        <v>-15</v>
      </c>
    </row>
    <row r="7480" spans="1:8" x14ac:dyDescent="0.2">
      <c r="A7480" t="s">
        <v>18</v>
      </c>
      <c r="B7480" t="s">
        <v>26</v>
      </c>
      <c r="C7480" t="str">
        <f t="shared" si="234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33"/>
        <v>-15</v>
      </c>
    </row>
    <row r="7481" spans="1:8" x14ac:dyDescent="0.2">
      <c r="A7481" t="s">
        <v>19</v>
      </c>
      <c r="B7481" t="s">
        <v>26</v>
      </c>
      <c r="C7481" t="str">
        <f t="shared" si="234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33"/>
        <v>-15</v>
      </c>
    </row>
    <row r="7482" spans="1:8" x14ac:dyDescent="0.2">
      <c r="A7482" t="s">
        <v>18</v>
      </c>
      <c r="B7482" t="s">
        <v>26</v>
      </c>
      <c r="C7482" t="str">
        <f t="shared" si="234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33"/>
        <v>-15</v>
      </c>
    </row>
    <row r="7483" spans="1:8" x14ac:dyDescent="0.2">
      <c r="A7483" t="s">
        <v>19</v>
      </c>
      <c r="B7483" t="s">
        <v>26</v>
      </c>
      <c r="C7483" t="str">
        <f t="shared" si="234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33"/>
        <v>-15</v>
      </c>
    </row>
    <row r="7484" spans="1:8" x14ac:dyDescent="0.2">
      <c r="A7484" t="s">
        <v>18</v>
      </c>
      <c r="B7484" t="s">
        <v>26</v>
      </c>
      <c r="C7484" t="str">
        <f t="shared" si="234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33"/>
        <v>-15</v>
      </c>
    </row>
    <row r="7485" spans="1:8" x14ac:dyDescent="0.2">
      <c r="A7485" t="s">
        <v>7</v>
      </c>
      <c r="B7485" t="s">
        <v>26</v>
      </c>
      <c r="C7485" t="str">
        <f t="shared" si="234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33"/>
        <v>-15</v>
      </c>
    </row>
    <row r="7486" spans="1:8" x14ac:dyDescent="0.2">
      <c r="A7486" t="s">
        <v>18</v>
      </c>
      <c r="B7486" t="s">
        <v>26</v>
      </c>
      <c r="C7486" t="str">
        <f t="shared" si="234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33"/>
        <v>-15</v>
      </c>
    </row>
    <row r="7487" spans="1:8" x14ac:dyDescent="0.2">
      <c r="A7487" t="s">
        <v>18</v>
      </c>
      <c r="B7487" t="s">
        <v>26</v>
      </c>
      <c r="C7487" t="str">
        <f t="shared" si="234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33"/>
        <v>-15</v>
      </c>
    </row>
    <row r="7488" spans="1:8" x14ac:dyDescent="0.2">
      <c r="A7488" t="s">
        <v>7</v>
      </c>
      <c r="B7488" t="s">
        <v>26</v>
      </c>
      <c r="C7488" t="str">
        <f t="shared" si="234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33"/>
        <v>-15</v>
      </c>
    </row>
    <row r="7489" spans="1:8" x14ac:dyDescent="0.2">
      <c r="A7489" t="s">
        <v>18</v>
      </c>
      <c r="B7489" t="s">
        <v>26</v>
      </c>
      <c r="C7489" t="str">
        <f t="shared" si="234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33"/>
        <v>-15</v>
      </c>
    </row>
    <row r="7490" spans="1:8" x14ac:dyDescent="0.2">
      <c r="A7490" t="s">
        <v>18</v>
      </c>
      <c r="B7490" t="s">
        <v>26</v>
      </c>
      <c r="C7490" t="str">
        <f t="shared" si="234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33"/>
        <v>-15</v>
      </c>
    </row>
    <row r="7491" spans="1:8" x14ac:dyDescent="0.2">
      <c r="A7491" t="s">
        <v>18</v>
      </c>
      <c r="B7491" t="s">
        <v>26</v>
      </c>
      <c r="C7491" t="str">
        <f t="shared" si="234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ref="H7491:H7554" si="235">F7491-G7491</f>
        <v>-15</v>
      </c>
    </row>
    <row r="7492" spans="1:8" x14ac:dyDescent="0.2">
      <c r="A7492" t="s">
        <v>18</v>
      </c>
      <c r="B7492" t="s">
        <v>26</v>
      </c>
      <c r="C7492" t="str">
        <f t="shared" si="234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35"/>
        <v>-15</v>
      </c>
    </row>
    <row r="7493" spans="1:8" x14ac:dyDescent="0.2">
      <c r="A7493" t="s">
        <v>19</v>
      </c>
      <c r="B7493" t="s">
        <v>26</v>
      </c>
      <c r="C7493" t="str">
        <f t="shared" ref="C7493:C7556" si="236">IF(H7493&gt;=0,"Cumple","No cumple")</f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35"/>
        <v>-15</v>
      </c>
    </row>
    <row r="7494" spans="1:8" x14ac:dyDescent="0.2">
      <c r="A7494" t="s">
        <v>18</v>
      </c>
      <c r="B7494" t="s">
        <v>26</v>
      </c>
      <c r="C7494" t="str">
        <f t="shared" si="236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35"/>
        <v>-20</v>
      </c>
    </row>
    <row r="7495" spans="1:8" x14ac:dyDescent="0.2">
      <c r="A7495" t="s">
        <v>18</v>
      </c>
      <c r="B7495" t="s">
        <v>26</v>
      </c>
      <c r="C7495" t="str">
        <f t="shared" si="236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35"/>
        <v>-15</v>
      </c>
    </row>
    <row r="7496" spans="1:8" x14ac:dyDescent="0.2">
      <c r="A7496" t="s">
        <v>18</v>
      </c>
      <c r="B7496" t="s">
        <v>26</v>
      </c>
      <c r="C7496" t="str">
        <f t="shared" si="236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35"/>
        <v>-15</v>
      </c>
    </row>
    <row r="7497" spans="1:8" x14ac:dyDescent="0.2">
      <c r="A7497" t="s">
        <v>18</v>
      </c>
      <c r="B7497" t="s">
        <v>26</v>
      </c>
      <c r="C7497" t="str">
        <f t="shared" si="236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35"/>
        <v>-15</v>
      </c>
    </row>
    <row r="7498" spans="1:8" x14ac:dyDescent="0.2">
      <c r="A7498" t="s">
        <v>18</v>
      </c>
      <c r="B7498" t="s">
        <v>26</v>
      </c>
      <c r="C7498" t="str">
        <f t="shared" si="236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35"/>
        <v>-15</v>
      </c>
    </row>
    <row r="7499" spans="1:8" x14ac:dyDescent="0.2">
      <c r="A7499" t="s">
        <v>19</v>
      </c>
      <c r="B7499" t="s">
        <v>26</v>
      </c>
      <c r="C7499" t="str">
        <f t="shared" si="236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35"/>
        <v>-15</v>
      </c>
    </row>
    <row r="7500" spans="1:8" x14ac:dyDescent="0.2">
      <c r="A7500" t="s">
        <v>19</v>
      </c>
      <c r="B7500" t="s">
        <v>26</v>
      </c>
      <c r="C7500" t="str">
        <f t="shared" si="236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35"/>
        <v>-15</v>
      </c>
    </row>
    <row r="7501" spans="1:8" x14ac:dyDescent="0.2">
      <c r="A7501" t="s">
        <v>19</v>
      </c>
      <c r="B7501" t="s">
        <v>26</v>
      </c>
      <c r="C7501" t="str">
        <f t="shared" si="236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35"/>
        <v>-20</v>
      </c>
    </row>
    <row r="7502" spans="1:8" x14ac:dyDescent="0.2">
      <c r="A7502" t="s">
        <v>18</v>
      </c>
      <c r="B7502" t="s">
        <v>26</v>
      </c>
      <c r="C7502" t="str">
        <f t="shared" si="236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35"/>
        <v>-15</v>
      </c>
    </row>
    <row r="7503" spans="1:8" x14ac:dyDescent="0.2">
      <c r="A7503" t="s">
        <v>18</v>
      </c>
      <c r="B7503" t="s">
        <v>26</v>
      </c>
      <c r="C7503" t="str">
        <f t="shared" si="236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35"/>
        <v>-15</v>
      </c>
    </row>
    <row r="7504" spans="1:8" x14ac:dyDescent="0.2">
      <c r="A7504" t="s">
        <v>18</v>
      </c>
      <c r="B7504" t="s">
        <v>26</v>
      </c>
      <c r="C7504" t="str">
        <f t="shared" si="236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35"/>
        <v>-15</v>
      </c>
    </row>
    <row r="7505" spans="1:8" x14ac:dyDescent="0.2">
      <c r="A7505" t="s">
        <v>18</v>
      </c>
      <c r="B7505" t="s">
        <v>26</v>
      </c>
      <c r="C7505" t="str">
        <f t="shared" si="236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35"/>
        <v>-20</v>
      </c>
    </row>
    <row r="7506" spans="1:8" x14ac:dyDescent="0.2">
      <c r="A7506" t="s">
        <v>19</v>
      </c>
      <c r="B7506" t="s">
        <v>26</v>
      </c>
      <c r="C7506" t="str">
        <f t="shared" si="236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35"/>
        <v>-15</v>
      </c>
    </row>
    <row r="7507" spans="1:8" x14ac:dyDescent="0.2">
      <c r="A7507" t="s">
        <v>7</v>
      </c>
      <c r="B7507" t="s">
        <v>26</v>
      </c>
      <c r="C7507" t="str">
        <f t="shared" si="236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35"/>
        <v>-20</v>
      </c>
    </row>
    <row r="7508" spans="1:8" x14ac:dyDescent="0.2">
      <c r="A7508" t="s">
        <v>19</v>
      </c>
      <c r="B7508" t="s">
        <v>26</v>
      </c>
      <c r="C7508" t="str">
        <f t="shared" si="236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35"/>
        <v>-20</v>
      </c>
    </row>
    <row r="7509" spans="1:8" x14ac:dyDescent="0.2">
      <c r="A7509" t="s">
        <v>19</v>
      </c>
      <c r="B7509" t="s">
        <v>26</v>
      </c>
      <c r="C7509" t="str">
        <f t="shared" si="236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35"/>
        <v>-20</v>
      </c>
    </row>
    <row r="7510" spans="1:8" x14ac:dyDescent="0.2">
      <c r="A7510" t="s">
        <v>19</v>
      </c>
      <c r="B7510" t="s">
        <v>26</v>
      </c>
      <c r="C7510" t="str">
        <f t="shared" si="236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35"/>
        <v>-15</v>
      </c>
    </row>
    <row r="7511" spans="1:8" x14ac:dyDescent="0.2">
      <c r="A7511" t="s">
        <v>18</v>
      </c>
      <c r="B7511" t="s">
        <v>26</v>
      </c>
      <c r="C7511" t="str">
        <f t="shared" si="236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35"/>
        <v>-15</v>
      </c>
    </row>
    <row r="7512" spans="1:8" x14ac:dyDescent="0.2">
      <c r="A7512" t="s">
        <v>18</v>
      </c>
      <c r="B7512" t="s">
        <v>26</v>
      </c>
      <c r="C7512" t="str">
        <f t="shared" si="236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35"/>
        <v>-15</v>
      </c>
    </row>
    <row r="7513" spans="1:8" x14ac:dyDescent="0.2">
      <c r="A7513" t="s">
        <v>18</v>
      </c>
      <c r="B7513" t="s">
        <v>26</v>
      </c>
      <c r="C7513" t="str">
        <f t="shared" si="236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35"/>
        <v>-15</v>
      </c>
    </row>
    <row r="7514" spans="1:8" x14ac:dyDescent="0.2">
      <c r="A7514" t="s">
        <v>7</v>
      </c>
      <c r="B7514" t="s">
        <v>26</v>
      </c>
      <c r="C7514" t="str">
        <f t="shared" si="236"/>
        <v>Cumple</v>
      </c>
      <c r="D7514">
        <v>3691</v>
      </c>
      <c r="E7514" t="s">
        <v>13</v>
      </c>
      <c r="F7514">
        <v>16</v>
      </c>
      <c r="G7514">
        <v>6</v>
      </c>
      <c r="H7514">
        <f t="shared" si="235"/>
        <v>10</v>
      </c>
    </row>
    <row r="7515" spans="1:8" x14ac:dyDescent="0.2">
      <c r="A7515" t="s">
        <v>7</v>
      </c>
      <c r="B7515" t="s">
        <v>26</v>
      </c>
      <c r="C7515" t="str">
        <f t="shared" si="236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si="235"/>
        <v>8</v>
      </c>
    </row>
    <row r="7516" spans="1:8" x14ac:dyDescent="0.2">
      <c r="A7516" t="s">
        <v>7</v>
      </c>
      <c r="B7516" t="s">
        <v>26</v>
      </c>
      <c r="C7516" t="str">
        <f t="shared" si="236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35"/>
        <v>7</v>
      </c>
    </row>
    <row r="7517" spans="1:8" x14ac:dyDescent="0.2">
      <c r="A7517" t="s">
        <v>7</v>
      </c>
      <c r="B7517" t="s">
        <v>26</v>
      </c>
      <c r="C7517" t="str">
        <f t="shared" si="236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35"/>
        <v>7</v>
      </c>
    </row>
    <row r="7518" spans="1:8" x14ac:dyDescent="0.2">
      <c r="A7518" t="s">
        <v>7</v>
      </c>
      <c r="B7518" t="s">
        <v>26</v>
      </c>
      <c r="C7518" t="str">
        <f t="shared" si="236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35"/>
        <v>6</v>
      </c>
    </row>
    <row r="7519" spans="1:8" x14ac:dyDescent="0.2">
      <c r="A7519" t="s">
        <v>7</v>
      </c>
      <c r="B7519" t="s">
        <v>26</v>
      </c>
      <c r="C7519" t="str">
        <f t="shared" si="236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35"/>
        <v>6</v>
      </c>
    </row>
    <row r="7520" spans="1:8" x14ac:dyDescent="0.2">
      <c r="A7520" t="s">
        <v>7</v>
      </c>
      <c r="B7520" t="s">
        <v>26</v>
      </c>
      <c r="C7520" t="str">
        <f t="shared" si="236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35"/>
        <v>6</v>
      </c>
    </row>
    <row r="7521" spans="1:8" x14ac:dyDescent="0.2">
      <c r="A7521" t="s">
        <v>7</v>
      </c>
      <c r="B7521" t="s">
        <v>26</v>
      </c>
      <c r="C7521" t="str">
        <f t="shared" si="236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35"/>
        <v>6</v>
      </c>
    </row>
    <row r="7522" spans="1:8" x14ac:dyDescent="0.2">
      <c r="A7522" t="s">
        <v>7</v>
      </c>
      <c r="B7522" t="s">
        <v>26</v>
      </c>
      <c r="C7522" t="str">
        <f t="shared" si="236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35"/>
        <v>5</v>
      </c>
    </row>
    <row r="7523" spans="1:8" x14ac:dyDescent="0.2">
      <c r="A7523" t="s">
        <v>7</v>
      </c>
      <c r="B7523" t="s">
        <v>26</v>
      </c>
      <c r="C7523" t="str">
        <f t="shared" si="236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35"/>
        <v>5</v>
      </c>
    </row>
    <row r="7524" spans="1:8" x14ac:dyDescent="0.2">
      <c r="A7524" t="s">
        <v>7</v>
      </c>
      <c r="B7524" t="s">
        <v>26</v>
      </c>
      <c r="C7524" t="str">
        <f t="shared" si="236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35"/>
        <v>5</v>
      </c>
    </row>
    <row r="7525" spans="1:8" x14ac:dyDescent="0.2">
      <c r="A7525" t="s">
        <v>7</v>
      </c>
      <c r="B7525" t="s">
        <v>26</v>
      </c>
      <c r="C7525" t="str">
        <f t="shared" si="236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35"/>
        <v>5</v>
      </c>
    </row>
    <row r="7526" spans="1:8" x14ac:dyDescent="0.2">
      <c r="A7526" t="s">
        <v>7</v>
      </c>
      <c r="B7526" t="s">
        <v>26</v>
      </c>
      <c r="C7526" t="str">
        <f t="shared" si="236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35"/>
        <v>5</v>
      </c>
    </row>
    <row r="7527" spans="1:8" x14ac:dyDescent="0.2">
      <c r="A7527" t="s">
        <v>7</v>
      </c>
      <c r="B7527" t="s">
        <v>26</v>
      </c>
      <c r="C7527" t="str">
        <f t="shared" si="236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35"/>
        <v>5</v>
      </c>
    </row>
    <row r="7528" spans="1:8" x14ac:dyDescent="0.2">
      <c r="A7528" t="s">
        <v>7</v>
      </c>
      <c r="B7528" t="s">
        <v>26</v>
      </c>
      <c r="C7528" t="str">
        <f t="shared" si="236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35"/>
        <v>5</v>
      </c>
    </row>
    <row r="7529" spans="1:8" x14ac:dyDescent="0.2">
      <c r="A7529" t="s">
        <v>7</v>
      </c>
      <c r="B7529" t="s">
        <v>26</v>
      </c>
      <c r="C7529" t="str">
        <f t="shared" si="236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35"/>
        <v>5</v>
      </c>
    </row>
    <row r="7530" spans="1:8" x14ac:dyDescent="0.2">
      <c r="A7530" t="s">
        <v>7</v>
      </c>
      <c r="B7530" t="s">
        <v>26</v>
      </c>
      <c r="C7530" t="str">
        <f t="shared" si="236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35"/>
        <v>5</v>
      </c>
    </row>
    <row r="7531" spans="1:8" x14ac:dyDescent="0.2">
      <c r="A7531" t="s">
        <v>7</v>
      </c>
      <c r="B7531" t="s">
        <v>26</v>
      </c>
      <c r="C7531" t="str">
        <f t="shared" si="236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35"/>
        <v>5</v>
      </c>
    </row>
    <row r="7532" spans="1:8" x14ac:dyDescent="0.2">
      <c r="A7532" t="s">
        <v>7</v>
      </c>
      <c r="B7532" t="s">
        <v>26</v>
      </c>
      <c r="C7532" t="str">
        <f t="shared" si="236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35"/>
        <v>5</v>
      </c>
    </row>
    <row r="7533" spans="1:8" x14ac:dyDescent="0.2">
      <c r="A7533" t="s">
        <v>7</v>
      </c>
      <c r="B7533" t="s">
        <v>26</v>
      </c>
      <c r="C7533" t="str">
        <f t="shared" si="236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35"/>
        <v>5</v>
      </c>
    </row>
    <row r="7534" spans="1:8" x14ac:dyDescent="0.2">
      <c r="A7534" t="s">
        <v>7</v>
      </c>
      <c r="B7534" t="s">
        <v>26</v>
      </c>
      <c r="C7534" t="str">
        <f t="shared" si="236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35"/>
        <v>5</v>
      </c>
    </row>
    <row r="7535" spans="1:8" x14ac:dyDescent="0.2">
      <c r="A7535" t="s">
        <v>7</v>
      </c>
      <c r="B7535" t="s">
        <v>26</v>
      </c>
      <c r="C7535" t="str">
        <f t="shared" si="236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35"/>
        <v>5</v>
      </c>
    </row>
    <row r="7536" spans="1:8" x14ac:dyDescent="0.2">
      <c r="A7536" t="s">
        <v>7</v>
      </c>
      <c r="B7536" t="s">
        <v>26</v>
      </c>
      <c r="C7536" t="str">
        <f t="shared" si="236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35"/>
        <v>8</v>
      </c>
    </row>
    <row r="7537" spans="1:8" x14ac:dyDescent="0.2">
      <c r="A7537" t="s">
        <v>7</v>
      </c>
      <c r="B7537" t="s">
        <v>26</v>
      </c>
      <c r="C7537" t="str">
        <f t="shared" si="236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35"/>
        <v>4</v>
      </c>
    </row>
    <row r="7538" spans="1:8" x14ac:dyDescent="0.2">
      <c r="A7538" t="s">
        <v>7</v>
      </c>
      <c r="B7538" t="s">
        <v>26</v>
      </c>
      <c r="C7538" t="str">
        <f t="shared" si="236"/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35"/>
        <v>4</v>
      </c>
    </row>
    <row r="7539" spans="1:8" x14ac:dyDescent="0.2">
      <c r="A7539" t="s">
        <v>7</v>
      </c>
      <c r="B7539" t="s">
        <v>26</v>
      </c>
      <c r="C7539" t="str">
        <f t="shared" si="236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35"/>
        <v>4</v>
      </c>
    </row>
    <row r="7540" spans="1:8" x14ac:dyDescent="0.2">
      <c r="A7540" t="s">
        <v>7</v>
      </c>
      <c r="B7540" t="s">
        <v>26</v>
      </c>
      <c r="C7540" t="str">
        <f t="shared" si="236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35"/>
        <v>4</v>
      </c>
    </row>
    <row r="7541" spans="1:8" x14ac:dyDescent="0.2">
      <c r="A7541" t="s">
        <v>7</v>
      </c>
      <c r="B7541" t="s">
        <v>26</v>
      </c>
      <c r="C7541" t="str">
        <f t="shared" si="236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35"/>
        <v>4</v>
      </c>
    </row>
    <row r="7542" spans="1:8" x14ac:dyDescent="0.2">
      <c r="A7542" t="s">
        <v>7</v>
      </c>
      <c r="B7542" t="s">
        <v>26</v>
      </c>
      <c r="C7542" t="str">
        <f t="shared" si="236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35"/>
        <v>4</v>
      </c>
    </row>
    <row r="7543" spans="1:8" x14ac:dyDescent="0.2">
      <c r="A7543" t="s">
        <v>7</v>
      </c>
      <c r="B7543" t="s">
        <v>26</v>
      </c>
      <c r="C7543" t="str">
        <f t="shared" si="236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35"/>
        <v>4</v>
      </c>
    </row>
    <row r="7544" spans="1:8" x14ac:dyDescent="0.2">
      <c r="A7544" t="s">
        <v>7</v>
      </c>
      <c r="B7544" t="s">
        <v>26</v>
      </c>
      <c r="C7544" t="str">
        <f t="shared" si="236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35"/>
        <v>4</v>
      </c>
    </row>
    <row r="7545" spans="1:8" x14ac:dyDescent="0.2">
      <c r="A7545" t="s">
        <v>7</v>
      </c>
      <c r="B7545" t="s">
        <v>26</v>
      </c>
      <c r="C7545" t="str">
        <f t="shared" si="236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35"/>
        <v>4</v>
      </c>
    </row>
    <row r="7546" spans="1:8" x14ac:dyDescent="0.2">
      <c r="A7546" t="s">
        <v>7</v>
      </c>
      <c r="B7546" t="s">
        <v>26</v>
      </c>
      <c r="C7546" t="str">
        <f t="shared" si="236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35"/>
        <v>4</v>
      </c>
    </row>
    <row r="7547" spans="1:8" x14ac:dyDescent="0.2">
      <c r="A7547" t="s">
        <v>7</v>
      </c>
      <c r="B7547" t="s">
        <v>26</v>
      </c>
      <c r="C7547" t="str">
        <f t="shared" si="236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35"/>
        <v>4</v>
      </c>
    </row>
    <row r="7548" spans="1:8" x14ac:dyDescent="0.2">
      <c r="A7548" t="s">
        <v>7</v>
      </c>
      <c r="B7548" t="s">
        <v>26</v>
      </c>
      <c r="C7548" t="str">
        <f t="shared" si="236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35"/>
        <v>4</v>
      </c>
    </row>
    <row r="7549" spans="1:8" x14ac:dyDescent="0.2">
      <c r="A7549" t="s">
        <v>7</v>
      </c>
      <c r="B7549" t="s">
        <v>26</v>
      </c>
      <c r="C7549" t="str">
        <f t="shared" si="236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35"/>
        <v>4</v>
      </c>
    </row>
    <row r="7550" spans="1:8" x14ac:dyDescent="0.2">
      <c r="A7550" t="s">
        <v>7</v>
      </c>
      <c r="B7550" t="s">
        <v>26</v>
      </c>
      <c r="C7550" t="str">
        <f t="shared" si="236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35"/>
        <v>4</v>
      </c>
    </row>
    <row r="7551" spans="1:8" x14ac:dyDescent="0.2">
      <c r="A7551" t="s">
        <v>7</v>
      </c>
      <c r="B7551" t="s">
        <v>26</v>
      </c>
      <c r="C7551" t="str">
        <f t="shared" si="236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35"/>
        <v>3</v>
      </c>
    </row>
    <row r="7552" spans="1:8" x14ac:dyDescent="0.2">
      <c r="A7552" t="s">
        <v>7</v>
      </c>
      <c r="B7552" t="s">
        <v>26</v>
      </c>
      <c r="C7552" t="str">
        <f t="shared" si="236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35"/>
        <v>3</v>
      </c>
    </row>
    <row r="7553" spans="1:8" x14ac:dyDescent="0.2">
      <c r="A7553" t="s">
        <v>7</v>
      </c>
      <c r="B7553" t="s">
        <v>26</v>
      </c>
      <c r="C7553" t="str">
        <f t="shared" si="236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35"/>
        <v>3</v>
      </c>
    </row>
    <row r="7554" spans="1:8" x14ac:dyDescent="0.2">
      <c r="A7554" t="s">
        <v>7</v>
      </c>
      <c r="B7554" t="s">
        <v>26</v>
      </c>
      <c r="C7554" t="str">
        <f t="shared" si="236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35"/>
        <v>6</v>
      </c>
    </row>
    <row r="7555" spans="1:8" x14ac:dyDescent="0.2">
      <c r="A7555" t="s">
        <v>7</v>
      </c>
      <c r="B7555" t="s">
        <v>26</v>
      </c>
      <c r="C7555" t="str">
        <f t="shared" si="236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ref="H7555:H7618" si="237">F7555-G7555</f>
        <v>3</v>
      </c>
    </row>
    <row r="7556" spans="1:8" x14ac:dyDescent="0.2">
      <c r="A7556" t="s">
        <v>7</v>
      </c>
      <c r="B7556" t="s">
        <v>26</v>
      </c>
      <c r="C7556" t="str">
        <f t="shared" si="236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37"/>
        <v>3</v>
      </c>
    </row>
    <row r="7557" spans="1:8" x14ac:dyDescent="0.2">
      <c r="A7557" t="s">
        <v>7</v>
      </c>
      <c r="B7557" t="s">
        <v>26</v>
      </c>
      <c r="C7557" t="str">
        <f t="shared" ref="C7557:C7620" si="238">IF(H7557&gt;=0,"Cumple","No cumple")</f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37"/>
        <v>3</v>
      </c>
    </row>
    <row r="7558" spans="1:8" x14ac:dyDescent="0.2">
      <c r="A7558" t="s">
        <v>7</v>
      </c>
      <c r="B7558" t="s">
        <v>26</v>
      </c>
      <c r="C7558" t="str">
        <f t="shared" si="238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37"/>
        <v>3</v>
      </c>
    </row>
    <row r="7559" spans="1:8" x14ac:dyDescent="0.2">
      <c r="A7559" t="s">
        <v>7</v>
      </c>
      <c r="B7559" t="s">
        <v>26</v>
      </c>
      <c r="C7559" t="str">
        <f t="shared" si="238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37"/>
        <v>3</v>
      </c>
    </row>
    <row r="7560" spans="1:8" x14ac:dyDescent="0.2">
      <c r="A7560" t="s">
        <v>7</v>
      </c>
      <c r="B7560" t="s">
        <v>26</v>
      </c>
      <c r="C7560" t="str">
        <f t="shared" si="238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37"/>
        <v>3</v>
      </c>
    </row>
    <row r="7561" spans="1:8" x14ac:dyDescent="0.2">
      <c r="A7561" t="s">
        <v>7</v>
      </c>
      <c r="B7561" t="s">
        <v>26</v>
      </c>
      <c r="C7561" t="str">
        <f t="shared" si="238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37"/>
        <v>6</v>
      </c>
    </row>
    <row r="7562" spans="1:8" x14ac:dyDescent="0.2">
      <c r="A7562" t="s">
        <v>7</v>
      </c>
      <c r="B7562" t="s">
        <v>26</v>
      </c>
      <c r="C7562" t="str">
        <f t="shared" si="238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37"/>
        <v>3</v>
      </c>
    </row>
    <row r="7563" spans="1:8" x14ac:dyDescent="0.2">
      <c r="A7563" t="s">
        <v>7</v>
      </c>
      <c r="B7563" t="s">
        <v>26</v>
      </c>
      <c r="C7563" t="str">
        <f t="shared" si="238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37"/>
        <v>5</v>
      </c>
    </row>
    <row r="7564" spans="1:8" x14ac:dyDescent="0.2">
      <c r="A7564" t="s">
        <v>7</v>
      </c>
      <c r="B7564" t="s">
        <v>26</v>
      </c>
      <c r="C7564" t="str">
        <f t="shared" si="238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37"/>
        <v>2</v>
      </c>
    </row>
    <row r="7565" spans="1:8" x14ac:dyDescent="0.2">
      <c r="A7565" t="s">
        <v>7</v>
      </c>
      <c r="B7565" t="s">
        <v>26</v>
      </c>
      <c r="C7565" t="str">
        <f t="shared" si="238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37"/>
        <v>2</v>
      </c>
    </row>
    <row r="7566" spans="1:8" x14ac:dyDescent="0.2">
      <c r="A7566" t="s">
        <v>7</v>
      </c>
      <c r="B7566" t="s">
        <v>26</v>
      </c>
      <c r="C7566" t="str">
        <f t="shared" si="238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37"/>
        <v>2</v>
      </c>
    </row>
    <row r="7567" spans="1:8" x14ac:dyDescent="0.2">
      <c r="A7567" t="s">
        <v>7</v>
      </c>
      <c r="B7567" t="s">
        <v>26</v>
      </c>
      <c r="C7567" t="str">
        <f t="shared" si="238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37"/>
        <v>2</v>
      </c>
    </row>
    <row r="7568" spans="1:8" x14ac:dyDescent="0.2">
      <c r="A7568" t="s">
        <v>7</v>
      </c>
      <c r="B7568" t="s">
        <v>26</v>
      </c>
      <c r="C7568" t="str">
        <f t="shared" si="238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37"/>
        <v>5</v>
      </c>
    </row>
    <row r="7569" spans="1:8" x14ac:dyDescent="0.2">
      <c r="A7569" t="s">
        <v>7</v>
      </c>
      <c r="B7569" t="s">
        <v>26</v>
      </c>
      <c r="C7569" t="str">
        <f t="shared" si="238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37"/>
        <v>2</v>
      </c>
    </row>
    <row r="7570" spans="1:8" x14ac:dyDescent="0.2">
      <c r="A7570" t="s">
        <v>7</v>
      </c>
      <c r="B7570" t="s">
        <v>26</v>
      </c>
      <c r="C7570" t="str">
        <f t="shared" si="238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37"/>
        <v>2</v>
      </c>
    </row>
    <row r="7571" spans="1:8" x14ac:dyDescent="0.2">
      <c r="A7571" t="s">
        <v>7</v>
      </c>
      <c r="B7571" t="s">
        <v>26</v>
      </c>
      <c r="C7571" t="str">
        <f t="shared" si="238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37"/>
        <v>2</v>
      </c>
    </row>
    <row r="7572" spans="1:8" x14ac:dyDescent="0.2">
      <c r="A7572" t="s">
        <v>7</v>
      </c>
      <c r="B7572" t="s">
        <v>26</v>
      </c>
      <c r="C7572" t="str">
        <f t="shared" si="238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37"/>
        <v>2</v>
      </c>
    </row>
    <row r="7573" spans="1:8" x14ac:dyDescent="0.2">
      <c r="A7573" t="s">
        <v>7</v>
      </c>
      <c r="B7573" t="s">
        <v>26</v>
      </c>
      <c r="C7573" t="str">
        <f t="shared" si="238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37"/>
        <v>2</v>
      </c>
    </row>
    <row r="7574" spans="1:8" x14ac:dyDescent="0.2">
      <c r="A7574" t="s">
        <v>7</v>
      </c>
      <c r="B7574" t="s">
        <v>26</v>
      </c>
      <c r="C7574" t="str">
        <f t="shared" si="238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37"/>
        <v>2</v>
      </c>
    </row>
    <row r="7575" spans="1:8" x14ac:dyDescent="0.2">
      <c r="A7575" t="s">
        <v>7</v>
      </c>
      <c r="B7575" t="s">
        <v>26</v>
      </c>
      <c r="C7575" t="str">
        <f t="shared" si="238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37"/>
        <v>2</v>
      </c>
    </row>
    <row r="7576" spans="1:8" x14ac:dyDescent="0.2">
      <c r="A7576" t="s">
        <v>7</v>
      </c>
      <c r="B7576" t="s">
        <v>26</v>
      </c>
      <c r="C7576" t="str">
        <f t="shared" si="238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37"/>
        <v>2</v>
      </c>
    </row>
    <row r="7577" spans="1:8" x14ac:dyDescent="0.2">
      <c r="A7577" t="s">
        <v>7</v>
      </c>
      <c r="B7577" t="s">
        <v>26</v>
      </c>
      <c r="C7577" t="str">
        <f t="shared" si="238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37"/>
        <v>2</v>
      </c>
    </row>
    <row r="7578" spans="1:8" x14ac:dyDescent="0.2">
      <c r="A7578" t="s">
        <v>7</v>
      </c>
      <c r="B7578" t="s">
        <v>26</v>
      </c>
      <c r="C7578" t="str">
        <f t="shared" si="238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37"/>
        <v>2</v>
      </c>
    </row>
    <row r="7579" spans="1:8" x14ac:dyDescent="0.2">
      <c r="A7579" t="s">
        <v>7</v>
      </c>
      <c r="B7579" t="s">
        <v>26</v>
      </c>
      <c r="C7579" t="str">
        <f t="shared" si="238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si="237"/>
        <v>2</v>
      </c>
    </row>
    <row r="7580" spans="1:8" x14ac:dyDescent="0.2">
      <c r="A7580" t="s">
        <v>7</v>
      </c>
      <c r="B7580" t="s">
        <v>26</v>
      </c>
      <c r="C7580" t="str">
        <f t="shared" si="238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37"/>
        <v>5</v>
      </c>
    </row>
    <row r="7581" spans="1:8" x14ac:dyDescent="0.2">
      <c r="A7581" t="s">
        <v>7</v>
      </c>
      <c r="B7581" t="s">
        <v>26</v>
      </c>
      <c r="C7581" t="str">
        <f t="shared" si="238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37"/>
        <v>2</v>
      </c>
    </row>
    <row r="7582" spans="1:8" x14ac:dyDescent="0.2">
      <c r="A7582" t="s">
        <v>7</v>
      </c>
      <c r="B7582" t="s">
        <v>26</v>
      </c>
      <c r="C7582" t="str">
        <f t="shared" si="238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37"/>
        <v>2</v>
      </c>
    </row>
    <row r="7583" spans="1:8" x14ac:dyDescent="0.2">
      <c r="A7583" t="s">
        <v>7</v>
      </c>
      <c r="B7583" t="s">
        <v>26</v>
      </c>
      <c r="C7583" t="str">
        <f t="shared" si="238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37"/>
        <v>2</v>
      </c>
    </row>
    <row r="7584" spans="1:8" x14ac:dyDescent="0.2">
      <c r="A7584" t="s">
        <v>7</v>
      </c>
      <c r="B7584" t="s">
        <v>26</v>
      </c>
      <c r="C7584" t="str">
        <f t="shared" si="238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37"/>
        <v>2</v>
      </c>
    </row>
    <row r="7585" spans="1:8" x14ac:dyDescent="0.2">
      <c r="A7585" t="s">
        <v>7</v>
      </c>
      <c r="B7585" t="s">
        <v>26</v>
      </c>
      <c r="C7585" t="str">
        <f t="shared" si="238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37"/>
        <v>2</v>
      </c>
    </row>
    <row r="7586" spans="1:8" x14ac:dyDescent="0.2">
      <c r="A7586" t="s">
        <v>7</v>
      </c>
      <c r="B7586" t="s">
        <v>26</v>
      </c>
      <c r="C7586" t="str">
        <f t="shared" si="238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37"/>
        <v>2</v>
      </c>
    </row>
    <row r="7587" spans="1:8" x14ac:dyDescent="0.2">
      <c r="A7587" t="s">
        <v>7</v>
      </c>
      <c r="B7587" t="s">
        <v>26</v>
      </c>
      <c r="C7587" t="str">
        <f t="shared" si="238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37"/>
        <v>2</v>
      </c>
    </row>
    <row r="7588" spans="1:8" x14ac:dyDescent="0.2">
      <c r="A7588" t="s">
        <v>7</v>
      </c>
      <c r="B7588" t="s">
        <v>26</v>
      </c>
      <c r="C7588" t="str">
        <f t="shared" si="238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37"/>
        <v>2</v>
      </c>
    </row>
    <row r="7589" spans="1:8" x14ac:dyDescent="0.2">
      <c r="A7589" t="s">
        <v>7</v>
      </c>
      <c r="B7589" t="s">
        <v>26</v>
      </c>
      <c r="C7589" t="str">
        <f t="shared" si="238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37"/>
        <v>2</v>
      </c>
    </row>
    <row r="7590" spans="1:8" x14ac:dyDescent="0.2">
      <c r="A7590" t="s">
        <v>7</v>
      </c>
      <c r="B7590" t="s">
        <v>26</v>
      </c>
      <c r="C7590" t="str">
        <f t="shared" si="238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37"/>
        <v>2</v>
      </c>
    </row>
    <row r="7591" spans="1:8" x14ac:dyDescent="0.2">
      <c r="A7591" t="s">
        <v>7</v>
      </c>
      <c r="B7591" t="s">
        <v>26</v>
      </c>
      <c r="C7591" t="str">
        <f t="shared" si="238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37"/>
        <v>2</v>
      </c>
    </row>
    <row r="7592" spans="1:8" x14ac:dyDescent="0.2">
      <c r="A7592" t="s">
        <v>7</v>
      </c>
      <c r="B7592" t="s">
        <v>26</v>
      </c>
      <c r="C7592" t="str">
        <f t="shared" si="238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37"/>
        <v>5</v>
      </c>
    </row>
    <row r="7593" spans="1:8" x14ac:dyDescent="0.2">
      <c r="A7593" t="s">
        <v>7</v>
      </c>
      <c r="B7593" t="s">
        <v>26</v>
      </c>
      <c r="C7593" t="str">
        <f t="shared" si="238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37"/>
        <v>4</v>
      </c>
    </row>
    <row r="7594" spans="1:8" x14ac:dyDescent="0.2">
      <c r="A7594" t="s">
        <v>7</v>
      </c>
      <c r="B7594" t="s">
        <v>26</v>
      </c>
      <c r="C7594" t="str">
        <f t="shared" si="238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37"/>
        <v>1</v>
      </c>
    </row>
    <row r="7595" spans="1:8" x14ac:dyDescent="0.2">
      <c r="A7595" t="s">
        <v>7</v>
      </c>
      <c r="B7595" t="s">
        <v>26</v>
      </c>
      <c r="C7595" t="str">
        <f t="shared" si="238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37"/>
        <v>1</v>
      </c>
    </row>
    <row r="7596" spans="1:8" x14ac:dyDescent="0.2">
      <c r="A7596" t="s">
        <v>7</v>
      </c>
      <c r="B7596" t="s">
        <v>26</v>
      </c>
      <c r="C7596" t="str">
        <f t="shared" si="238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37"/>
        <v>1</v>
      </c>
    </row>
    <row r="7597" spans="1:8" x14ac:dyDescent="0.2">
      <c r="A7597" t="s">
        <v>7</v>
      </c>
      <c r="B7597" t="s">
        <v>26</v>
      </c>
      <c r="C7597" t="str">
        <f t="shared" si="238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37"/>
        <v>1</v>
      </c>
    </row>
    <row r="7598" spans="1:8" x14ac:dyDescent="0.2">
      <c r="A7598" t="s">
        <v>7</v>
      </c>
      <c r="B7598" t="s">
        <v>26</v>
      </c>
      <c r="C7598" t="str">
        <f t="shared" si="238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37"/>
        <v>1</v>
      </c>
    </row>
    <row r="7599" spans="1:8" x14ac:dyDescent="0.2">
      <c r="A7599" t="s">
        <v>7</v>
      </c>
      <c r="B7599" t="s">
        <v>26</v>
      </c>
      <c r="C7599" t="str">
        <f t="shared" si="238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37"/>
        <v>4</v>
      </c>
    </row>
    <row r="7600" spans="1:8" x14ac:dyDescent="0.2">
      <c r="A7600" t="s">
        <v>7</v>
      </c>
      <c r="B7600" t="s">
        <v>26</v>
      </c>
      <c r="C7600" t="str">
        <f t="shared" si="238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37"/>
        <v>1</v>
      </c>
    </row>
    <row r="7601" spans="1:8" x14ac:dyDescent="0.2">
      <c r="A7601" t="s">
        <v>7</v>
      </c>
      <c r="B7601" t="s">
        <v>26</v>
      </c>
      <c r="C7601" t="str">
        <f t="shared" si="238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37"/>
        <v>4</v>
      </c>
    </row>
    <row r="7602" spans="1:8" x14ac:dyDescent="0.2">
      <c r="A7602" t="s">
        <v>7</v>
      </c>
      <c r="B7602" t="s">
        <v>26</v>
      </c>
      <c r="C7602" t="str">
        <f t="shared" si="238"/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37"/>
        <v>1</v>
      </c>
    </row>
    <row r="7603" spans="1:8" x14ac:dyDescent="0.2">
      <c r="A7603" t="s">
        <v>7</v>
      </c>
      <c r="B7603" t="s">
        <v>26</v>
      </c>
      <c r="C7603" t="str">
        <f t="shared" si="238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37"/>
        <v>4</v>
      </c>
    </row>
    <row r="7604" spans="1:8" x14ac:dyDescent="0.2">
      <c r="A7604" t="s">
        <v>7</v>
      </c>
      <c r="B7604" t="s">
        <v>26</v>
      </c>
      <c r="C7604" t="str">
        <f t="shared" si="238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37"/>
        <v>1</v>
      </c>
    </row>
    <row r="7605" spans="1:8" x14ac:dyDescent="0.2">
      <c r="A7605" t="s">
        <v>7</v>
      </c>
      <c r="B7605" t="s">
        <v>26</v>
      </c>
      <c r="C7605" t="str">
        <f t="shared" si="238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37"/>
        <v>4</v>
      </c>
    </row>
    <row r="7606" spans="1:8" x14ac:dyDescent="0.2">
      <c r="A7606" t="s">
        <v>7</v>
      </c>
      <c r="B7606" t="s">
        <v>26</v>
      </c>
      <c r="C7606" t="str">
        <f t="shared" si="238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37"/>
        <v>1</v>
      </c>
    </row>
    <row r="7607" spans="1:8" x14ac:dyDescent="0.2">
      <c r="A7607" t="s">
        <v>7</v>
      </c>
      <c r="B7607" t="s">
        <v>26</v>
      </c>
      <c r="C7607" t="str">
        <f t="shared" si="238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37"/>
        <v>1</v>
      </c>
    </row>
    <row r="7608" spans="1:8" x14ac:dyDescent="0.2">
      <c r="A7608" t="s">
        <v>7</v>
      </c>
      <c r="B7608" t="s">
        <v>26</v>
      </c>
      <c r="C7608" t="str">
        <f t="shared" si="238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37"/>
        <v>1</v>
      </c>
    </row>
    <row r="7609" spans="1:8" x14ac:dyDescent="0.2">
      <c r="A7609" t="s">
        <v>7</v>
      </c>
      <c r="B7609" t="s">
        <v>26</v>
      </c>
      <c r="C7609" t="str">
        <f t="shared" si="238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37"/>
        <v>1</v>
      </c>
    </row>
    <row r="7610" spans="1:8" x14ac:dyDescent="0.2">
      <c r="A7610" t="s">
        <v>7</v>
      </c>
      <c r="B7610" t="s">
        <v>26</v>
      </c>
      <c r="C7610" t="str">
        <f t="shared" si="238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37"/>
        <v>1</v>
      </c>
    </row>
    <row r="7611" spans="1:8" x14ac:dyDescent="0.2">
      <c r="A7611" t="s">
        <v>7</v>
      </c>
      <c r="B7611" t="s">
        <v>26</v>
      </c>
      <c r="C7611" t="str">
        <f t="shared" si="238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37"/>
        <v>1</v>
      </c>
    </row>
    <row r="7612" spans="1:8" x14ac:dyDescent="0.2">
      <c r="A7612" t="s">
        <v>7</v>
      </c>
      <c r="B7612" t="s">
        <v>26</v>
      </c>
      <c r="C7612" t="str">
        <f t="shared" si="238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37"/>
        <v>1</v>
      </c>
    </row>
    <row r="7613" spans="1:8" x14ac:dyDescent="0.2">
      <c r="A7613" t="s">
        <v>7</v>
      </c>
      <c r="B7613" t="s">
        <v>26</v>
      </c>
      <c r="C7613" t="str">
        <f t="shared" si="238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37"/>
        <v>1</v>
      </c>
    </row>
    <row r="7614" spans="1:8" x14ac:dyDescent="0.2">
      <c r="A7614" t="s">
        <v>7</v>
      </c>
      <c r="B7614" t="s">
        <v>26</v>
      </c>
      <c r="C7614" t="str">
        <f t="shared" si="238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37"/>
        <v>4</v>
      </c>
    </row>
    <row r="7615" spans="1:8" x14ac:dyDescent="0.2">
      <c r="A7615" t="s">
        <v>7</v>
      </c>
      <c r="B7615" t="s">
        <v>26</v>
      </c>
      <c r="C7615" t="str">
        <f t="shared" si="238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37"/>
        <v>1</v>
      </c>
    </row>
    <row r="7616" spans="1:8" x14ac:dyDescent="0.2">
      <c r="A7616" t="s">
        <v>7</v>
      </c>
      <c r="B7616" t="s">
        <v>26</v>
      </c>
      <c r="C7616" t="str">
        <f t="shared" si="238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37"/>
        <v>4</v>
      </c>
    </row>
    <row r="7617" spans="1:8" x14ac:dyDescent="0.2">
      <c r="A7617" t="s">
        <v>7</v>
      </c>
      <c r="B7617" t="s">
        <v>26</v>
      </c>
      <c r="C7617" t="str">
        <f t="shared" si="238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37"/>
        <v>0</v>
      </c>
    </row>
    <row r="7618" spans="1:8" x14ac:dyDescent="0.2">
      <c r="A7618" t="s">
        <v>7</v>
      </c>
      <c r="B7618" t="s">
        <v>26</v>
      </c>
      <c r="C7618" t="str">
        <f t="shared" si="238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37"/>
        <v>0</v>
      </c>
    </row>
    <row r="7619" spans="1:8" x14ac:dyDescent="0.2">
      <c r="A7619" t="s">
        <v>7</v>
      </c>
      <c r="B7619" t="s">
        <v>26</v>
      </c>
      <c r="C7619" t="str">
        <f t="shared" si="238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ref="H7619:H7682" si="239">F7619-G7619</f>
        <v>3</v>
      </c>
    </row>
    <row r="7620" spans="1:8" x14ac:dyDescent="0.2">
      <c r="A7620" t="s">
        <v>7</v>
      </c>
      <c r="B7620" t="s">
        <v>26</v>
      </c>
      <c r="C7620" t="str">
        <f t="shared" si="238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39"/>
        <v>0</v>
      </c>
    </row>
    <row r="7621" spans="1:8" x14ac:dyDescent="0.2">
      <c r="A7621" t="s">
        <v>7</v>
      </c>
      <c r="B7621" t="s">
        <v>26</v>
      </c>
      <c r="C7621" t="str">
        <f t="shared" ref="C7621:C7684" si="240">IF(H7621&gt;=0,"Cumple","No cumple")</f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39"/>
        <v>3</v>
      </c>
    </row>
    <row r="7622" spans="1:8" x14ac:dyDescent="0.2">
      <c r="A7622" t="s">
        <v>7</v>
      </c>
      <c r="B7622" t="s">
        <v>26</v>
      </c>
      <c r="C7622" t="str">
        <f t="shared" si="240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39"/>
        <v>0</v>
      </c>
    </row>
    <row r="7623" spans="1:8" x14ac:dyDescent="0.2">
      <c r="A7623" t="s">
        <v>7</v>
      </c>
      <c r="B7623" t="s">
        <v>26</v>
      </c>
      <c r="C7623" t="str">
        <f t="shared" si="240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39"/>
        <v>0</v>
      </c>
    </row>
    <row r="7624" spans="1:8" x14ac:dyDescent="0.2">
      <c r="A7624" t="s">
        <v>7</v>
      </c>
      <c r="B7624" t="s">
        <v>26</v>
      </c>
      <c r="C7624" t="str">
        <f t="shared" si="240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39"/>
        <v>3</v>
      </c>
    </row>
    <row r="7625" spans="1:8" x14ac:dyDescent="0.2">
      <c r="A7625" t="s">
        <v>7</v>
      </c>
      <c r="B7625" t="s">
        <v>26</v>
      </c>
      <c r="C7625" t="str">
        <f t="shared" si="240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39"/>
        <v>3</v>
      </c>
    </row>
    <row r="7626" spans="1:8" x14ac:dyDescent="0.2">
      <c r="A7626" t="s">
        <v>7</v>
      </c>
      <c r="B7626" t="s">
        <v>26</v>
      </c>
      <c r="C7626" t="str">
        <f t="shared" si="240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39"/>
        <v>0</v>
      </c>
    </row>
    <row r="7627" spans="1:8" x14ac:dyDescent="0.2">
      <c r="A7627" t="s">
        <v>7</v>
      </c>
      <c r="B7627" t="s">
        <v>26</v>
      </c>
      <c r="C7627" t="str">
        <f t="shared" si="240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39"/>
        <v>3</v>
      </c>
    </row>
    <row r="7628" spans="1:8" x14ac:dyDescent="0.2">
      <c r="A7628" t="s">
        <v>7</v>
      </c>
      <c r="B7628" t="s">
        <v>26</v>
      </c>
      <c r="C7628" t="str">
        <f t="shared" si="240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39"/>
        <v>0</v>
      </c>
    </row>
    <row r="7629" spans="1:8" x14ac:dyDescent="0.2">
      <c r="A7629" t="s">
        <v>7</v>
      </c>
      <c r="B7629" t="s">
        <v>26</v>
      </c>
      <c r="C7629" t="str">
        <f t="shared" si="240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39"/>
        <v>3</v>
      </c>
    </row>
    <row r="7630" spans="1:8" x14ac:dyDescent="0.2">
      <c r="A7630" t="s">
        <v>7</v>
      </c>
      <c r="B7630" t="s">
        <v>26</v>
      </c>
      <c r="C7630" t="str">
        <f t="shared" si="240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39"/>
        <v>0</v>
      </c>
    </row>
    <row r="7631" spans="1:8" x14ac:dyDescent="0.2">
      <c r="A7631" t="s">
        <v>7</v>
      </c>
      <c r="B7631" t="s">
        <v>26</v>
      </c>
      <c r="C7631" t="str">
        <f t="shared" si="240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39"/>
        <v>0</v>
      </c>
    </row>
    <row r="7632" spans="1:8" x14ac:dyDescent="0.2">
      <c r="A7632" t="s">
        <v>7</v>
      </c>
      <c r="B7632" t="s">
        <v>26</v>
      </c>
      <c r="C7632" t="str">
        <f t="shared" si="240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39"/>
        <v>3</v>
      </c>
    </row>
    <row r="7633" spans="1:8" x14ac:dyDescent="0.2">
      <c r="A7633" t="s">
        <v>7</v>
      </c>
      <c r="B7633" t="s">
        <v>26</v>
      </c>
      <c r="C7633" t="str">
        <f t="shared" si="240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39"/>
        <v>3</v>
      </c>
    </row>
    <row r="7634" spans="1:8" x14ac:dyDescent="0.2">
      <c r="A7634" t="s">
        <v>7</v>
      </c>
      <c r="B7634" t="s">
        <v>26</v>
      </c>
      <c r="C7634" t="str">
        <f t="shared" si="240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39"/>
        <v>0</v>
      </c>
    </row>
    <row r="7635" spans="1:8" x14ac:dyDescent="0.2">
      <c r="A7635" t="s">
        <v>7</v>
      </c>
      <c r="B7635" t="s">
        <v>26</v>
      </c>
      <c r="C7635" t="str">
        <f t="shared" si="240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39"/>
        <v>0</v>
      </c>
    </row>
    <row r="7636" spans="1:8" x14ac:dyDescent="0.2">
      <c r="A7636" t="s">
        <v>7</v>
      </c>
      <c r="B7636" t="s">
        <v>26</v>
      </c>
      <c r="C7636" t="str">
        <f t="shared" si="240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39"/>
        <v>0</v>
      </c>
    </row>
    <row r="7637" spans="1:8" x14ac:dyDescent="0.2">
      <c r="A7637" t="s">
        <v>7</v>
      </c>
      <c r="B7637" t="s">
        <v>26</v>
      </c>
      <c r="C7637" t="str">
        <f t="shared" si="240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39"/>
        <v>0</v>
      </c>
    </row>
    <row r="7638" spans="1:8" x14ac:dyDescent="0.2">
      <c r="A7638" t="s">
        <v>7</v>
      </c>
      <c r="B7638" t="s">
        <v>26</v>
      </c>
      <c r="C7638" t="str">
        <f t="shared" si="240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39"/>
        <v>0</v>
      </c>
    </row>
    <row r="7639" spans="1:8" x14ac:dyDescent="0.2">
      <c r="A7639" t="s">
        <v>7</v>
      </c>
      <c r="B7639" t="s">
        <v>26</v>
      </c>
      <c r="C7639" t="str">
        <f t="shared" si="240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39"/>
        <v>3</v>
      </c>
    </row>
    <row r="7640" spans="1:8" x14ac:dyDescent="0.2">
      <c r="A7640" t="s">
        <v>7</v>
      </c>
      <c r="B7640" t="s">
        <v>26</v>
      </c>
      <c r="C7640" t="str">
        <f t="shared" si="240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39"/>
        <v>3</v>
      </c>
    </row>
    <row r="7641" spans="1:8" x14ac:dyDescent="0.2">
      <c r="A7641" t="s">
        <v>7</v>
      </c>
      <c r="B7641" t="s">
        <v>26</v>
      </c>
      <c r="C7641" t="str">
        <f t="shared" si="240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39"/>
        <v>3</v>
      </c>
    </row>
    <row r="7642" spans="1:8" x14ac:dyDescent="0.2">
      <c r="A7642" t="s">
        <v>7</v>
      </c>
      <c r="B7642" t="s">
        <v>26</v>
      </c>
      <c r="C7642" t="str">
        <f t="shared" si="240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39"/>
        <v>0</v>
      </c>
    </row>
    <row r="7643" spans="1:8" x14ac:dyDescent="0.2">
      <c r="A7643" t="s">
        <v>7</v>
      </c>
      <c r="B7643" t="s">
        <v>26</v>
      </c>
      <c r="C7643" t="str">
        <f t="shared" si="240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si="239"/>
        <v>3</v>
      </c>
    </row>
    <row r="7644" spans="1:8" x14ac:dyDescent="0.2">
      <c r="A7644" t="s">
        <v>7</v>
      </c>
      <c r="B7644" t="s">
        <v>26</v>
      </c>
      <c r="C7644" t="str">
        <f t="shared" si="240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39"/>
        <v>0</v>
      </c>
    </row>
    <row r="7645" spans="1:8" x14ac:dyDescent="0.2">
      <c r="A7645" t="s">
        <v>7</v>
      </c>
      <c r="B7645" t="s">
        <v>26</v>
      </c>
      <c r="C7645" t="str">
        <f t="shared" si="240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39"/>
        <v>0</v>
      </c>
    </row>
    <row r="7646" spans="1:8" x14ac:dyDescent="0.2">
      <c r="A7646" t="s">
        <v>7</v>
      </c>
      <c r="B7646" t="s">
        <v>26</v>
      </c>
      <c r="C7646" t="str">
        <f t="shared" si="240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39"/>
        <v>0</v>
      </c>
    </row>
    <row r="7647" spans="1:8" x14ac:dyDescent="0.2">
      <c r="A7647" t="s">
        <v>7</v>
      </c>
      <c r="B7647" t="s">
        <v>26</v>
      </c>
      <c r="C7647" t="str">
        <f t="shared" si="240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39"/>
        <v>0</v>
      </c>
    </row>
    <row r="7648" spans="1:8" x14ac:dyDescent="0.2">
      <c r="A7648" t="s">
        <v>7</v>
      </c>
      <c r="B7648" t="s">
        <v>26</v>
      </c>
      <c r="C7648" t="str">
        <f t="shared" si="240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39"/>
        <v>0</v>
      </c>
    </row>
    <row r="7649" spans="1:8" x14ac:dyDescent="0.2">
      <c r="A7649" t="s">
        <v>7</v>
      </c>
      <c r="B7649" t="s">
        <v>26</v>
      </c>
      <c r="C7649" t="str">
        <f t="shared" si="240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39"/>
        <v>0</v>
      </c>
    </row>
    <row r="7650" spans="1:8" x14ac:dyDescent="0.2">
      <c r="A7650" t="s">
        <v>7</v>
      </c>
      <c r="B7650" t="s">
        <v>26</v>
      </c>
      <c r="C7650" t="str">
        <f t="shared" si="240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39"/>
        <v>3</v>
      </c>
    </row>
    <row r="7651" spans="1:8" x14ac:dyDescent="0.2">
      <c r="A7651" t="s">
        <v>7</v>
      </c>
      <c r="B7651" t="s">
        <v>26</v>
      </c>
      <c r="C7651" t="str">
        <f t="shared" si="240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39"/>
        <v>3</v>
      </c>
    </row>
    <row r="7652" spans="1:8" x14ac:dyDescent="0.2">
      <c r="A7652" t="s">
        <v>7</v>
      </c>
      <c r="B7652" t="s">
        <v>26</v>
      </c>
      <c r="C7652" t="str">
        <f t="shared" si="240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39"/>
        <v>3</v>
      </c>
    </row>
    <row r="7653" spans="1:8" x14ac:dyDescent="0.2">
      <c r="A7653" t="s">
        <v>7</v>
      </c>
      <c r="B7653" t="s">
        <v>26</v>
      </c>
      <c r="C7653" t="str">
        <f t="shared" si="240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39"/>
        <v>3</v>
      </c>
    </row>
    <row r="7654" spans="1:8" x14ac:dyDescent="0.2">
      <c r="A7654" t="s">
        <v>7</v>
      </c>
      <c r="B7654" t="s">
        <v>26</v>
      </c>
      <c r="C7654" t="str">
        <f t="shared" si="240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39"/>
        <v>0</v>
      </c>
    </row>
    <row r="7655" spans="1:8" x14ac:dyDescent="0.2">
      <c r="A7655" t="s">
        <v>7</v>
      </c>
      <c r="B7655" t="s">
        <v>26</v>
      </c>
      <c r="C7655" t="str">
        <f t="shared" si="240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39"/>
        <v>2</v>
      </c>
    </row>
    <row r="7656" spans="1:8" x14ac:dyDescent="0.2">
      <c r="A7656" t="s">
        <v>7</v>
      </c>
      <c r="B7656" t="s">
        <v>26</v>
      </c>
      <c r="C7656" t="str">
        <f t="shared" si="240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39"/>
        <v>0</v>
      </c>
    </row>
    <row r="7657" spans="1:8" x14ac:dyDescent="0.2">
      <c r="A7657" t="s">
        <v>7</v>
      </c>
      <c r="B7657" t="s">
        <v>26</v>
      </c>
      <c r="C7657" t="str">
        <f t="shared" si="240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39"/>
        <v>-1</v>
      </c>
    </row>
    <row r="7658" spans="1:8" x14ac:dyDescent="0.2">
      <c r="A7658" t="s">
        <v>7</v>
      </c>
      <c r="B7658" t="s">
        <v>26</v>
      </c>
      <c r="C7658" t="str">
        <f t="shared" si="240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39"/>
        <v>2</v>
      </c>
    </row>
    <row r="7659" spans="1:8" x14ac:dyDescent="0.2">
      <c r="A7659" t="s">
        <v>7</v>
      </c>
      <c r="B7659" t="s">
        <v>26</v>
      </c>
      <c r="C7659" t="str">
        <f t="shared" si="240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39"/>
        <v>0</v>
      </c>
    </row>
    <row r="7660" spans="1:8" x14ac:dyDescent="0.2">
      <c r="A7660" t="s">
        <v>7</v>
      </c>
      <c r="B7660" t="s">
        <v>26</v>
      </c>
      <c r="C7660" t="str">
        <f t="shared" si="240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39"/>
        <v>2</v>
      </c>
    </row>
    <row r="7661" spans="1:8" x14ac:dyDescent="0.2">
      <c r="A7661" t="s">
        <v>7</v>
      </c>
      <c r="B7661" t="s">
        <v>26</v>
      </c>
      <c r="C7661" t="str">
        <f t="shared" si="240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39"/>
        <v>-1</v>
      </c>
    </row>
    <row r="7662" spans="1:8" x14ac:dyDescent="0.2">
      <c r="A7662" t="s">
        <v>7</v>
      </c>
      <c r="B7662" t="s">
        <v>26</v>
      </c>
      <c r="C7662" t="str">
        <f t="shared" si="240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39"/>
        <v>2</v>
      </c>
    </row>
    <row r="7663" spans="1:8" x14ac:dyDescent="0.2">
      <c r="A7663" t="s">
        <v>7</v>
      </c>
      <c r="B7663" t="s">
        <v>26</v>
      </c>
      <c r="C7663" t="str">
        <f t="shared" si="240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39"/>
        <v>0</v>
      </c>
    </row>
    <row r="7664" spans="1:8" x14ac:dyDescent="0.2">
      <c r="A7664" t="s">
        <v>7</v>
      </c>
      <c r="B7664" t="s">
        <v>26</v>
      </c>
      <c r="C7664" t="str">
        <f t="shared" si="240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39"/>
        <v>2</v>
      </c>
    </row>
    <row r="7665" spans="1:8" x14ac:dyDescent="0.2">
      <c r="A7665" t="s">
        <v>7</v>
      </c>
      <c r="B7665" t="s">
        <v>26</v>
      </c>
      <c r="C7665" t="str">
        <f t="shared" si="240"/>
        <v>No cumple</v>
      </c>
      <c r="D7665">
        <v>2850</v>
      </c>
      <c r="E7665" t="s">
        <v>13</v>
      </c>
      <c r="F7665">
        <v>5</v>
      </c>
      <c r="G7665">
        <v>6</v>
      </c>
      <c r="H7665">
        <f t="shared" si="239"/>
        <v>-1</v>
      </c>
    </row>
    <row r="7666" spans="1:8" x14ac:dyDescent="0.2">
      <c r="A7666" t="s">
        <v>7</v>
      </c>
      <c r="B7666" t="s">
        <v>26</v>
      </c>
      <c r="C7666" t="str">
        <f t="shared" si="240"/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39"/>
        <v>-1</v>
      </c>
    </row>
    <row r="7667" spans="1:8" x14ac:dyDescent="0.2">
      <c r="A7667" t="s">
        <v>7</v>
      </c>
      <c r="B7667" t="s">
        <v>26</v>
      </c>
      <c r="C7667" t="str">
        <f t="shared" si="240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39"/>
        <v>2</v>
      </c>
    </row>
    <row r="7668" spans="1:8" x14ac:dyDescent="0.2">
      <c r="A7668" t="s">
        <v>7</v>
      </c>
      <c r="B7668" t="s">
        <v>26</v>
      </c>
      <c r="C7668" t="str">
        <f t="shared" si="240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39"/>
        <v>0</v>
      </c>
    </row>
    <row r="7669" spans="1:8" x14ac:dyDescent="0.2">
      <c r="A7669" t="s">
        <v>7</v>
      </c>
      <c r="B7669" t="s">
        <v>26</v>
      </c>
      <c r="C7669" t="str">
        <f t="shared" si="240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39"/>
        <v>-1</v>
      </c>
    </row>
    <row r="7670" spans="1:8" x14ac:dyDescent="0.2">
      <c r="A7670" t="s">
        <v>7</v>
      </c>
      <c r="B7670" t="s">
        <v>26</v>
      </c>
      <c r="C7670" t="str">
        <f t="shared" si="240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39"/>
        <v>2</v>
      </c>
    </row>
    <row r="7671" spans="1:8" x14ac:dyDescent="0.2">
      <c r="A7671" t="s">
        <v>7</v>
      </c>
      <c r="B7671" t="s">
        <v>26</v>
      </c>
      <c r="C7671" t="str">
        <f t="shared" si="240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39"/>
        <v>2</v>
      </c>
    </row>
    <row r="7672" spans="1:8" x14ac:dyDescent="0.2">
      <c r="A7672" t="s">
        <v>7</v>
      </c>
      <c r="B7672" t="s">
        <v>26</v>
      </c>
      <c r="C7672" t="str">
        <f t="shared" si="240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39"/>
        <v>0</v>
      </c>
    </row>
    <row r="7673" spans="1:8" x14ac:dyDescent="0.2">
      <c r="A7673" t="s">
        <v>7</v>
      </c>
      <c r="B7673" t="s">
        <v>26</v>
      </c>
      <c r="C7673" t="str">
        <f t="shared" si="240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39"/>
        <v>2</v>
      </c>
    </row>
    <row r="7674" spans="1:8" x14ac:dyDescent="0.2">
      <c r="A7674" t="s">
        <v>7</v>
      </c>
      <c r="B7674" t="s">
        <v>26</v>
      </c>
      <c r="C7674" t="str">
        <f t="shared" si="240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39"/>
        <v>2</v>
      </c>
    </row>
    <row r="7675" spans="1:8" x14ac:dyDescent="0.2">
      <c r="A7675" t="s">
        <v>7</v>
      </c>
      <c r="B7675" t="s">
        <v>26</v>
      </c>
      <c r="C7675" t="str">
        <f t="shared" si="240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39"/>
        <v>-1</v>
      </c>
    </row>
    <row r="7676" spans="1:8" x14ac:dyDescent="0.2">
      <c r="A7676" t="s">
        <v>7</v>
      </c>
      <c r="B7676" t="s">
        <v>26</v>
      </c>
      <c r="C7676" t="str">
        <f t="shared" si="240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39"/>
        <v>-1</v>
      </c>
    </row>
    <row r="7677" spans="1:8" x14ac:dyDescent="0.2">
      <c r="A7677" t="s">
        <v>7</v>
      </c>
      <c r="B7677" t="s">
        <v>26</v>
      </c>
      <c r="C7677" t="str">
        <f t="shared" si="240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39"/>
        <v>-1</v>
      </c>
    </row>
    <row r="7678" spans="1:8" x14ac:dyDescent="0.2">
      <c r="A7678" t="s">
        <v>7</v>
      </c>
      <c r="B7678" t="s">
        <v>26</v>
      </c>
      <c r="C7678" t="str">
        <f t="shared" si="240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39"/>
        <v>-1</v>
      </c>
    </row>
    <row r="7679" spans="1:8" x14ac:dyDescent="0.2">
      <c r="A7679" t="s">
        <v>7</v>
      </c>
      <c r="B7679" t="s">
        <v>26</v>
      </c>
      <c r="C7679" t="str">
        <f t="shared" si="240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39"/>
        <v>0</v>
      </c>
    </row>
    <row r="7680" spans="1:8" x14ac:dyDescent="0.2">
      <c r="A7680" t="s">
        <v>7</v>
      </c>
      <c r="B7680" t="s">
        <v>26</v>
      </c>
      <c r="C7680" t="str">
        <f t="shared" si="240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39"/>
        <v>0</v>
      </c>
    </row>
    <row r="7681" spans="1:8" x14ac:dyDescent="0.2">
      <c r="A7681" t="s">
        <v>7</v>
      </c>
      <c r="B7681" t="s">
        <v>26</v>
      </c>
      <c r="C7681" t="str">
        <f t="shared" si="240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39"/>
        <v>2</v>
      </c>
    </row>
    <row r="7682" spans="1:8" x14ac:dyDescent="0.2">
      <c r="A7682" t="s">
        <v>7</v>
      </c>
      <c r="B7682" t="s">
        <v>26</v>
      </c>
      <c r="C7682" t="str">
        <f t="shared" si="240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39"/>
        <v>-1</v>
      </c>
    </row>
    <row r="7683" spans="1:8" x14ac:dyDescent="0.2">
      <c r="A7683" t="s">
        <v>7</v>
      </c>
      <c r="B7683" t="s">
        <v>26</v>
      </c>
      <c r="C7683" t="str">
        <f t="shared" si="240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ref="H7683:H7746" si="241">F7683-G7683</f>
        <v>3</v>
      </c>
    </row>
    <row r="7684" spans="1:8" x14ac:dyDescent="0.2">
      <c r="A7684" t="s">
        <v>7</v>
      </c>
      <c r="B7684" t="s">
        <v>26</v>
      </c>
      <c r="C7684" t="str">
        <f t="shared" si="240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41"/>
        <v>1</v>
      </c>
    </row>
    <row r="7685" spans="1:8" x14ac:dyDescent="0.2">
      <c r="A7685" t="s">
        <v>7</v>
      </c>
      <c r="B7685" t="s">
        <v>26</v>
      </c>
      <c r="C7685" t="str">
        <f t="shared" ref="C7685:C7748" si="242">IF(H7685&gt;=0,"Cumple","No cumple")</f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41"/>
        <v>1</v>
      </c>
    </row>
    <row r="7686" spans="1:8" x14ac:dyDescent="0.2">
      <c r="A7686" t="s">
        <v>7</v>
      </c>
      <c r="B7686" t="s">
        <v>26</v>
      </c>
      <c r="C7686" t="str">
        <f t="shared" si="242"/>
        <v>No cumple</v>
      </c>
      <c r="D7686">
        <v>291</v>
      </c>
      <c r="E7686" t="s">
        <v>13</v>
      </c>
      <c r="F7686">
        <v>4</v>
      </c>
      <c r="G7686">
        <v>6</v>
      </c>
      <c r="H7686">
        <f t="shared" si="241"/>
        <v>-2</v>
      </c>
    </row>
    <row r="7687" spans="1:8" x14ac:dyDescent="0.2">
      <c r="A7687" t="s">
        <v>7</v>
      </c>
      <c r="B7687" t="s">
        <v>26</v>
      </c>
      <c r="C7687" t="str">
        <f t="shared" si="242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41"/>
        <v>1</v>
      </c>
    </row>
    <row r="7688" spans="1:8" x14ac:dyDescent="0.2">
      <c r="A7688" t="s">
        <v>7</v>
      </c>
      <c r="B7688" t="s">
        <v>26</v>
      </c>
      <c r="C7688" t="str">
        <f t="shared" si="242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41"/>
        <v>1</v>
      </c>
    </row>
    <row r="7689" spans="1:8" x14ac:dyDescent="0.2">
      <c r="A7689" t="s">
        <v>7</v>
      </c>
      <c r="B7689" t="s">
        <v>26</v>
      </c>
      <c r="C7689" t="str">
        <f t="shared" si="242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41"/>
        <v>0</v>
      </c>
    </row>
    <row r="7690" spans="1:8" x14ac:dyDescent="0.2">
      <c r="A7690" t="s">
        <v>7</v>
      </c>
      <c r="B7690" t="s">
        <v>26</v>
      </c>
      <c r="C7690" t="str">
        <f t="shared" si="242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41"/>
        <v>1</v>
      </c>
    </row>
    <row r="7691" spans="1:8" x14ac:dyDescent="0.2">
      <c r="A7691" t="s">
        <v>7</v>
      </c>
      <c r="B7691" t="s">
        <v>26</v>
      </c>
      <c r="C7691" t="str">
        <f t="shared" si="242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41"/>
        <v>-2</v>
      </c>
    </row>
    <row r="7692" spans="1:8" x14ac:dyDescent="0.2">
      <c r="A7692" t="s">
        <v>7</v>
      </c>
      <c r="B7692" t="s">
        <v>26</v>
      </c>
      <c r="C7692" t="str">
        <f t="shared" si="242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41"/>
        <v>1</v>
      </c>
    </row>
    <row r="7693" spans="1:8" x14ac:dyDescent="0.2">
      <c r="A7693" t="s">
        <v>7</v>
      </c>
      <c r="B7693" t="s">
        <v>26</v>
      </c>
      <c r="C7693" t="str">
        <f t="shared" si="242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41"/>
        <v>0</v>
      </c>
    </row>
    <row r="7694" spans="1:8" x14ac:dyDescent="0.2">
      <c r="A7694" t="s">
        <v>7</v>
      </c>
      <c r="B7694" t="s">
        <v>26</v>
      </c>
      <c r="C7694" t="str">
        <f t="shared" si="242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41"/>
        <v>0</v>
      </c>
    </row>
    <row r="7695" spans="1:8" x14ac:dyDescent="0.2">
      <c r="A7695" t="s">
        <v>7</v>
      </c>
      <c r="B7695" t="s">
        <v>26</v>
      </c>
      <c r="C7695" t="str">
        <f t="shared" si="242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41"/>
        <v>1</v>
      </c>
    </row>
    <row r="7696" spans="1:8" x14ac:dyDescent="0.2">
      <c r="A7696" t="s">
        <v>7</v>
      </c>
      <c r="B7696" t="s">
        <v>26</v>
      </c>
      <c r="C7696" t="str">
        <f t="shared" si="242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41"/>
        <v>-2</v>
      </c>
    </row>
    <row r="7697" spans="1:8" x14ac:dyDescent="0.2">
      <c r="A7697" t="s">
        <v>7</v>
      </c>
      <c r="B7697" t="s">
        <v>26</v>
      </c>
      <c r="C7697" t="str">
        <f t="shared" si="242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41"/>
        <v>1</v>
      </c>
    </row>
    <row r="7698" spans="1:8" x14ac:dyDescent="0.2">
      <c r="A7698" t="s">
        <v>7</v>
      </c>
      <c r="B7698" t="s">
        <v>26</v>
      </c>
      <c r="C7698" t="str">
        <f t="shared" si="242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41"/>
        <v>1</v>
      </c>
    </row>
    <row r="7699" spans="1:8" x14ac:dyDescent="0.2">
      <c r="A7699" t="s">
        <v>7</v>
      </c>
      <c r="B7699" t="s">
        <v>26</v>
      </c>
      <c r="C7699" t="str">
        <f t="shared" si="242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41"/>
        <v>1</v>
      </c>
    </row>
    <row r="7700" spans="1:8" x14ac:dyDescent="0.2">
      <c r="A7700" t="s">
        <v>7</v>
      </c>
      <c r="B7700" t="s">
        <v>26</v>
      </c>
      <c r="C7700" t="str">
        <f t="shared" si="242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41"/>
        <v>1</v>
      </c>
    </row>
    <row r="7701" spans="1:8" x14ac:dyDescent="0.2">
      <c r="A7701" t="s">
        <v>7</v>
      </c>
      <c r="B7701" t="s">
        <v>26</v>
      </c>
      <c r="C7701" t="str">
        <f t="shared" si="242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41"/>
        <v>-2</v>
      </c>
    </row>
    <row r="7702" spans="1:8" x14ac:dyDescent="0.2">
      <c r="A7702" t="s">
        <v>7</v>
      </c>
      <c r="B7702" t="s">
        <v>26</v>
      </c>
      <c r="C7702" t="str">
        <f t="shared" si="242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41"/>
        <v>0</v>
      </c>
    </row>
    <row r="7703" spans="1:8" x14ac:dyDescent="0.2">
      <c r="A7703" t="s">
        <v>7</v>
      </c>
      <c r="B7703" t="s">
        <v>26</v>
      </c>
      <c r="C7703" t="str">
        <f t="shared" si="242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41"/>
        <v>1</v>
      </c>
    </row>
    <row r="7704" spans="1:8" x14ac:dyDescent="0.2">
      <c r="A7704" t="s">
        <v>7</v>
      </c>
      <c r="B7704" t="s">
        <v>26</v>
      </c>
      <c r="C7704" t="str">
        <f t="shared" si="242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41"/>
        <v>1</v>
      </c>
    </row>
    <row r="7705" spans="1:8" x14ac:dyDescent="0.2">
      <c r="A7705" t="s">
        <v>7</v>
      </c>
      <c r="B7705" t="s">
        <v>26</v>
      </c>
      <c r="C7705" t="str">
        <f t="shared" si="242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41"/>
        <v>-2</v>
      </c>
    </row>
    <row r="7706" spans="1:8" x14ac:dyDescent="0.2">
      <c r="A7706" t="s">
        <v>7</v>
      </c>
      <c r="B7706" t="s">
        <v>26</v>
      </c>
      <c r="C7706" t="str">
        <f t="shared" si="242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41"/>
        <v>-2</v>
      </c>
    </row>
    <row r="7707" spans="1:8" x14ac:dyDescent="0.2">
      <c r="A7707" t="s">
        <v>7</v>
      </c>
      <c r="B7707" t="s">
        <v>26</v>
      </c>
      <c r="C7707" t="str">
        <f t="shared" si="242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si="241"/>
        <v>1</v>
      </c>
    </row>
    <row r="7708" spans="1:8" x14ac:dyDescent="0.2">
      <c r="A7708" t="s">
        <v>7</v>
      </c>
      <c r="B7708" t="s">
        <v>26</v>
      </c>
      <c r="C7708" t="str">
        <f t="shared" si="242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41"/>
        <v>1</v>
      </c>
    </row>
    <row r="7709" spans="1:8" x14ac:dyDescent="0.2">
      <c r="A7709" t="s">
        <v>7</v>
      </c>
      <c r="B7709" t="s">
        <v>26</v>
      </c>
      <c r="C7709" t="str">
        <f t="shared" si="242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41"/>
        <v>1</v>
      </c>
    </row>
    <row r="7710" spans="1:8" x14ac:dyDescent="0.2">
      <c r="A7710" t="s">
        <v>7</v>
      </c>
      <c r="B7710" t="s">
        <v>26</v>
      </c>
      <c r="C7710" t="str">
        <f t="shared" si="242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41"/>
        <v>1</v>
      </c>
    </row>
    <row r="7711" spans="1:8" x14ac:dyDescent="0.2">
      <c r="A7711" t="s">
        <v>7</v>
      </c>
      <c r="B7711" t="s">
        <v>26</v>
      </c>
      <c r="C7711" t="str">
        <f t="shared" si="242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41"/>
        <v>-2</v>
      </c>
    </row>
    <row r="7712" spans="1:8" x14ac:dyDescent="0.2">
      <c r="A7712" t="s">
        <v>7</v>
      </c>
      <c r="B7712" t="s">
        <v>26</v>
      </c>
      <c r="C7712" t="str">
        <f t="shared" si="242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41"/>
        <v>1</v>
      </c>
    </row>
    <row r="7713" spans="1:8" x14ac:dyDescent="0.2">
      <c r="A7713" t="s">
        <v>7</v>
      </c>
      <c r="B7713" t="s">
        <v>26</v>
      </c>
      <c r="C7713" t="str">
        <f t="shared" si="242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41"/>
        <v>0</v>
      </c>
    </row>
    <row r="7714" spans="1:8" x14ac:dyDescent="0.2">
      <c r="A7714" t="s">
        <v>7</v>
      </c>
      <c r="B7714" t="s">
        <v>26</v>
      </c>
      <c r="C7714" t="str">
        <f t="shared" si="242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41"/>
        <v>0</v>
      </c>
    </row>
    <row r="7715" spans="1:8" x14ac:dyDescent="0.2">
      <c r="A7715" t="s">
        <v>7</v>
      </c>
      <c r="B7715" t="s">
        <v>26</v>
      </c>
      <c r="C7715" t="str">
        <f t="shared" si="242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41"/>
        <v>-3</v>
      </c>
    </row>
    <row r="7716" spans="1:8" x14ac:dyDescent="0.2">
      <c r="A7716" t="s">
        <v>7</v>
      </c>
      <c r="B7716" t="s">
        <v>26</v>
      </c>
      <c r="C7716" t="str">
        <f t="shared" si="242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41"/>
        <v>-3</v>
      </c>
    </row>
    <row r="7717" spans="1:8" x14ac:dyDescent="0.2">
      <c r="A7717" t="s">
        <v>7</v>
      </c>
      <c r="B7717" t="s">
        <v>26</v>
      </c>
      <c r="C7717" t="str">
        <f t="shared" si="242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41"/>
        <v>0</v>
      </c>
    </row>
    <row r="7718" spans="1:8" x14ac:dyDescent="0.2">
      <c r="A7718" t="s">
        <v>7</v>
      </c>
      <c r="B7718" t="s">
        <v>26</v>
      </c>
      <c r="C7718" t="str">
        <f t="shared" si="242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41"/>
        <v>0</v>
      </c>
    </row>
    <row r="7719" spans="1:8" x14ac:dyDescent="0.2">
      <c r="A7719" t="s">
        <v>7</v>
      </c>
      <c r="B7719" t="s">
        <v>26</v>
      </c>
      <c r="C7719" t="str">
        <f t="shared" si="242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41"/>
        <v>0</v>
      </c>
    </row>
    <row r="7720" spans="1:8" x14ac:dyDescent="0.2">
      <c r="A7720" t="s">
        <v>7</v>
      </c>
      <c r="B7720" t="s">
        <v>26</v>
      </c>
      <c r="C7720" t="str">
        <f t="shared" si="242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41"/>
        <v>0</v>
      </c>
    </row>
    <row r="7721" spans="1:8" x14ac:dyDescent="0.2">
      <c r="A7721" t="s">
        <v>7</v>
      </c>
      <c r="B7721" t="s">
        <v>26</v>
      </c>
      <c r="C7721" t="str">
        <f t="shared" si="242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41"/>
        <v>0</v>
      </c>
    </row>
    <row r="7722" spans="1:8" x14ac:dyDescent="0.2">
      <c r="A7722" t="s">
        <v>7</v>
      </c>
      <c r="B7722" t="s">
        <v>26</v>
      </c>
      <c r="C7722" t="str">
        <f t="shared" si="242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41"/>
        <v>-3</v>
      </c>
    </row>
    <row r="7723" spans="1:8" x14ac:dyDescent="0.2">
      <c r="A7723" t="s">
        <v>7</v>
      </c>
      <c r="B7723" t="s">
        <v>26</v>
      </c>
      <c r="C7723" t="str">
        <f t="shared" si="242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41"/>
        <v>0</v>
      </c>
    </row>
    <row r="7724" spans="1:8" x14ac:dyDescent="0.2">
      <c r="A7724" t="s">
        <v>7</v>
      </c>
      <c r="B7724" t="s">
        <v>26</v>
      </c>
      <c r="C7724" t="str">
        <f t="shared" si="242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41"/>
        <v>0</v>
      </c>
    </row>
    <row r="7725" spans="1:8" x14ac:dyDescent="0.2">
      <c r="A7725" t="s">
        <v>7</v>
      </c>
      <c r="B7725" t="s">
        <v>26</v>
      </c>
      <c r="C7725" t="str">
        <f t="shared" si="242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41"/>
        <v>0</v>
      </c>
    </row>
    <row r="7726" spans="1:8" x14ac:dyDescent="0.2">
      <c r="A7726" t="s">
        <v>7</v>
      </c>
      <c r="B7726" t="s">
        <v>26</v>
      </c>
      <c r="C7726" t="str">
        <f t="shared" si="242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41"/>
        <v>0</v>
      </c>
    </row>
    <row r="7727" spans="1:8" x14ac:dyDescent="0.2">
      <c r="A7727" t="s">
        <v>7</v>
      </c>
      <c r="B7727" t="s">
        <v>26</v>
      </c>
      <c r="C7727" t="str">
        <f t="shared" si="242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41"/>
        <v>-3</v>
      </c>
    </row>
    <row r="7728" spans="1:8" x14ac:dyDescent="0.2">
      <c r="A7728" t="s">
        <v>7</v>
      </c>
      <c r="B7728" t="s">
        <v>26</v>
      </c>
      <c r="C7728" t="str">
        <f t="shared" si="242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41"/>
        <v>0</v>
      </c>
    </row>
    <row r="7729" spans="1:8" x14ac:dyDescent="0.2">
      <c r="A7729" t="s">
        <v>7</v>
      </c>
      <c r="B7729" t="s">
        <v>26</v>
      </c>
      <c r="C7729" t="str">
        <f t="shared" si="242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41"/>
        <v>0</v>
      </c>
    </row>
    <row r="7730" spans="1:8" x14ac:dyDescent="0.2">
      <c r="A7730" t="s">
        <v>7</v>
      </c>
      <c r="B7730" t="s">
        <v>26</v>
      </c>
      <c r="C7730" t="str">
        <f t="shared" si="242"/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41"/>
        <v>0</v>
      </c>
    </row>
    <row r="7731" spans="1:8" x14ac:dyDescent="0.2">
      <c r="A7731" t="s">
        <v>7</v>
      </c>
      <c r="B7731" t="s">
        <v>26</v>
      </c>
      <c r="C7731" t="str">
        <f t="shared" si="242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41"/>
        <v>0</v>
      </c>
    </row>
    <row r="7732" spans="1:8" x14ac:dyDescent="0.2">
      <c r="A7732" t="s">
        <v>7</v>
      </c>
      <c r="B7732" t="s">
        <v>26</v>
      </c>
      <c r="C7732" t="str">
        <f t="shared" si="242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41"/>
        <v>0</v>
      </c>
    </row>
    <row r="7733" spans="1:8" x14ac:dyDescent="0.2">
      <c r="A7733" t="s">
        <v>7</v>
      </c>
      <c r="B7733" t="s">
        <v>26</v>
      </c>
      <c r="C7733" t="str">
        <f t="shared" si="242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41"/>
        <v>0</v>
      </c>
    </row>
    <row r="7734" spans="1:8" x14ac:dyDescent="0.2">
      <c r="A7734" t="s">
        <v>7</v>
      </c>
      <c r="B7734" t="s">
        <v>26</v>
      </c>
      <c r="C7734" t="str">
        <f t="shared" si="242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41"/>
        <v>0</v>
      </c>
    </row>
    <row r="7735" spans="1:8" x14ac:dyDescent="0.2">
      <c r="A7735" t="s">
        <v>7</v>
      </c>
      <c r="B7735" t="s">
        <v>26</v>
      </c>
      <c r="C7735" t="str">
        <f t="shared" si="242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41"/>
        <v>0</v>
      </c>
    </row>
    <row r="7736" spans="1:8" x14ac:dyDescent="0.2">
      <c r="A7736" t="s">
        <v>7</v>
      </c>
      <c r="B7736" t="s">
        <v>26</v>
      </c>
      <c r="C7736" t="str">
        <f t="shared" si="242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41"/>
        <v>0</v>
      </c>
    </row>
    <row r="7737" spans="1:8" x14ac:dyDescent="0.2">
      <c r="A7737" t="s">
        <v>7</v>
      </c>
      <c r="B7737" t="s">
        <v>26</v>
      </c>
      <c r="C7737" t="str">
        <f t="shared" si="242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41"/>
        <v>0</v>
      </c>
    </row>
    <row r="7738" spans="1:8" x14ac:dyDescent="0.2">
      <c r="A7738" t="s">
        <v>7</v>
      </c>
      <c r="B7738" t="s">
        <v>26</v>
      </c>
      <c r="C7738" t="str">
        <f t="shared" si="242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41"/>
        <v>0</v>
      </c>
    </row>
    <row r="7739" spans="1:8" x14ac:dyDescent="0.2">
      <c r="A7739" t="s">
        <v>7</v>
      </c>
      <c r="B7739" t="s">
        <v>26</v>
      </c>
      <c r="C7739" t="str">
        <f t="shared" si="242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41"/>
        <v>0</v>
      </c>
    </row>
    <row r="7740" spans="1:8" x14ac:dyDescent="0.2">
      <c r="A7740" t="s">
        <v>7</v>
      </c>
      <c r="B7740" t="s">
        <v>26</v>
      </c>
      <c r="C7740" t="str">
        <f t="shared" si="242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41"/>
        <v>0</v>
      </c>
    </row>
    <row r="7741" spans="1:8" x14ac:dyDescent="0.2">
      <c r="A7741" t="s">
        <v>7</v>
      </c>
      <c r="B7741" t="s">
        <v>26</v>
      </c>
      <c r="C7741" t="str">
        <f t="shared" si="242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41"/>
        <v>0</v>
      </c>
    </row>
    <row r="7742" spans="1:8" x14ac:dyDescent="0.2">
      <c r="A7742" t="s">
        <v>7</v>
      </c>
      <c r="B7742" t="s">
        <v>26</v>
      </c>
      <c r="C7742" t="str">
        <f t="shared" si="242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41"/>
        <v>-3</v>
      </c>
    </row>
    <row r="7743" spans="1:8" x14ac:dyDescent="0.2">
      <c r="A7743" t="s">
        <v>7</v>
      </c>
      <c r="B7743" t="s">
        <v>26</v>
      </c>
      <c r="C7743" t="str">
        <f t="shared" si="242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41"/>
        <v>-1</v>
      </c>
    </row>
    <row r="7744" spans="1:8" x14ac:dyDescent="0.2">
      <c r="A7744" t="s">
        <v>7</v>
      </c>
      <c r="B7744" t="s">
        <v>26</v>
      </c>
      <c r="C7744" t="str">
        <f t="shared" si="242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41"/>
        <v>-1</v>
      </c>
    </row>
    <row r="7745" spans="1:8" x14ac:dyDescent="0.2">
      <c r="A7745" t="s">
        <v>7</v>
      </c>
      <c r="B7745" t="s">
        <v>26</v>
      </c>
      <c r="C7745" t="str">
        <f t="shared" si="242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41"/>
        <v>-1</v>
      </c>
    </row>
    <row r="7746" spans="1:8" x14ac:dyDescent="0.2">
      <c r="A7746" t="s">
        <v>7</v>
      </c>
      <c r="B7746" t="s">
        <v>26</v>
      </c>
      <c r="C7746" t="str">
        <f t="shared" si="242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41"/>
        <v>-1</v>
      </c>
    </row>
    <row r="7747" spans="1:8" x14ac:dyDescent="0.2">
      <c r="A7747" t="s">
        <v>7</v>
      </c>
      <c r="B7747" t="s">
        <v>26</v>
      </c>
      <c r="C7747" t="str">
        <f t="shared" si="242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ref="H7747:H7810" si="243">F7747-G7747</f>
        <v>-1</v>
      </c>
    </row>
    <row r="7748" spans="1:8" x14ac:dyDescent="0.2">
      <c r="A7748" t="s">
        <v>7</v>
      </c>
      <c r="B7748" t="s">
        <v>26</v>
      </c>
      <c r="C7748" t="str">
        <f t="shared" si="242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43"/>
        <v>-1</v>
      </c>
    </row>
    <row r="7749" spans="1:8" x14ac:dyDescent="0.2">
      <c r="A7749" t="s">
        <v>7</v>
      </c>
      <c r="B7749" t="s">
        <v>26</v>
      </c>
      <c r="C7749" t="str">
        <f t="shared" ref="C7749:C7812" si="244">IF(H7749&gt;=0,"Cumple","No cumple")</f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43"/>
        <v>0</v>
      </c>
    </row>
    <row r="7750" spans="1:8" x14ac:dyDescent="0.2">
      <c r="A7750" t="s">
        <v>7</v>
      </c>
      <c r="B7750" t="s">
        <v>26</v>
      </c>
      <c r="C7750" t="str">
        <f t="shared" si="244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43"/>
        <v>-1</v>
      </c>
    </row>
    <row r="7751" spans="1:8" x14ac:dyDescent="0.2">
      <c r="A7751" t="s">
        <v>7</v>
      </c>
      <c r="B7751" t="s">
        <v>26</v>
      </c>
      <c r="C7751" t="str">
        <f t="shared" si="244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43"/>
        <v>-1</v>
      </c>
    </row>
    <row r="7752" spans="1:8" x14ac:dyDescent="0.2">
      <c r="A7752" t="s">
        <v>7</v>
      </c>
      <c r="B7752" t="s">
        <v>26</v>
      </c>
      <c r="C7752" t="str">
        <f t="shared" si="244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43"/>
        <v>-4</v>
      </c>
    </row>
    <row r="7753" spans="1:8" x14ac:dyDescent="0.2">
      <c r="A7753" t="s">
        <v>7</v>
      </c>
      <c r="B7753" t="s">
        <v>26</v>
      </c>
      <c r="C7753" t="str">
        <f t="shared" si="244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43"/>
        <v>-1</v>
      </c>
    </row>
    <row r="7754" spans="1:8" x14ac:dyDescent="0.2">
      <c r="A7754" t="s">
        <v>7</v>
      </c>
      <c r="B7754" t="s">
        <v>26</v>
      </c>
      <c r="C7754" t="str">
        <f t="shared" si="244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43"/>
        <v>0</v>
      </c>
    </row>
    <row r="7755" spans="1:8" x14ac:dyDescent="0.2">
      <c r="A7755" t="s">
        <v>7</v>
      </c>
      <c r="B7755" t="s">
        <v>26</v>
      </c>
      <c r="C7755" t="str">
        <f t="shared" si="244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43"/>
        <v>-4</v>
      </c>
    </row>
    <row r="7756" spans="1:8" x14ac:dyDescent="0.2">
      <c r="A7756" t="s">
        <v>7</v>
      </c>
      <c r="B7756" t="s">
        <v>26</v>
      </c>
      <c r="C7756" t="str">
        <f t="shared" si="244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43"/>
        <v>-1</v>
      </c>
    </row>
    <row r="7757" spans="1:8" x14ac:dyDescent="0.2">
      <c r="A7757" t="s">
        <v>7</v>
      </c>
      <c r="B7757" t="s">
        <v>26</v>
      </c>
      <c r="C7757" t="str">
        <f t="shared" si="244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43"/>
        <v>-1</v>
      </c>
    </row>
    <row r="7758" spans="1:8" x14ac:dyDescent="0.2">
      <c r="A7758" t="s">
        <v>7</v>
      </c>
      <c r="B7758" t="s">
        <v>26</v>
      </c>
      <c r="C7758" t="str">
        <f t="shared" si="244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43"/>
        <v>-1</v>
      </c>
    </row>
    <row r="7759" spans="1:8" x14ac:dyDescent="0.2">
      <c r="A7759" t="s">
        <v>7</v>
      </c>
      <c r="B7759" t="s">
        <v>26</v>
      </c>
      <c r="C7759" t="str">
        <f t="shared" si="244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43"/>
        <v>-1</v>
      </c>
    </row>
    <row r="7760" spans="1:8" x14ac:dyDescent="0.2">
      <c r="A7760" t="s">
        <v>7</v>
      </c>
      <c r="B7760" t="s">
        <v>26</v>
      </c>
      <c r="C7760" t="str">
        <f t="shared" si="244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43"/>
        <v>-1</v>
      </c>
    </row>
    <row r="7761" spans="1:8" x14ac:dyDescent="0.2">
      <c r="A7761" t="s">
        <v>7</v>
      </c>
      <c r="B7761" t="s">
        <v>26</v>
      </c>
      <c r="C7761" t="str">
        <f t="shared" si="244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43"/>
        <v>0</v>
      </c>
    </row>
    <row r="7762" spans="1:8" x14ac:dyDescent="0.2">
      <c r="A7762" t="s">
        <v>7</v>
      </c>
      <c r="B7762" t="s">
        <v>26</v>
      </c>
      <c r="C7762" t="str">
        <f t="shared" si="244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43"/>
        <v>-1</v>
      </c>
    </row>
    <row r="7763" spans="1:8" x14ac:dyDescent="0.2">
      <c r="A7763" t="s">
        <v>7</v>
      </c>
      <c r="B7763" t="s">
        <v>26</v>
      </c>
      <c r="C7763" t="str">
        <f t="shared" si="244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43"/>
        <v>-1</v>
      </c>
    </row>
    <row r="7764" spans="1:8" x14ac:dyDescent="0.2">
      <c r="A7764" t="s">
        <v>7</v>
      </c>
      <c r="B7764" t="s">
        <v>26</v>
      </c>
      <c r="C7764" t="str">
        <f t="shared" si="244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43"/>
        <v>-1</v>
      </c>
    </row>
    <row r="7765" spans="1:8" x14ac:dyDescent="0.2">
      <c r="A7765" t="s">
        <v>7</v>
      </c>
      <c r="B7765" t="s">
        <v>26</v>
      </c>
      <c r="C7765" t="str">
        <f t="shared" si="244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43"/>
        <v>-1</v>
      </c>
    </row>
    <row r="7766" spans="1:8" x14ac:dyDescent="0.2">
      <c r="A7766" t="s">
        <v>7</v>
      </c>
      <c r="B7766" t="s">
        <v>26</v>
      </c>
      <c r="C7766" t="str">
        <f t="shared" si="244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43"/>
        <v>-1</v>
      </c>
    </row>
    <row r="7767" spans="1:8" x14ac:dyDescent="0.2">
      <c r="A7767" t="s">
        <v>7</v>
      </c>
      <c r="B7767" t="s">
        <v>26</v>
      </c>
      <c r="C7767" t="str">
        <f t="shared" si="244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43"/>
        <v>-4</v>
      </c>
    </row>
    <row r="7768" spans="1:8" x14ac:dyDescent="0.2">
      <c r="A7768" t="s">
        <v>7</v>
      </c>
      <c r="B7768" t="s">
        <v>26</v>
      </c>
      <c r="C7768" t="str">
        <f t="shared" si="244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43"/>
        <v>-1</v>
      </c>
    </row>
    <row r="7769" spans="1:8" x14ac:dyDescent="0.2">
      <c r="A7769" t="s">
        <v>7</v>
      </c>
      <c r="B7769" t="s">
        <v>26</v>
      </c>
      <c r="C7769" t="str">
        <f t="shared" si="244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43"/>
        <v>-1</v>
      </c>
    </row>
    <row r="7770" spans="1:8" x14ac:dyDescent="0.2">
      <c r="A7770" t="s">
        <v>7</v>
      </c>
      <c r="B7770" t="s">
        <v>26</v>
      </c>
      <c r="C7770" t="str">
        <f t="shared" si="244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43"/>
        <v>-2</v>
      </c>
    </row>
    <row r="7771" spans="1:8" x14ac:dyDescent="0.2">
      <c r="A7771" t="s">
        <v>7</v>
      </c>
      <c r="B7771" t="s">
        <v>26</v>
      </c>
      <c r="C7771" t="str">
        <f t="shared" si="244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si="243"/>
        <v>-2</v>
      </c>
    </row>
    <row r="7772" spans="1:8" x14ac:dyDescent="0.2">
      <c r="A7772" t="s">
        <v>7</v>
      </c>
      <c r="B7772" t="s">
        <v>26</v>
      </c>
      <c r="C7772" t="str">
        <f t="shared" si="244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43"/>
        <v>-2</v>
      </c>
    </row>
    <row r="7773" spans="1:8" x14ac:dyDescent="0.2">
      <c r="A7773" t="s">
        <v>7</v>
      </c>
      <c r="B7773" t="s">
        <v>26</v>
      </c>
      <c r="C7773" t="str">
        <f t="shared" si="244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43"/>
        <v>-2</v>
      </c>
    </row>
    <row r="7774" spans="1:8" x14ac:dyDescent="0.2">
      <c r="A7774" t="s">
        <v>7</v>
      </c>
      <c r="B7774" t="s">
        <v>26</v>
      </c>
      <c r="C7774" t="str">
        <f t="shared" si="244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43"/>
        <v>-5</v>
      </c>
    </row>
    <row r="7775" spans="1:8" x14ac:dyDescent="0.2">
      <c r="A7775" t="s">
        <v>7</v>
      </c>
      <c r="B7775" t="s">
        <v>26</v>
      </c>
      <c r="C7775" t="str">
        <f t="shared" si="244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43"/>
        <v>-2</v>
      </c>
    </row>
    <row r="7776" spans="1:8" x14ac:dyDescent="0.2">
      <c r="A7776" t="s">
        <v>7</v>
      </c>
      <c r="B7776" t="s">
        <v>26</v>
      </c>
      <c r="C7776" t="str">
        <f t="shared" si="244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43"/>
        <v>-2</v>
      </c>
    </row>
    <row r="7777" spans="1:8" x14ac:dyDescent="0.2">
      <c r="A7777" t="s">
        <v>7</v>
      </c>
      <c r="B7777" t="s">
        <v>26</v>
      </c>
      <c r="C7777" t="str">
        <f t="shared" si="244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43"/>
        <v>-2</v>
      </c>
    </row>
    <row r="7778" spans="1:8" x14ac:dyDescent="0.2">
      <c r="A7778" t="s">
        <v>7</v>
      </c>
      <c r="B7778" t="s">
        <v>26</v>
      </c>
      <c r="C7778" t="str">
        <f t="shared" si="244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43"/>
        <v>-2</v>
      </c>
    </row>
    <row r="7779" spans="1:8" x14ac:dyDescent="0.2">
      <c r="A7779" t="s">
        <v>7</v>
      </c>
      <c r="B7779" t="s">
        <v>26</v>
      </c>
      <c r="C7779" t="str">
        <f t="shared" si="244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43"/>
        <v>-2</v>
      </c>
    </row>
    <row r="7780" spans="1:8" x14ac:dyDescent="0.2">
      <c r="A7780" t="s">
        <v>7</v>
      </c>
      <c r="B7780" t="s">
        <v>26</v>
      </c>
      <c r="C7780" t="str">
        <f t="shared" si="244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43"/>
        <v>-2</v>
      </c>
    </row>
    <row r="7781" spans="1:8" x14ac:dyDescent="0.2">
      <c r="A7781" t="s">
        <v>7</v>
      </c>
      <c r="B7781" t="s">
        <v>26</v>
      </c>
      <c r="C7781" t="str">
        <f t="shared" si="244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43"/>
        <v>-2</v>
      </c>
    </row>
    <row r="7782" spans="1:8" x14ac:dyDescent="0.2">
      <c r="A7782" t="s">
        <v>7</v>
      </c>
      <c r="B7782" t="s">
        <v>26</v>
      </c>
      <c r="C7782" t="str">
        <f t="shared" si="244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43"/>
        <v>-2</v>
      </c>
    </row>
    <row r="7783" spans="1:8" x14ac:dyDescent="0.2">
      <c r="A7783" t="s">
        <v>7</v>
      </c>
      <c r="B7783" t="s">
        <v>26</v>
      </c>
      <c r="C7783" t="str">
        <f t="shared" si="244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43"/>
        <v>-2</v>
      </c>
    </row>
    <row r="7784" spans="1:8" x14ac:dyDescent="0.2">
      <c r="A7784" t="s">
        <v>7</v>
      </c>
      <c r="B7784" t="s">
        <v>26</v>
      </c>
      <c r="C7784" t="str">
        <f t="shared" si="244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43"/>
        <v>-2</v>
      </c>
    </row>
    <row r="7785" spans="1:8" x14ac:dyDescent="0.2">
      <c r="A7785" t="s">
        <v>7</v>
      </c>
      <c r="B7785" t="s">
        <v>26</v>
      </c>
      <c r="C7785" t="str">
        <f t="shared" si="244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43"/>
        <v>-2</v>
      </c>
    </row>
    <row r="7786" spans="1:8" x14ac:dyDescent="0.2">
      <c r="A7786" t="s">
        <v>7</v>
      </c>
      <c r="B7786" t="s">
        <v>26</v>
      </c>
      <c r="C7786" t="str">
        <f t="shared" si="244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43"/>
        <v>-2</v>
      </c>
    </row>
    <row r="7787" spans="1:8" x14ac:dyDescent="0.2">
      <c r="A7787" t="s">
        <v>7</v>
      </c>
      <c r="B7787" t="s">
        <v>26</v>
      </c>
      <c r="C7787" t="str">
        <f t="shared" si="244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43"/>
        <v>-2</v>
      </c>
    </row>
    <row r="7788" spans="1:8" x14ac:dyDescent="0.2">
      <c r="A7788" t="s">
        <v>7</v>
      </c>
      <c r="B7788" t="s">
        <v>26</v>
      </c>
      <c r="C7788" t="str">
        <f t="shared" si="244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43"/>
        <v>-2</v>
      </c>
    </row>
    <row r="7789" spans="1:8" x14ac:dyDescent="0.2">
      <c r="A7789" t="s">
        <v>7</v>
      </c>
      <c r="B7789" t="s">
        <v>26</v>
      </c>
      <c r="C7789" t="str">
        <f t="shared" si="244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43"/>
        <v>-2</v>
      </c>
    </row>
    <row r="7790" spans="1:8" x14ac:dyDescent="0.2">
      <c r="A7790" t="s">
        <v>7</v>
      </c>
      <c r="B7790" t="s">
        <v>26</v>
      </c>
      <c r="C7790" t="str">
        <f t="shared" si="244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43"/>
        <v>-2</v>
      </c>
    </row>
    <row r="7791" spans="1:8" x14ac:dyDescent="0.2">
      <c r="A7791" t="s">
        <v>7</v>
      </c>
      <c r="B7791" t="s">
        <v>26</v>
      </c>
      <c r="C7791" t="str">
        <f t="shared" si="244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43"/>
        <v>-5</v>
      </c>
    </row>
    <row r="7792" spans="1:8" x14ac:dyDescent="0.2">
      <c r="A7792" t="s">
        <v>7</v>
      </c>
      <c r="B7792" t="s">
        <v>26</v>
      </c>
      <c r="C7792" t="str">
        <f t="shared" si="244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43"/>
        <v>-2</v>
      </c>
    </row>
    <row r="7793" spans="1:8" x14ac:dyDescent="0.2">
      <c r="A7793" t="s">
        <v>7</v>
      </c>
      <c r="B7793" t="s">
        <v>26</v>
      </c>
      <c r="C7793" t="str">
        <f t="shared" si="244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43"/>
        <v>-2</v>
      </c>
    </row>
    <row r="7794" spans="1:8" x14ac:dyDescent="0.2">
      <c r="A7794" t="s">
        <v>7</v>
      </c>
      <c r="B7794" t="s">
        <v>26</v>
      </c>
      <c r="C7794" t="str">
        <f t="shared" si="244"/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43"/>
        <v>-2</v>
      </c>
    </row>
    <row r="7795" spans="1:8" x14ac:dyDescent="0.2">
      <c r="A7795" t="s">
        <v>7</v>
      </c>
      <c r="B7795" t="s">
        <v>26</v>
      </c>
      <c r="C7795" t="str">
        <f t="shared" si="244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43"/>
        <v>-5</v>
      </c>
    </row>
    <row r="7796" spans="1:8" x14ac:dyDescent="0.2">
      <c r="A7796" t="s">
        <v>7</v>
      </c>
      <c r="B7796" t="s">
        <v>26</v>
      </c>
      <c r="C7796" t="str">
        <f t="shared" si="244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43"/>
        <v>-5</v>
      </c>
    </row>
    <row r="7797" spans="1:8" x14ac:dyDescent="0.2">
      <c r="A7797" t="s">
        <v>7</v>
      </c>
      <c r="B7797" t="s">
        <v>26</v>
      </c>
      <c r="C7797" t="str">
        <f t="shared" si="244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43"/>
        <v>-2</v>
      </c>
    </row>
    <row r="7798" spans="1:8" x14ac:dyDescent="0.2">
      <c r="A7798" t="s">
        <v>7</v>
      </c>
      <c r="B7798" t="s">
        <v>26</v>
      </c>
      <c r="C7798" t="str">
        <f t="shared" si="244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43"/>
        <v>-3</v>
      </c>
    </row>
    <row r="7799" spans="1:8" x14ac:dyDescent="0.2">
      <c r="A7799" t="s">
        <v>7</v>
      </c>
      <c r="B7799" t="s">
        <v>26</v>
      </c>
      <c r="C7799" t="str">
        <f t="shared" si="244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43"/>
        <v>-3</v>
      </c>
    </row>
    <row r="7800" spans="1:8" x14ac:dyDescent="0.2">
      <c r="A7800" t="s">
        <v>18</v>
      </c>
      <c r="B7800" t="s">
        <v>26</v>
      </c>
      <c r="C7800" t="str">
        <f t="shared" si="244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43"/>
        <v>-6</v>
      </c>
    </row>
    <row r="7801" spans="1:8" x14ac:dyDescent="0.2">
      <c r="A7801" t="s">
        <v>7</v>
      </c>
      <c r="B7801" t="s">
        <v>26</v>
      </c>
      <c r="C7801" t="str">
        <f t="shared" si="244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43"/>
        <v>-3</v>
      </c>
    </row>
    <row r="7802" spans="1:8" x14ac:dyDescent="0.2">
      <c r="A7802" t="s">
        <v>7</v>
      </c>
      <c r="B7802" t="s">
        <v>26</v>
      </c>
      <c r="C7802" t="str">
        <f t="shared" si="244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43"/>
        <v>-3</v>
      </c>
    </row>
    <row r="7803" spans="1:8" x14ac:dyDescent="0.2">
      <c r="A7803" t="s">
        <v>7</v>
      </c>
      <c r="B7803" t="s">
        <v>26</v>
      </c>
      <c r="C7803" t="str">
        <f t="shared" si="244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43"/>
        <v>-3</v>
      </c>
    </row>
    <row r="7804" spans="1:8" x14ac:dyDescent="0.2">
      <c r="A7804" t="s">
        <v>18</v>
      </c>
      <c r="B7804" t="s">
        <v>26</v>
      </c>
      <c r="C7804" t="str">
        <f t="shared" si="244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43"/>
        <v>-3</v>
      </c>
    </row>
    <row r="7805" spans="1:8" x14ac:dyDescent="0.2">
      <c r="A7805" t="s">
        <v>18</v>
      </c>
      <c r="B7805" t="s">
        <v>26</v>
      </c>
      <c r="C7805" t="str">
        <f t="shared" si="244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43"/>
        <v>-3</v>
      </c>
    </row>
    <row r="7806" spans="1:8" x14ac:dyDescent="0.2">
      <c r="A7806" t="s">
        <v>7</v>
      </c>
      <c r="B7806" t="s">
        <v>26</v>
      </c>
      <c r="C7806" t="str">
        <f t="shared" si="244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43"/>
        <v>0</v>
      </c>
    </row>
    <row r="7807" spans="1:8" x14ac:dyDescent="0.2">
      <c r="A7807" t="s">
        <v>19</v>
      </c>
      <c r="B7807" t="s">
        <v>26</v>
      </c>
      <c r="C7807" t="str">
        <f t="shared" si="244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43"/>
        <v>-3</v>
      </c>
    </row>
    <row r="7808" spans="1:8" x14ac:dyDescent="0.2">
      <c r="A7808" t="s">
        <v>18</v>
      </c>
      <c r="B7808" t="s">
        <v>26</v>
      </c>
      <c r="C7808" t="str">
        <f t="shared" si="244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43"/>
        <v>-3</v>
      </c>
    </row>
    <row r="7809" spans="1:8" x14ac:dyDescent="0.2">
      <c r="A7809" t="s">
        <v>18</v>
      </c>
      <c r="B7809" t="s">
        <v>26</v>
      </c>
      <c r="C7809" t="str">
        <f t="shared" si="244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43"/>
        <v>-3</v>
      </c>
    </row>
    <row r="7810" spans="1:8" x14ac:dyDescent="0.2">
      <c r="A7810" t="s">
        <v>7</v>
      </c>
      <c r="B7810" t="s">
        <v>26</v>
      </c>
      <c r="C7810" t="str">
        <f t="shared" si="244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43"/>
        <v>-3</v>
      </c>
    </row>
    <row r="7811" spans="1:8" x14ac:dyDescent="0.2">
      <c r="A7811" t="s">
        <v>7</v>
      </c>
      <c r="B7811" t="s">
        <v>26</v>
      </c>
      <c r="C7811" t="str">
        <f t="shared" si="244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ref="H7811:H7874" si="245">F7811-G7811</f>
        <v>0</v>
      </c>
    </row>
    <row r="7812" spans="1:8" x14ac:dyDescent="0.2">
      <c r="A7812" t="s">
        <v>18</v>
      </c>
      <c r="B7812" t="s">
        <v>26</v>
      </c>
      <c r="C7812" t="str">
        <f t="shared" si="244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45"/>
        <v>-3</v>
      </c>
    </row>
    <row r="7813" spans="1:8" x14ac:dyDescent="0.2">
      <c r="A7813" t="s">
        <v>7</v>
      </c>
      <c r="B7813" t="s">
        <v>26</v>
      </c>
      <c r="C7813" t="str">
        <f t="shared" ref="C7813:C7876" si="246">IF(H7813&gt;=0,"Cumple","No cumple")</f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45"/>
        <v>-6</v>
      </c>
    </row>
    <row r="7814" spans="1:8" x14ac:dyDescent="0.2">
      <c r="A7814" t="s">
        <v>7</v>
      </c>
      <c r="B7814" t="s">
        <v>26</v>
      </c>
      <c r="C7814" t="str">
        <f t="shared" si="246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45"/>
        <v>-3</v>
      </c>
    </row>
    <row r="7815" spans="1:8" x14ac:dyDescent="0.2">
      <c r="A7815" t="s">
        <v>7</v>
      </c>
      <c r="B7815" t="s">
        <v>26</v>
      </c>
      <c r="C7815" t="str">
        <f t="shared" si="246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45"/>
        <v>-3</v>
      </c>
    </row>
    <row r="7816" spans="1:8" x14ac:dyDescent="0.2">
      <c r="A7816" t="s">
        <v>7</v>
      </c>
      <c r="B7816" t="s">
        <v>26</v>
      </c>
      <c r="C7816" t="str">
        <f t="shared" si="246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45"/>
        <v>-3</v>
      </c>
    </row>
    <row r="7817" spans="1:8" x14ac:dyDescent="0.2">
      <c r="A7817" t="s">
        <v>19</v>
      </c>
      <c r="B7817" t="s">
        <v>26</v>
      </c>
      <c r="C7817" t="str">
        <f t="shared" si="246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45"/>
        <v>-3</v>
      </c>
    </row>
    <row r="7818" spans="1:8" x14ac:dyDescent="0.2">
      <c r="A7818" t="s">
        <v>18</v>
      </c>
      <c r="B7818" t="s">
        <v>26</v>
      </c>
      <c r="C7818" t="str">
        <f t="shared" si="246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45"/>
        <v>-3</v>
      </c>
    </row>
    <row r="7819" spans="1:8" x14ac:dyDescent="0.2">
      <c r="A7819" t="s">
        <v>18</v>
      </c>
      <c r="B7819" t="s">
        <v>26</v>
      </c>
      <c r="C7819" t="str">
        <f t="shared" si="246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45"/>
        <v>-6</v>
      </c>
    </row>
    <row r="7820" spans="1:8" x14ac:dyDescent="0.2">
      <c r="A7820" t="s">
        <v>7</v>
      </c>
      <c r="B7820" t="s">
        <v>26</v>
      </c>
      <c r="C7820" t="str">
        <f t="shared" si="246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45"/>
        <v>-3</v>
      </c>
    </row>
    <row r="7821" spans="1:8" x14ac:dyDescent="0.2">
      <c r="A7821" t="s">
        <v>18</v>
      </c>
      <c r="B7821" t="s">
        <v>26</v>
      </c>
      <c r="C7821" t="str">
        <f t="shared" si="246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45"/>
        <v>-3</v>
      </c>
    </row>
    <row r="7822" spans="1:8" x14ac:dyDescent="0.2">
      <c r="A7822" t="s">
        <v>18</v>
      </c>
      <c r="B7822" t="s">
        <v>26</v>
      </c>
      <c r="C7822" t="str">
        <f t="shared" si="246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45"/>
        <v>-3</v>
      </c>
    </row>
    <row r="7823" spans="1:8" x14ac:dyDescent="0.2">
      <c r="A7823" t="s">
        <v>18</v>
      </c>
      <c r="B7823" t="s">
        <v>26</v>
      </c>
      <c r="C7823" t="str">
        <f t="shared" si="246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45"/>
        <v>-3</v>
      </c>
    </row>
    <row r="7824" spans="1:8" x14ac:dyDescent="0.2">
      <c r="A7824" t="s">
        <v>18</v>
      </c>
      <c r="B7824" t="s">
        <v>26</v>
      </c>
      <c r="C7824" t="str">
        <f t="shared" si="246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45"/>
        <v>-3</v>
      </c>
    </row>
    <row r="7825" spans="1:8" x14ac:dyDescent="0.2">
      <c r="A7825" t="s">
        <v>18</v>
      </c>
      <c r="B7825" t="s">
        <v>26</v>
      </c>
      <c r="C7825" t="str">
        <f t="shared" si="246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45"/>
        <v>-3</v>
      </c>
    </row>
    <row r="7826" spans="1:8" x14ac:dyDescent="0.2">
      <c r="A7826" t="s">
        <v>18</v>
      </c>
      <c r="B7826" t="s">
        <v>26</v>
      </c>
      <c r="C7826" t="str">
        <f t="shared" si="246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45"/>
        <v>-3</v>
      </c>
    </row>
    <row r="7827" spans="1:8" x14ac:dyDescent="0.2">
      <c r="A7827" t="s">
        <v>18</v>
      </c>
      <c r="B7827" t="s">
        <v>26</v>
      </c>
      <c r="C7827" t="str">
        <f t="shared" si="246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45"/>
        <v>-3</v>
      </c>
    </row>
    <row r="7828" spans="1:8" x14ac:dyDescent="0.2">
      <c r="A7828" t="s">
        <v>18</v>
      </c>
      <c r="B7828" t="s">
        <v>26</v>
      </c>
      <c r="C7828" t="str">
        <f t="shared" si="246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45"/>
        <v>-3</v>
      </c>
    </row>
    <row r="7829" spans="1:8" x14ac:dyDescent="0.2">
      <c r="A7829" t="s">
        <v>18</v>
      </c>
      <c r="B7829" t="s">
        <v>26</v>
      </c>
      <c r="C7829" t="str">
        <f t="shared" si="246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45"/>
        <v>-3</v>
      </c>
    </row>
    <row r="7830" spans="1:8" x14ac:dyDescent="0.2">
      <c r="A7830" t="s">
        <v>18</v>
      </c>
      <c r="B7830" t="s">
        <v>26</v>
      </c>
      <c r="C7830" t="str">
        <f t="shared" si="246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45"/>
        <v>-3</v>
      </c>
    </row>
    <row r="7831" spans="1:8" x14ac:dyDescent="0.2">
      <c r="A7831" t="s">
        <v>18</v>
      </c>
      <c r="B7831" t="s">
        <v>26</v>
      </c>
      <c r="C7831" t="str">
        <f t="shared" si="246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45"/>
        <v>-3</v>
      </c>
    </row>
    <row r="7832" spans="1:8" x14ac:dyDescent="0.2">
      <c r="A7832" t="s">
        <v>18</v>
      </c>
      <c r="B7832" t="s">
        <v>26</v>
      </c>
      <c r="C7832" t="str">
        <f t="shared" si="246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45"/>
        <v>-3</v>
      </c>
    </row>
    <row r="7833" spans="1:8" x14ac:dyDescent="0.2">
      <c r="A7833" t="s">
        <v>18</v>
      </c>
      <c r="B7833" t="s">
        <v>26</v>
      </c>
      <c r="C7833" t="str">
        <f t="shared" si="246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45"/>
        <v>-3</v>
      </c>
    </row>
    <row r="7834" spans="1:8" x14ac:dyDescent="0.2">
      <c r="A7834" t="s">
        <v>18</v>
      </c>
      <c r="B7834" t="s">
        <v>26</v>
      </c>
      <c r="C7834" t="str">
        <f t="shared" si="246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45"/>
        <v>-3</v>
      </c>
    </row>
    <row r="7835" spans="1:8" x14ac:dyDescent="0.2">
      <c r="A7835" t="s">
        <v>7</v>
      </c>
      <c r="B7835" t="s">
        <v>26</v>
      </c>
      <c r="C7835" t="str">
        <f t="shared" si="246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si="245"/>
        <v>-3</v>
      </c>
    </row>
    <row r="7836" spans="1:8" x14ac:dyDescent="0.2">
      <c r="A7836" t="s">
        <v>7</v>
      </c>
      <c r="B7836" t="s">
        <v>26</v>
      </c>
      <c r="C7836" t="str">
        <f t="shared" si="246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45"/>
        <v>-3</v>
      </c>
    </row>
    <row r="7837" spans="1:8" x14ac:dyDescent="0.2">
      <c r="A7837" t="s">
        <v>18</v>
      </c>
      <c r="B7837" t="s">
        <v>26</v>
      </c>
      <c r="C7837" t="str">
        <f t="shared" si="246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45"/>
        <v>-3</v>
      </c>
    </row>
    <row r="7838" spans="1:8" x14ac:dyDescent="0.2">
      <c r="A7838" t="s">
        <v>18</v>
      </c>
      <c r="B7838" t="s">
        <v>26</v>
      </c>
      <c r="C7838" t="str">
        <f t="shared" si="246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45"/>
        <v>-3</v>
      </c>
    </row>
    <row r="7839" spans="1:8" x14ac:dyDescent="0.2">
      <c r="A7839" t="s">
        <v>7</v>
      </c>
      <c r="B7839" t="s">
        <v>26</v>
      </c>
      <c r="C7839" t="str">
        <f t="shared" si="246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45"/>
        <v>-3</v>
      </c>
    </row>
    <row r="7840" spans="1:8" x14ac:dyDescent="0.2">
      <c r="A7840" t="s">
        <v>18</v>
      </c>
      <c r="B7840" t="s">
        <v>26</v>
      </c>
      <c r="C7840" t="str">
        <f t="shared" si="246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45"/>
        <v>0</v>
      </c>
    </row>
    <row r="7841" spans="1:8" x14ac:dyDescent="0.2">
      <c r="A7841" t="s">
        <v>7</v>
      </c>
      <c r="B7841" t="s">
        <v>26</v>
      </c>
      <c r="C7841" t="str">
        <f t="shared" si="246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45"/>
        <v>-3</v>
      </c>
    </row>
    <row r="7842" spans="1:8" x14ac:dyDescent="0.2">
      <c r="A7842" t="s">
        <v>7</v>
      </c>
      <c r="B7842" t="s">
        <v>26</v>
      </c>
      <c r="C7842" t="str">
        <f t="shared" si="246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45"/>
        <v>-3</v>
      </c>
    </row>
    <row r="7843" spans="1:8" x14ac:dyDescent="0.2">
      <c r="A7843" t="s">
        <v>7</v>
      </c>
      <c r="B7843" t="s">
        <v>26</v>
      </c>
      <c r="C7843" t="str">
        <f t="shared" si="246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45"/>
        <v>-3</v>
      </c>
    </row>
    <row r="7844" spans="1:8" x14ac:dyDescent="0.2">
      <c r="A7844" t="s">
        <v>7</v>
      </c>
      <c r="B7844" t="s">
        <v>26</v>
      </c>
      <c r="C7844" t="str">
        <f t="shared" si="246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45"/>
        <v>-3</v>
      </c>
    </row>
    <row r="7845" spans="1:8" x14ac:dyDescent="0.2">
      <c r="A7845" t="s">
        <v>19</v>
      </c>
      <c r="B7845" t="s">
        <v>26</v>
      </c>
      <c r="C7845" t="str">
        <f t="shared" si="246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45"/>
        <v>-3</v>
      </c>
    </row>
    <row r="7846" spans="1:8" x14ac:dyDescent="0.2">
      <c r="A7846" t="s">
        <v>7</v>
      </c>
      <c r="B7846" t="s">
        <v>26</v>
      </c>
      <c r="C7846" t="str">
        <f t="shared" si="246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45"/>
        <v>-3</v>
      </c>
    </row>
    <row r="7847" spans="1:8" x14ac:dyDescent="0.2">
      <c r="A7847" t="s">
        <v>7</v>
      </c>
      <c r="B7847" t="s">
        <v>26</v>
      </c>
      <c r="C7847" t="str">
        <f t="shared" si="246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45"/>
        <v>-3</v>
      </c>
    </row>
    <row r="7848" spans="1:8" x14ac:dyDescent="0.2">
      <c r="A7848" t="s">
        <v>18</v>
      </c>
      <c r="B7848" t="s">
        <v>26</v>
      </c>
      <c r="C7848" t="str">
        <f t="shared" si="246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45"/>
        <v>-3</v>
      </c>
    </row>
    <row r="7849" spans="1:8" x14ac:dyDescent="0.2">
      <c r="A7849" t="s">
        <v>7</v>
      </c>
      <c r="B7849" t="s">
        <v>26</v>
      </c>
      <c r="C7849" t="str">
        <f t="shared" si="246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45"/>
        <v>-3</v>
      </c>
    </row>
    <row r="7850" spans="1:8" x14ac:dyDescent="0.2">
      <c r="A7850" t="s">
        <v>18</v>
      </c>
      <c r="B7850" t="s">
        <v>26</v>
      </c>
      <c r="C7850" t="str">
        <f t="shared" si="246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45"/>
        <v>-3</v>
      </c>
    </row>
    <row r="7851" spans="1:8" x14ac:dyDescent="0.2">
      <c r="A7851" t="s">
        <v>7</v>
      </c>
      <c r="B7851" t="s">
        <v>26</v>
      </c>
      <c r="C7851" t="str">
        <f t="shared" si="246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45"/>
        <v>-3</v>
      </c>
    </row>
    <row r="7852" spans="1:8" x14ac:dyDescent="0.2">
      <c r="A7852" t="s">
        <v>7</v>
      </c>
      <c r="B7852" t="s">
        <v>26</v>
      </c>
      <c r="C7852" t="str">
        <f t="shared" si="246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45"/>
        <v>-3</v>
      </c>
    </row>
    <row r="7853" spans="1:8" x14ac:dyDescent="0.2">
      <c r="A7853" t="s">
        <v>7</v>
      </c>
      <c r="B7853" t="s">
        <v>26</v>
      </c>
      <c r="C7853" t="str">
        <f t="shared" si="246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45"/>
        <v>-3</v>
      </c>
    </row>
    <row r="7854" spans="1:8" x14ac:dyDescent="0.2">
      <c r="A7854" t="s">
        <v>19</v>
      </c>
      <c r="B7854" t="s">
        <v>26</v>
      </c>
      <c r="C7854" t="str">
        <f t="shared" si="246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45"/>
        <v>-6</v>
      </c>
    </row>
    <row r="7855" spans="1:8" x14ac:dyDescent="0.2">
      <c r="A7855" t="s">
        <v>19</v>
      </c>
      <c r="B7855" t="s">
        <v>26</v>
      </c>
      <c r="C7855" t="str">
        <f t="shared" si="246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45"/>
        <v>-6</v>
      </c>
    </row>
    <row r="7856" spans="1:8" x14ac:dyDescent="0.2">
      <c r="A7856" t="s">
        <v>7</v>
      </c>
      <c r="B7856" t="s">
        <v>26</v>
      </c>
      <c r="C7856" t="str">
        <f t="shared" si="246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45"/>
        <v>-6</v>
      </c>
    </row>
    <row r="7857" spans="1:8" x14ac:dyDescent="0.2">
      <c r="A7857" t="s">
        <v>7</v>
      </c>
      <c r="B7857" t="s">
        <v>26</v>
      </c>
      <c r="C7857" t="str">
        <f t="shared" si="246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45"/>
        <v>-3</v>
      </c>
    </row>
    <row r="7858" spans="1:8" x14ac:dyDescent="0.2">
      <c r="A7858" t="s">
        <v>7</v>
      </c>
      <c r="B7858" t="s">
        <v>26</v>
      </c>
      <c r="C7858" t="str">
        <f t="shared" si="246"/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45"/>
        <v>-3</v>
      </c>
    </row>
    <row r="7859" spans="1:8" x14ac:dyDescent="0.2">
      <c r="A7859" t="s">
        <v>18</v>
      </c>
      <c r="B7859" t="s">
        <v>26</v>
      </c>
      <c r="C7859" t="str">
        <f t="shared" si="246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45"/>
        <v>-3</v>
      </c>
    </row>
    <row r="7860" spans="1:8" x14ac:dyDescent="0.2">
      <c r="A7860" t="s">
        <v>7</v>
      </c>
      <c r="B7860" t="s">
        <v>26</v>
      </c>
      <c r="C7860" t="str">
        <f t="shared" si="246"/>
        <v>Cumple</v>
      </c>
      <c r="D7860">
        <v>7566</v>
      </c>
      <c r="E7860" t="s">
        <v>15</v>
      </c>
      <c r="F7860">
        <v>40</v>
      </c>
      <c r="G7860">
        <v>6</v>
      </c>
      <c r="H7860">
        <f t="shared" si="245"/>
        <v>34</v>
      </c>
    </row>
    <row r="7861" spans="1:8" x14ac:dyDescent="0.2">
      <c r="A7861" t="s">
        <v>7</v>
      </c>
      <c r="B7861" t="s">
        <v>26</v>
      </c>
      <c r="C7861" t="str">
        <f t="shared" si="246"/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si="245"/>
        <v>32</v>
      </c>
    </row>
    <row r="7862" spans="1:8" x14ac:dyDescent="0.2">
      <c r="A7862" t="s">
        <v>7</v>
      </c>
      <c r="B7862" t="s">
        <v>26</v>
      </c>
      <c r="C7862" t="str">
        <f t="shared" si="246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45"/>
        <v>27</v>
      </c>
    </row>
    <row r="7863" spans="1:8" x14ac:dyDescent="0.2">
      <c r="A7863" t="s">
        <v>7</v>
      </c>
      <c r="B7863" t="s">
        <v>26</v>
      </c>
      <c r="C7863" t="str">
        <f t="shared" si="246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45"/>
        <v>14</v>
      </c>
    </row>
    <row r="7864" spans="1:8" x14ac:dyDescent="0.2">
      <c r="A7864" t="s">
        <v>7</v>
      </c>
      <c r="B7864" t="s">
        <v>26</v>
      </c>
      <c r="C7864" t="str">
        <f t="shared" si="246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45"/>
        <v>12</v>
      </c>
    </row>
    <row r="7865" spans="1:8" x14ac:dyDescent="0.2">
      <c r="A7865" t="s">
        <v>7</v>
      </c>
      <c r="B7865" t="s">
        <v>26</v>
      </c>
      <c r="C7865" t="str">
        <f t="shared" si="246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45"/>
        <v>12</v>
      </c>
    </row>
    <row r="7866" spans="1:8" x14ac:dyDescent="0.2">
      <c r="A7866" t="s">
        <v>7</v>
      </c>
      <c r="B7866" t="s">
        <v>26</v>
      </c>
      <c r="C7866" t="str">
        <f t="shared" si="246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45"/>
        <v>12</v>
      </c>
    </row>
    <row r="7867" spans="1:8" x14ac:dyDescent="0.2">
      <c r="A7867" t="s">
        <v>7</v>
      </c>
      <c r="B7867" t="s">
        <v>26</v>
      </c>
      <c r="C7867" t="str">
        <f t="shared" si="246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45"/>
        <v>10</v>
      </c>
    </row>
    <row r="7868" spans="1:8" x14ac:dyDescent="0.2">
      <c r="A7868" t="s">
        <v>7</v>
      </c>
      <c r="B7868" t="s">
        <v>26</v>
      </c>
      <c r="C7868" t="str">
        <f t="shared" si="246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45"/>
        <v>8</v>
      </c>
    </row>
    <row r="7869" spans="1:8" x14ac:dyDescent="0.2">
      <c r="A7869" t="s">
        <v>7</v>
      </c>
      <c r="B7869" t="s">
        <v>26</v>
      </c>
      <c r="C7869" t="str">
        <f t="shared" si="246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45"/>
        <v>7</v>
      </c>
    </row>
    <row r="7870" spans="1:8" x14ac:dyDescent="0.2">
      <c r="A7870" t="s">
        <v>7</v>
      </c>
      <c r="B7870" t="s">
        <v>26</v>
      </c>
      <c r="C7870" t="str">
        <f t="shared" si="246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45"/>
        <v>5</v>
      </c>
    </row>
    <row r="7871" spans="1:8" x14ac:dyDescent="0.2">
      <c r="A7871" t="s">
        <v>7</v>
      </c>
      <c r="B7871" t="s">
        <v>26</v>
      </c>
      <c r="C7871" t="str">
        <f t="shared" si="246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45"/>
        <v>5</v>
      </c>
    </row>
    <row r="7872" spans="1:8" x14ac:dyDescent="0.2">
      <c r="A7872" t="s">
        <v>7</v>
      </c>
      <c r="B7872" t="s">
        <v>26</v>
      </c>
      <c r="C7872" t="str">
        <f t="shared" si="246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45"/>
        <v>4</v>
      </c>
    </row>
    <row r="7873" spans="1:8" x14ac:dyDescent="0.2">
      <c r="A7873" t="s">
        <v>7</v>
      </c>
      <c r="B7873" t="s">
        <v>26</v>
      </c>
      <c r="C7873" t="str">
        <f t="shared" si="246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45"/>
        <v>3</v>
      </c>
    </row>
    <row r="7874" spans="1:8" x14ac:dyDescent="0.2">
      <c r="A7874" t="s">
        <v>7</v>
      </c>
      <c r="B7874" t="s">
        <v>26</v>
      </c>
      <c r="C7874" t="str">
        <f t="shared" si="246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45"/>
        <v>3</v>
      </c>
    </row>
    <row r="7875" spans="1:8" x14ac:dyDescent="0.2">
      <c r="A7875" t="s">
        <v>7</v>
      </c>
      <c r="B7875" t="s">
        <v>26</v>
      </c>
      <c r="C7875" t="str">
        <f t="shared" si="246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ref="H7875:H7938" si="247">F7875-G7875</f>
        <v>3</v>
      </c>
    </row>
    <row r="7876" spans="1:8" x14ac:dyDescent="0.2">
      <c r="A7876" t="s">
        <v>7</v>
      </c>
      <c r="B7876" t="s">
        <v>26</v>
      </c>
      <c r="C7876" t="str">
        <f t="shared" si="246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47"/>
        <v>2</v>
      </c>
    </row>
    <row r="7877" spans="1:8" x14ac:dyDescent="0.2">
      <c r="A7877" t="s">
        <v>7</v>
      </c>
      <c r="B7877" t="s">
        <v>26</v>
      </c>
      <c r="C7877" t="str">
        <f t="shared" ref="C7877:C7940" si="248">IF(H7877&gt;=0,"Cumple","No cumple")</f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47"/>
        <v>2</v>
      </c>
    </row>
    <row r="7878" spans="1:8" x14ac:dyDescent="0.2">
      <c r="A7878" t="s">
        <v>7</v>
      </c>
      <c r="B7878" t="s">
        <v>26</v>
      </c>
      <c r="C7878" t="str">
        <f t="shared" si="248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47"/>
        <v>2</v>
      </c>
    </row>
    <row r="7879" spans="1:8" x14ac:dyDescent="0.2">
      <c r="A7879" t="s">
        <v>7</v>
      </c>
      <c r="B7879" t="s">
        <v>26</v>
      </c>
      <c r="C7879" t="str">
        <f t="shared" si="248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47"/>
        <v>1</v>
      </c>
    </row>
    <row r="7880" spans="1:8" x14ac:dyDescent="0.2">
      <c r="A7880" t="s">
        <v>7</v>
      </c>
      <c r="B7880" t="s">
        <v>26</v>
      </c>
      <c r="C7880" t="str">
        <f t="shared" si="248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47"/>
        <v>1</v>
      </c>
    </row>
    <row r="7881" spans="1:8" x14ac:dyDescent="0.2">
      <c r="A7881" t="s">
        <v>7</v>
      </c>
      <c r="B7881" t="s">
        <v>26</v>
      </c>
      <c r="C7881" t="str">
        <f t="shared" si="248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47"/>
        <v>1</v>
      </c>
    </row>
    <row r="7882" spans="1:8" x14ac:dyDescent="0.2">
      <c r="A7882" t="s">
        <v>7</v>
      </c>
      <c r="B7882" t="s">
        <v>26</v>
      </c>
      <c r="C7882" t="str">
        <f t="shared" si="248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47"/>
        <v>1</v>
      </c>
    </row>
    <row r="7883" spans="1:8" x14ac:dyDescent="0.2">
      <c r="A7883" t="s">
        <v>7</v>
      </c>
      <c r="B7883" t="s">
        <v>26</v>
      </c>
      <c r="C7883" t="str">
        <f t="shared" si="248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47"/>
        <v>1</v>
      </c>
    </row>
    <row r="7884" spans="1:8" x14ac:dyDescent="0.2">
      <c r="A7884" t="s">
        <v>7</v>
      </c>
      <c r="B7884" t="s">
        <v>26</v>
      </c>
      <c r="C7884" t="str">
        <f t="shared" si="248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47"/>
        <v>1</v>
      </c>
    </row>
    <row r="7885" spans="1:8" x14ac:dyDescent="0.2">
      <c r="A7885" t="s">
        <v>7</v>
      </c>
      <c r="B7885" t="s">
        <v>26</v>
      </c>
      <c r="C7885" t="str">
        <f t="shared" si="248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47"/>
        <v>1</v>
      </c>
    </row>
    <row r="7886" spans="1:8" x14ac:dyDescent="0.2">
      <c r="A7886" t="s">
        <v>7</v>
      </c>
      <c r="B7886" t="s">
        <v>26</v>
      </c>
      <c r="C7886" t="str">
        <f t="shared" si="248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47"/>
        <v>1</v>
      </c>
    </row>
    <row r="7887" spans="1:8" x14ac:dyDescent="0.2">
      <c r="A7887" t="s">
        <v>7</v>
      </c>
      <c r="B7887" t="s">
        <v>26</v>
      </c>
      <c r="C7887" t="str">
        <f t="shared" si="248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47"/>
        <v>1</v>
      </c>
    </row>
    <row r="7888" spans="1:8" x14ac:dyDescent="0.2">
      <c r="A7888" t="s">
        <v>7</v>
      </c>
      <c r="B7888" t="s">
        <v>26</v>
      </c>
      <c r="C7888" t="str">
        <f t="shared" si="248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47"/>
        <v>0</v>
      </c>
    </row>
    <row r="7889" spans="1:8" x14ac:dyDescent="0.2">
      <c r="A7889" t="s">
        <v>7</v>
      </c>
      <c r="B7889" t="s">
        <v>26</v>
      </c>
      <c r="C7889" t="str">
        <f t="shared" si="248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47"/>
        <v>0</v>
      </c>
    </row>
    <row r="7890" spans="1:8" x14ac:dyDescent="0.2">
      <c r="A7890" t="s">
        <v>7</v>
      </c>
      <c r="B7890" t="s">
        <v>26</v>
      </c>
      <c r="C7890" t="str">
        <f t="shared" si="248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47"/>
        <v>0</v>
      </c>
    </row>
    <row r="7891" spans="1:8" x14ac:dyDescent="0.2">
      <c r="A7891" t="s">
        <v>7</v>
      </c>
      <c r="B7891" t="s">
        <v>26</v>
      </c>
      <c r="C7891" t="str">
        <f t="shared" si="248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47"/>
        <v>0</v>
      </c>
    </row>
    <row r="7892" spans="1:8" x14ac:dyDescent="0.2">
      <c r="A7892" t="s">
        <v>7</v>
      </c>
      <c r="B7892" t="s">
        <v>26</v>
      </c>
      <c r="C7892" t="str">
        <f t="shared" si="248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47"/>
        <v>-1</v>
      </c>
    </row>
    <row r="7893" spans="1:8" x14ac:dyDescent="0.2">
      <c r="A7893" t="s">
        <v>7</v>
      </c>
      <c r="B7893" t="s">
        <v>26</v>
      </c>
      <c r="C7893" t="str">
        <f t="shared" si="248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47"/>
        <v>-1</v>
      </c>
    </row>
    <row r="7894" spans="1:8" x14ac:dyDescent="0.2">
      <c r="A7894" t="s">
        <v>7</v>
      </c>
      <c r="B7894" t="s">
        <v>26</v>
      </c>
      <c r="C7894" t="str">
        <f t="shared" si="248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47"/>
        <v>-1</v>
      </c>
    </row>
    <row r="7895" spans="1:8" x14ac:dyDescent="0.2">
      <c r="A7895" t="s">
        <v>7</v>
      </c>
      <c r="B7895" t="s">
        <v>26</v>
      </c>
      <c r="C7895" t="str">
        <f t="shared" si="248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47"/>
        <v>-1</v>
      </c>
    </row>
    <row r="7896" spans="1:8" x14ac:dyDescent="0.2">
      <c r="A7896" t="s">
        <v>7</v>
      </c>
      <c r="B7896" t="s">
        <v>26</v>
      </c>
      <c r="C7896" t="str">
        <f t="shared" si="248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47"/>
        <v>-1</v>
      </c>
    </row>
    <row r="7897" spans="1:8" x14ac:dyDescent="0.2">
      <c r="A7897" t="s">
        <v>7</v>
      </c>
      <c r="B7897" t="s">
        <v>26</v>
      </c>
      <c r="C7897" t="str">
        <f t="shared" si="248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47"/>
        <v>-2</v>
      </c>
    </row>
    <row r="7898" spans="1:8" x14ac:dyDescent="0.2">
      <c r="A7898" t="s">
        <v>7</v>
      </c>
      <c r="B7898" t="s">
        <v>26</v>
      </c>
      <c r="C7898" t="str">
        <f t="shared" si="248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47"/>
        <v>-2</v>
      </c>
    </row>
    <row r="7899" spans="1:8" x14ac:dyDescent="0.2">
      <c r="A7899" t="s">
        <v>7</v>
      </c>
      <c r="B7899" t="s">
        <v>26</v>
      </c>
      <c r="C7899" t="str">
        <f t="shared" si="248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47"/>
        <v>-2</v>
      </c>
    </row>
    <row r="7900" spans="1:8" x14ac:dyDescent="0.2">
      <c r="A7900" t="s">
        <v>7</v>
      </c>
      <c r="B7900" t="s">
        <v>26</v>
      </c>
      <c r="C7900" t="str">
        <f t="shared" si="248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47"/>
        <v>-3</v>
      </c>
    </row>
    <row r="7901" spans="1:8" x14ac:dyDescent="0.2">
      <c r="A7901" t="s">
        <v>7</v>
      </c>
      <c r="B7901" t="s">
        <v>26</v>
      </c>
      <c r="C7901" t="str">
        <f t="shared" si="248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47"/>
        <v>-3</v>
      </c>
    </row>
    <row r="7902" spans="1:8" x14ac:dyDescent="0.2">
      <c r="A7902" t="s">
        <v>7</v>
      </c>
      <c r="B7902" t="s">
        <v>26</v>
      </c>
      <c r="C7902" t="str">
        <f t="shared" si="248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47"/>
        <v>-3</v>
      </c>
    </row>
    <row r="7903" spans="1:8" x14ac:dyDescent="0.2">
      <c r="A7903" t="s">
        <v>7</v>
      </c>
      <c r="B7903" t="s">
        <v>26</v>
      </c>
      <c r="C7903" t="str">
        <f t="shared" si="248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47"/>
        <v>-4</v>
      </c>
    </row>
    <row r="7904" spans="1:8" x14ac:dyDescent="0.2">
      <c r="A7904" t="s">
        <v>7</v>
      </c>
      <c r="B7904" t="s">
        <v>26</v>
      </c>
      <c r="C7904" t="str">
        <f t="shared" si="248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47"/>
        <v>-4</v>
      </c>
    </row>
    <row r="7905" spans="1:8" x14ac:dyDescent="0.2">
      <c r="A7905" t="s">
        <v>7</v>
      </c>
      <c r="B7905" t="s">
        <v>26</v>
      </c>
      <c r="C7905" t="str">
        <f t="shared" si="248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47"/>
        <v>-4</v>
      </c>
    </row>
    <row r="7906" spans="1:8" x14ac:dyDescent="0.2">
      <c r="A7906" t="s">
        <v>7</v>
      </c>
      <c r="B7906" t="s">
        <v>26</v>
      </c>
      <c r="C7906" t="str">
        <f t="shared" si="248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47"/>
        <v>-4</v>
      </c>
    </row>
    <row r="7907" spans="1:8" x14ac:dyDescent="0.2">
      <c r="A7907" t="s">
        <v>7</v>
      </c>
      <c r="B7907" t="s">
        <v>26</v>
      </c>
      <c r="C7907" t="str">
        <f t="shared" si="248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47"/>
        <v>-4</v>
      </c>
    </row>
    <row r="7908" spans="1:8" x14ac:dyDescent="0.2">
      <c r="A7908" t="s">
        <v>7</v>
      </c>
      <c r="B7908" t="s">
        <v>26</v>
      </c>
      <c r="C7908" t="str">
        <f t="shared" si="248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47"/>
        <v>-4</v>
      </c>
    </row>
    <row r="7909" spans="1:8" x14ac:dyDescent="0.2">
      <c r="A7909" t="s">
        <v>7</v>
      </c>
      <c r="B7909" t="s">
        <v>26</v>
      </c>
      <c r="C7909" t="str">
        <f t="shared" si="248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47"/>
        <v>-5</v>
      </c>
    </row>
    <row r="7910" spans="1:8" x14ac:dyDescent="0.2">
      <c r="A7910" t="s">
        <v>7</v>
      </c>
      <c r="B7910" t="s">
        <v>26</v>
      </c>
      <c r="C7910" t="str">
        <f t="shared" si="248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47"/>
        <v>-5</v>
      </c>
    </row>
    <row r="7911" spans="1:8" x14ac:dyDescent="0.2">
      <c r="A7911" t="s">
        <v>7</v>
      </c>
      <c r="B7911" t="s">
        <v>26</v>
      </c>
      <c r="C7911" t="str">
        <f t="shared" si="248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47"/>
        <v>-5</v>
      </c>
    </row>
    <row r="7912" spans="1:8" x14ac:dyDescent="0.2">
      <c r="A7912" t="s">
        <v>7</v>
      </c>
      <c r="B7912" t="s">
        <v>26</v>
      </c>
      <c r="C7912" t="str">
        <f t="shared" si="248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47"/>
        <v>-5</v>
      </c>
    </row>
    <row r="7913" spans="1:8" x14ac:dyDescent="0.2">
      <c r="A7913" t="s">
        <v>7</v>
      </c>
      <c r="B7913" t="s">
        <v>26</v>
      </c>
      <c r="C7913" t="str">
        <f t="shared" si="248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47"/>
        <v>-5</v>
      </c>
    </row>
    <row r="7914" spans="1:8" x14ac:dyDescent="0.2">
      <c r="A7914" t="s">
        <v>7</v>
      </c>
      <c r="B7914" t="s">
        <v>26</v>
      </c>
      <c r="C7914" t="str">
        <f t="shared" si="248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47"/>
        <v>-5</v>
      </c>
    </row>
    <row r="7915" spans="1:8" x14ac:dyDescent="0.2">
      <c r="A7915" t="s">
        <v>7</v>
      </c>
      <c r="B7915" t="s">
        <v>26</v>
      </c>
      <c r="C7915" t="str">
        <f t="shared" si="248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47"/>
        <v>-5</v>
      </c>
    </row>
    <row r="7916" spans="1:8" x14ac:dyDescent="0.2">
      <c r="A7916" t="s">
        <v>7</v>
      </c>
      <c r="B7916" t="s">
        <v>26</v>
      </c>
      <c r="C7916" t="str">
        <f t="shared" si="248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47"/>
        <v>-5</v>
      </c>
    </row>
    <row r="7917" spans="1:8" x14ac:dyDescent="0.2">
      <c r="A7917" t="s">
        <v>7</v>
      </c>
      <c r="B7917" t="s">
        <v>26</v>
      </c>
      <c r="C7917" t="str">
        <f t="shared" si="248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47"/>
        <v>-5</v>
      </c>
    </row>
    <row r="7918" spans="1:8" x14ac:dyDescent="0.2">
      <c r="A7918" t="s">
        <v>7</v>
      </c>
      <c r="B7918" t="s">
        <v>26</v>
      </c>
      <c r="C7918" t="str">
        <f t="shared" si="248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47"/>
        <v>-5</v>
      </c>
    </row>
    <row r="7919" spans="1:8" x14ac:dyDescent="0.2">
      <c r="A7919" t="s">
        <v>7</v>
      </c>
      <c r="B7919" t="s">
        <v>26</v>
      </c>
      <c r="C7919" t="str">
        <f t="shared" si="248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47"/>
        <v>-5</v>
      </c>
    </row>
    <row r="7920" spans="1:8" x14ac:dyDescent="0.2">
      <c r="A7920" t="s">
        <v>7</v>
      </c>
      <c r="B7920" t="s">
        <v>26</v>
      </c>
      <c r="C7920" t="str">
        <f t="shared" si="248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47"/>
        <v>-5</v>
      </c>
    </row>
    <row r="7921" spans="1:8" x14ac:dyDescent="0.2">
      <c r="A7921" t="s">
        <v>7</v>
      </c>
      <c r="B7921" t="s">
        <v>26</v>
      </c>
      <c r="C7921" t="str">
        <f t="shared" si="248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47"/>
        <v>-5</v>
      </c>
    </row>
    <row r="7922" spans="1:8" x14ac:dyDescent="0.2">
      <c r="A7922" t="s">
        <v>7</v>
      </c>
      <c r="B7922" t="s">
        <v>26</v>
      </c>
      <c r="C7922" t="str">
        <f t="shared" si="248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47"/>
        <v>-6</v>
      </c>
    </row>
    <row r="7923" spans="1:8" x14ac:dyDescent="0.2">
      <c r="A7923" t="s">
        <v>7</v>
      </c>
      <c r="B7923" t="s">
        <v>26</v>
      </c>
      <c r="C7923" t="str">
        <f t="shared" si="248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47"/>
        <v>-6</v>
      </c>
    </row>
    <row r="7924" spans="1:8" x14ac:dyDescent="0.2">
      <c r="A7924" t="s">
        <v>7</v>
      </c>
      <c r="B7924" t="s">
        <v>26</v>
      </c>
      <c r="C7924" t="str">
        <f t="shared" si="248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47"/>
        <v>-6</v>
      </c>
    </row>
    <row r="7925" spans="1:8" x14ac:dyDescent="0.2">
      <c r="A7925" t="s">
        <v>7</v>
      </c>
      <c r="B7925" t="s">
        <v>26</v>
      </c>
      <c r="C7925" t="str">
        <f t="shared" si="248"/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si="247"/>
        <v>-6</v>
      </c>
    </row>
    <row r="7926" spans="1:8" x14ac:dyDescent="0.2">
      <c r="A7926" t="s">
        <v>7</v>
      </c>
      <c r="B7926" t="s">
        <v>26</v>
      </c>
      <c r="C7926" t="str">
        <f t="shared" si="248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47"/>
        <v>-6</v>
      </c>
    </row>
    <row r="7927" spans="1:8" x14ac:dyDescent="0.2">
      <c r="A7927" t="s">
        <v>7</v>
      </c>
      <c r="B7927" t="s">
        <v>26</v>
      </c>
      <c r="C7927" t="str">
        <f t="shared" si="248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47"/>
        <v>-6</v>
      </c>
    </row>
    <row r="7928" spans="1:8" x14ac:dyDescent="0.2">
      <c r="A7928" t="s">
        <v>19</v>
      </c>
      <c r="B7928" t="s">
        <v>26</v>
      </c>
      <c r="C7928" t="str">
        <f t="shared" si="248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47"/>
        <v>-6</v>
      </c>
    </row>
    <row r="7929" spans="1:8" x14ac:dyDescent="0.2">
      <c r="A7929" t="s">
        <v>7</v>
      </c>
      <c r="B7929" t="s">
        <v>26</v>
      </c>
      <c r="C7929" t="str">
        <f t="shared" si="248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47"/>
        <v>-6</v>
      </c>
    </row>
    <row r="7930" spans="1:8" x14ac:dyDescent="0.2">
      <c r="A7930" t="s">
        <v>7</v>
      </c>
      <c r="B7930" t="s">
        <v>26</v>
      </c>
      <c r="C7930" t="str">
        <f t="shared" si="248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47"/>
        <v>-6</v>
      </c>
    </row>
    <row r="7931" spans="1:8" x14ac:dyDescent="0.2">
      <c r="A7931" t="s">
        <v>19</v>
      </c>
      <c r="B7931" t="s">
        <v>26</v>
      </c>
      <c r="C7931" t="str">
        <f t="shared" si="248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47"/>
        <v>-6</v>
      </c>
    </row>
    <row r="7932" spans="1:8" x14ac:dyDescent="0.2">
      <c r="A7932" t="s">
        <v>7</v>
      </c>
      <c r="B7932" t="s">
        <v>26</v>
      </c>
      <c r="C7932" t="str">
        <f t="shared" si="248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47"/>
        <v>-6</v>
      </c>
    </row>
    <row r="7933" spans="1:8" x14ac:dyDescent="0.2">
      <c r="A7933" t="s">
        <v>7</v>
      </c>
      <c r="B7933" t="s">
        <v>26</v>
      </c>
      <c r="C7933" t="str">
        <f t="shared" si="248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47"/>
        <v>-6</v>
      </c>
    </row>
    <row r="7934" spans="1:8" x14ac:dyDescent="0.2">
      <c r="A7934" t="s">
        <v>7</v>
      </c>
      <c r="B7934" t="s">
        <v>26</v>
      </c>
      <c r="C7934" t="str">
        <f t="shared" si="248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47"/>
        <v>-6</v>
      </c>
    </row>
    <row r="7935" spans="1:8" x14ac:dyDescent="0.2">
      <c r="A7935" t="s">
        <v>7</v>
      </c>
      <c r="B7935" t="s">
        <v>26</v>
      </c>
      <c r="C7935" t="str">
        <f t="shared" si="248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47"/>
        <v>-6</v>
      </c>
    </row>
    <row r="7936" spans="1:8" x14ac:dyDescent="0.2">
      <c r="A7936" t="s">
        <v>7</v>
      </c>
      <c r="B7936" t="s">
        <v>26</v>
      </c>
      <c r="C7936" t="str">
        <f t="shared" si="248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47"/>
        <v>-6</v>
      </c>
    </row>
    <row r="7937" spans="1:8" x14ac:dyDescent="0.2">
      <c r="A7937" t="s">
        <v>7</v>
      </c>
      <c r="B7937" t="s">
        <v>26</v>
      </c>
      <c r="C7937" t="str">
        <f t="shared" si="248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47"/>
        <v>-6</v>
      </c>
    </row>
    <row r="7938" spans="1:8" x14ac:dyDescent="0.2">
      <c r="A7938" t="s">
        <v>7</v>
      </c>
      <c r="B7938" t="s">
        <v>26</v>
      </c>
      <c r="C7938" t="str">
        <f t="shared" si="248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47"/>
        <v>-6</v>
      </c>
    </row>
    <row r="7939" spans="1:8" x14ac:dyDescent="0.2">
      <c r="A7939" t="s">
        <v>7</v>
      </c>
      <c r="B7939" t="s">
        <v>26</v>
      </c>
      <c r="C7939" t="str">
        <f t="shared" si="248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ref="H7939:H8002" si="249">F7939-G7939</f>
        <v>-6</v>
      </c>
    </row>
    <row r="7940" spans="1:8" x14ac:dyDescent="0.2">
      <c r="A7940" t="s">
        <v>7</v>
      </c>
      <c r="B7940" t="s">
        <v>26</v>
      </c>
      <c r="C7940" t="str">
        <f t="shared" si="248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49"/>
        <v>-6</v>
      </c>
    </row>
    <row r="7941" spans="1:8" x14ac:dyDescent="0.2">
      <c r="A7941" t="s">
        <v>19</v>
      </c>
      <c r="B7941" t="s">
        <v>26</v>
      </c>
      <c r="C7941" t="str">
        <f t="shared" ref="C7941:C8004" si="250">IF(H7941&gt;=0,"Cumple","No cumple")</f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49"/>
        <v>-6</v>
      </c>
    </row>
    <row r="7942" spans="1:8" x14ac:dyDescent="0.2">
      <c r="A7942" t="s">
        <v>7</v>
      </c>
      <c r="B7942" t="s">
        <v>26</v>
      </c>
      <c r="C7942" t="str">
        <f t="shared" si="250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49"/>
        <v>-6</v>
      </c>
    </row>
    <row r="7943" spans="1:8" x14ac:dyDescent="0.2">
      <c r="A7943" t="s">
        <v>7</v>
      </c>
      <c r="B7943" t="s">
        <v>26</v>
      </c>
      <c r="C7943" t="str">
        <f t="shared" si="250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49"/>
        <v>-6</v>
      </c>
    </row>
    <row r="7944" spans="1:8" x14ac:dyDescent="0.2">
      <c r="A7944" t="s">
        <v>7</v>
      </c>
      <c r="B7944" t="s">
        <v>26</v>
      </c>
      <c r="C7944" t="str">
        <f t="shared" si="250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49"/>
        <v>-6</v>
      </c>
    </row>
    <row r="7945" spans="1:8" x14ac:dyDescent="0.2">
      <c r="A7945" t="s">
        <v>7</v>
      </c>
      <c r="B7945" t="s">
        <v>26</v>
      </c>
      <c r="C7945" t="str">
        <f t="shared" si="250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49"/>
        <v>-6</v>
      </c>
    </row>
    <row r="7946" spans="1:8" x14ac:dyDescent="0.2">
      <c r="A7946" t="s">
        <v>7</v>
      </c>
      <c r="B7946" t="s">
        <v>26</v>
      </c>
      <c r="C7946" t="str">
        <f t="shared" si="250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49"/>
        <v>-6</v>
      </c>
    </row>
    <row r="7947" spans="1:8" x14ac:dyDescent="0.2">
      <c r="A7947" t="s">
        <v>7</v>
      </c>
      <c r="B7947" t="s">
        <v>26</v>
      </c>
      <c r="C7947" t="str">
        <f t="shared" si="250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49"/>
        <v>-6</v>
      </c>
    </row>
    <row r="7948" spans="1:8" x14ac:dyDescent="0.2">
      <c r="A7948" t="s">
        <v>7</v>
      </c>
      <c r="B7948" t="s">
        <v>26</v>
      </c>
      <c r="C7948" t="str">
        <f t="shared" si="250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49"/>
        <v>-6</v>
      </c>
    </row>
    <row r="7949" spans="1:8" x14ac:dyDescent="0.2">
      <c r="A7949" t="s">
        <v>7</v>
      </c>
      <c r="B7949" t="s">
        <v>26</v>
      </c>
      <c r="C7949" t="str">
        <f t="shared" si="250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49"/>
        <v>-6</v>
      </c>
    </row>
    <row r="7950" spans="1:8" x14ac:dyDescent="0.2">
      <c r="A7950" t="s">
        <v>7</v>
      </c>
      <c r="B7950" t="s">
        <v>26</v>
      </c>
      <c r="C7950" t="str">
        <f t="shared" si="250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49"/>
        <v>-6</v>
      </c>
    </row>
    <row r="7951" spans="1:8" x14ac:dyDescent="0.2">
      <c r="A7951" t="s">
        <v>7</v>
      </c>
      <c r="B7951" t="s">
        <v>26</v>
      </c>
      <c r="C7951" t="str">
        <f t="shared" si="250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49"/>
        <v>-6</v>
      </c>
    </row>
    <row r="7952" spans="1:8" x14ac:dyDescent="0.2">
      <c r="A7952" t="s">
        <v>7</v>
      </c>
      <c r="B7952" t="s">
        <v>26</v>
      </c>
      <c r="C7952" t="str">
        <f t="shared" si="250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49"/>
        <v>-6</v>
      </c>
    </row>
    <row r="7953" spans="1:8" x14ac:dyDescent="0.2">
      <c r="A7953" t="s">
        <v>7</v>
      </c>
      <c r="B7953" t="s">
        <v>26</v>
      </c>
      <c r="C7953" t="str">
        <f t="shared" si="250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49"/>
        <v>-6</v>
      </c>
    </row>
    <row r="7954" spans="1:8" x14ac:dyDescent="0.2">
      <c r="A7954" t="s">
        <v>7</v>
      </c>
      <c r="B7954" t="s">
        <v>26</v>
      </c>
      <c r="C7954" t="str">
        <f t="shared" si="250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49"/>
        <v>-6</v>
      </c>
    </row>
    <row r="7955" spans="1:8" x14ac:dyDescent="0.2">
      <c r="A7955" t="s">
        <v>7</v>
      </c>
      <c r="B7955" t="s">
        <v>26</v>
      </c>
      <c r="C7955" t="str">
        <f t="shared" si="250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49"/>
        <v>-6</v>
      </c>
    </row>
    <row r="7956" spans="1:8" x14ac:dyDescent="0.2">
      <c r="A7956" t="s">
        <v>7</v>
      </c>
      <c r="B7956" t="s">
        <v>26</v>
      </c>
      <c r="C7956" t="str">
        <f t="shared" si="250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49"/>
        <v>-6</v>
      </c>
    </row>
    <row r="7957" spans="1:8" x14ac:dyDescent="0.2">
      <c r="A7957" t="s">
        <v>7</v>
      </c>
      <c r="B7957" t="s">
        <v>26</v>
      </c>
      <c r="C7957" t="str">
        <f t="shared" si="250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49"/>
        <v>-6</v>
      </c>
    </row>
    <row r="7958" spans="1:8" x14ac:dyDescent="0.2">
      <c r="A7958" t="s">
        <v>7</v>
      </c>
      <c r="B7958" t="s">
        <v>26</v>
      </c>
      <c r="C7958" t="str">
        <f t="shared" si="250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49"/>
        <v>-6</v>
      </c>
    </row>
    <row r="7959" spans="1:8" x14ac:dyDescent="0.2">
      <c r="A7959" t="s">
        <v>7</v>
      </c>
      <c r="B7959" t="s">
        <v>26</v>
      </c>
      <c r="C7959" t="str">
        <f t="shared" si="250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49"/>
        <v>-6</v>
      </c>
    </row>
    <row r="7960" spans="1:8" x14ac:dyDescent="0.2">
      <c r="A7960" t="s">
        <v>7</v>
      </c>
      <c r="B7960" t="s">
        <v>26</v>
      </c>
      <c r="C7960" t="str">
        <f t="shared" si="250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49"/>
        <v>-6</v>
      </c>
    </row>
    <row r="7961" spans="1:8" x14ac:dyDescent="0.2">
      <c r="A7961" t="s">
        <v>7</v>
      </c>
      <c r="B7961" t="s">
        <v>26</v>
      </c>
      <c r="C7961" t="str">
        <f t="shared" si="250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49"/>
        <v>-6</v>
      </c>
    </row>
    <row r="7962" spans="1:8" x14ac:dyDescent="0.2">
      <c r="A7962" t="s">
        <v>7</v>
      </c>
      <c r="B7962" t="s">
        <v>26</v>
      </c>
      <c r="C7962" t="str">
        <f t="shared" si="250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49"/>
        <v>-6</v>
      </c>
    </row>
    <row r="7963" spans="1:8" x14ac:dyDescent="0.2">
      <c r="A7963" t="s">
        <v>7</v>
      </c>
      <c r="B7963" t="s">
        <v>26</v>
      </c>
      <c r="C7963" t="str">
        <f t="shared" si="250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49"/>
        <v>-6</v>
      </c>
    </row>
    <row r="7964" spans="1:8" x14ac:dyDescent="0.2">
      <c r="A7964" t="s">
        <v>7</v>
      </c>
      <c r="B7964" t="s">
        <v>26</v>
      </c>
      <c r="C7964" t="str">
        <f t="shared" si="250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49"/>
        <v>-6</v>
      </c>
    </row>
    <row r="7965" spans="1:8" x14ac:dyDescent="0.2">
      <c r="A7965" t="s">
        <v>7</v>
      </c>
      <c r="B7965" t="s">
        <v>26</v>
      </c>
      <c r="C7965" t="str">
        <f t="shared" si="250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49"/>
        <v>-6</v>
      </c>
    </row>
    <row r="7966" spans="1:8" x14ac:dyDescent="0.2">
      <c r="A7966" t="s">
        <v>7</v>
      </c>
      <c r="B7966" t="s">
        <v>26</v>
      </c>
      <c r="C7966" t="str">
        <f t="shared" si="250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49"/>
        <v>-6</v>
      </c>
    </row>
    <row r="7967" spans="1:8" x14ac:dyDescent="0.2">
      <c r="A7967" t="s">
        <v>7</v>
      </c>
      <c r="B7967" t="s">
        <v>26</v>
      </c>
      <c r="C7967" t="str">
        <f t="shared" si="250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49"/>
        <v>-6</v>
      </c>
    </row>
    <row r="7968" spans="1:8" x14ac:dyDescent="0.2">
      <c r="A7968" t="s">
        <v>7</v>
      </c>
      <c r="B7968" t="s">
        <v>26</v>
      </c>
      <c r="C7968" t="str">
        <f t="shared" si="250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49"/>
        <v>-6</v>
      </c>
    </row>
    <row r="7969" spans="1:8" x14ac:dyDescent="0.2">
      <c r="A7969" t="s">
        <v>7</v>
      </c>
      <c r="B7969" t="s">
        <v>26</v>
      </c>
      <c r="C7969" t="str">
        <f t="shared" si="250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49"/>
        <v>-6</v>
      </c>
    </row>
    <row r="7970" spans="1:8" x14ac:dyDescent="0.2">
      <c r="A7970" t="s">
        <v>7</v>
      </c>
      <c r="B7970" t="s">
        <v>26</v>
      </c>
      <c r="C7970" t="str">
        <f t="shared" si="250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49"/>
        <v>-6</v>
      </c>
    </row>
    <row r="7971" spans="1:8" x14ac:dyDescent="0.2">
      <c r="A7971" t="s">
        <v>7</v>
      </c>
      <c r="B7971" t="s">
        <v>26</v>
      </c>
      <c r="C7971" t="str">
        <f t="shared" si="250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49"/>
        <v>-6</v>
      </c>
    </row>
    <row r="7972" spans="1:8" x14ac:dyDescent="0.2">
      <c r="A7972" t="s">
        <v>7</v>
      </c>
      <c r="B7972" t="s">
        <v>27</v>
      </c>
      <c r="C7972" t="str">
        <f t="shared" si="250"/>
        <v>Cumple</v>
      </c>
      <c r="D7972">
        <v>2349</v>
      </c>
      <c r="E7972" t="s">
        <v>8</v>
      </c>
      <c r="F7972">
        <v>26</v>
      </c>
      <c r="G7972">
        <v>8</v>
      </c>
      <c r="H7972">
        <f t="shared" si="249"/>
        <v>18</v>
      </c>
    </row>
    <row r="7973" spans="1:8" x14ac:dyDescent="0.2">
      <c r="A7973" t="s">
        <v>7</v>
      </c>
      <c r="B7973" t="s">
        <v>27</v>
      </c>
      <c r="C7973" t="str">
        <f t="shared" si="250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si="249"/>
        <v>15</v>
      </c>
    </row>
    <row r="7974" spans="1:8" x14ac:dyDescent="0.2">
      <c r="A7974" t="s">
        <v>7</v>
      </c>
      <c r="B7974" t="s">
        <v>27</v>
      </c>
      <c r="C7974" t="str">
        <f t="shared" si="250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49"/>
        <v>13</v>
      </c>
    </row>
    <row r="7975" spans="1:8" x14ac:dyDescent="0.2">
      <c r="A7975" t="s">
        <v>7</v>
      </c>
      <c r="B7975" t="s">
        <v>27</v>
      </c>
      <c r="C7975" t="str">
        <f t="shared" si="250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49"/>
        <v>12</v>
      </c>
    </row>
    <row r="7976" spans="1:8" x14ac:dyDescent="0.2">
      <c r="A7976" t="s">
        <v>7</v>
      </c>
      <c r="B7976" t="s">
        <v>27</v>
      </c>
      <c r="C7976" t="str">
        <f t="shared" si="250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49"/>
        <v>12</v>
      </c>
    </row>
    <row r="7977" spans="1:8" x14ac:dyDescent="0.2">
      <c r="A7977" t="s">
        <v>7</v>
      </c>
      <c r="B7977" t="s">
        <v>27</v>
      </c>
      <c r="C7977" t="str">
        <f t="shared" si="250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49"/>
        <v>11</v>
      </c>
    </row>
    <row r="7978" spans="1:8" x14ac:dyDescent="0.2">
      <c r="A7978" t="s">
        <v>7</v>
      </c>
      <c r="B7978" t="s">
        <v>27</v>
      </c>
      <c r="C7978" t="str">
        <f t="shared" si="250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49"/>
        <v>11</v>
      </c>
    </row>
    <row r="7979" spans="1:8" x14ac:dyDescent="0.2">
      <c r="A7979" t="s">
        <v>7</v>
      </c>
      <c r="B7979" t="s">
        <v>27</v>
      </c>
      <c r="C7979" t="str">
        <f t="shared" si="250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49"/>
        <v>10</v>
      </c>
    </row>
    <row r="7980" spans="1:8" x14ac:dyDescent="0.2">
      <c r="A7980" t="s">
        <v>7</v>
      </c>
      <c r="B7980" t="s">
        <v>27</v>
      </c>
      <c r="C7980" t="str">
        <f t="shared" si="250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49"/>
        <v>10</v>
      </c>
    </row>
    <row r="7981" spans="1:8" x14ac:dyDescent="0.2">
      <c r="A7981" t="s">
        <v>7</v>
      </c>
      <c r="B7981" t="s">
        <v>27</v>
      </c>
      <c r="C7981" t="str">
        <f t="shared" si="250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49"/>
        <v>9</v>
      </c>
    </row>
    <row r="7982" spans="1:8" x14ac:dyDescent="0.2">
      <c r="A7982" t="s">
        <v>7</v>
      </c>
      <c r="B7982" t="s">
        <v>27</v>
      </c>
      <c r="C7982" t="str">
        <f t="shared" si="250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49"/>
        <v>9</v>
      </c>
    </row>
    <row r="7983" spans="1:8" x14ac:dyDescent="0.2">
      <c r="A7983" t="s">
        <v>7</v>
      </c>
      <c r="B7983" t="s">
        <v>27</v>
      </c>
      <c r="C7983" t="str">
        <f t="shared" si="250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49"/>
        <v>8</v>
      </c>
    </row>
    <row r="7984" spans="1:8" x14ac:dyDescent="0.2">
      <c r="A7984" t="s">
        <v>7</v>
      </c>
      <c r="B7984" t="s">
        <v>27</v>
      </c>
      <c r="C7984" t="str">
        <f t="shared" si="250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49"/>
        <v>8</v>
      </c>
    </row>
    <row r="7985" spans="1:8" x14ac:dyDescent="0.2">
      <c r="A7985" t="s">
        <v>7</v>
      </c>
      <c r="B7985" t="s">
        <v>27</v>
      </c>
      <c r="C7985" t="str">
        <f t="shared" si="250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49"/>
        <v>6</v>
      </c>
    </row>
    <row r="7986" spans="1:8" x14ac:dyDescent="0.2">
      <c r="A7986" t="s">
        <v>7</v>
      </c>
      <c r="B7986" t="s">
        <v>27</v>
      </c>
      <c r="C7986" t="str">
        <f t="shared" si="250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49"/>
        <v>6</v>
      </c>
    </row>
    <row r="7987" spans="1:8" x14ac:dyDescent="0.2">
      <c r="A7987" t="s">
        <v>7</v>
      </c>
      <c r="B7987" t="s">
        <v>27</v>
      </c>
      <c r="C7987" t="str">
        <f t="shared" si="250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49"/>
        <v>5</v>
      </c>
    </row>
    <row r="7988" spans="1:8" x14ac:dyDescent="0.2">
      <c r="A7988" t="s">
        <v>7</v>
      </c>
      <c r="B7988" t="s">
        <v>27</v>
      </c>
      <c r="C7988" t="str">
        <f t="shared" si="250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49"/>
        <v>5</v>
      </c>
    </row>
    <row r="7989" spans="1:8" x14ac:dyDescent="0.2">
      <c r="A7989" t="s">
        <v>7</v>
      </c>
      <c r="B7989" t="s">
        <v>27</v>
      </c>
      <c r="C7989" t="str">
        <f t="shared" si="250"/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49"/>
        <v>7</v>
      </c>
    </row>
    <row r="7990" spans="1:8" x14ac:dyDescent="0.2">
      <c r="A7990" t="s">
        <v>7</v>
      </c>
      <c r="B7990" t="s">
        <v>27</v>
      </c>
      <c r="C7990" t="str">
        <f t="shared" si="250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49"/>
        <v>7</v>
      </c>
    </row>
    <row r="7991" spans="1:8" x14ac:dyDescent="0.2">
      <c r="A7991" t="s">
        <v>7</v>
      </c>
      <c r="B7991" t="s">
        <v>27</v>
      </c>
      <c r="C7991" t="str">
        <f t="shared" si="250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49"/>
        <v>6</v>
      </c>
    </row>
    <row r="7992" spans="1:8" x14ac:dyDescent="0.2">
      <c r="A7992" t="s">
        <v>7</v>
      </c>
      <c r="B7992" t="s">
        <v>27</v>
      </c>
      <c r="C7992" t="str">
        <f t="shared" si="250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49"/>
        <v>6</v>
      </c>
    </row>
    <row r="7993" spans="1:8" x14ac:dyDescent="0.2">
      <c r="A7993" t="s">
        <v>7</v>
      </c>
      <c r="B7993" t="s">
        <v>27</v>
      </c>
      <c r="C7993" t="str">
        <f t="shared" si="250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49"/>
        <v>4</v>
      </c>
    </row>
    <row r="7994" spans="1:8" x14ac:dyDescent="0.2">
      <c r="A7994" t="s">
        <v>7</v>
      </c>
      <c r="B7994" t="s">
        <v>27</v>
      </c>
      <c r="C7994" t="str">
        <f t="shared" si="250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49"/>
        <v>4</v>
      </c>
    </row>
    <row r="7995" spans="1:8" x14ac:dyDescent="0.2">
      <c r="A7995" t="s">
        <v>7</v>
      </c>
      <c r="B7995" t="s">
        <v>27</v>
      </c>
      <c r="C7995" t="str">
        <f t="shared" si="250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49"/>
        <v>6</v>
      </c>
    </row>
    <row r="7996" spans="1:8" x14ac:dyDescent="0.2">
      <c r="A7996" t="s">
        <v>7</v>
      </c>
      <c r="B7996" t="s">
        <v>27</v>
      </c>
      <c r="C7996" t="str">
        <f t="shared" si="250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49"/>
        <v>4</v>
      </c>
    </row>
    <row r="7997" spans="1:8" x14ac:dyDescent="0.2">
      <c r="A7997" t="s">
        <v>7</v>
      </c>
      <c r="B7997" t="s">
        <v>27</v>
      </c>
      <c r="C7997" t="str">
        <f t="shared" si="250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49"/>
        <v>4</v>
      </c>
    </row>
    <row r="7998" spans="1:8" x14ac:dyDescent="0.2">
      <c r="A7998" t="s">
        <v>7</v>
      </c>
      <c r="B7998" t="s">
        <v>27</v>
      </c>
      <c r="C7998" t="str">
        <f t="shared" si="250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49"/>
        <v>4</v>
      </c>
    </row>
    <row r="7999" spans="1:8" x14ac:dyDescent="0.2">
      <c r="A7999" t="s">
        <v>7</v>
      </c>
      <c r="B7999" t="s">
        <v>27</v>
      </c>
      <c r="C7999" t="str">
        <f t="shared" si="250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49"/>
        <v>4</v>
      </c>
    </row>
    <row r="8000" spans="1:8" x14ac:dyDescent="0.2">
      <c r="A8000" t="s">
        <v>7</v>
      </c>
      <c r="B8000" t="s">
        <v>27</v>
      </c>
      <c r="C8000" t="str">
        <f t="shared" si="250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49"/>
        <v>3</v>
      </c>
    </row>
    <row r="8001" spans="1:8" x14ac:dyDescent="0.2">
      <c r="A8001" t="s">
        <v>7</v>
      </c>
      <c r="B8001" t="s">
        <v>27</v>
      </c>
      <c r="C8001" t="str">
        <f t="shared" si="250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49"/>
        <v>3</v>
      </c>
    </row>
    <row r="8002" spans="1:8" x14ac:dyDescent="0.2">
      <c r="A8002" t="s">
        <v>7</v>
      </c>
      <c r="B8002" t="s">
        <v>27</v>
      </c>
      <c r="C8002" t="str">
        <f t="shared" si="250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49"/>
        <v>3</v>
      </c>
    </row>
    <row r="8003" spans="1:8" x14ac:dyDescent="0.2">
      <c r="A8003" t="s">
        <v>7</v>
      </c>
      <c r="B8003" t="s">
        <v>27</v>
      </c>
      <c r="C8003" t="str">
        <f t="shared" si="250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ref="H8003:H8066" si="251">F8003-G8003</f>
        <v>3</v>
      </c>
    </row>
    <row r="8004" spans="1:8" x14ac:dyDescent="0.2">
      <c r="A8004" t="s">
        <v>7</v>
      </c>
      <c r="B8004" t="s">
        <v>27</v>
      </c>
      <c r="C8004" t="str">
        <f t="shared" si="250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51"/>
        <v>3</v>
      </c>
    </row>
    <row r="8005" spans="1:8" x14ac:dyDescent="0.2">
      <c r="A8005" t="s">
        <v>7</v>
      </c>
      <c r="B8005" t="s">
        <v>27</v>
      </c>
      <c r="C8005" t="str">
        <f t="shared" ref="C8005:C8068" si="252">IF(H8005&gt;=0,"Cumple","No cumple")</f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51"/>
        <v>5</v>
      </c>
    </row>
    <row r="8006" spans="1:8" x14ac:dyDescent="0.2">
      <c r="A8006" t="s">
        <v>7</v>
      </c>
      <c r="B8006" t="s">
        <v>27</v>
      </c>
      <c r="C8006" t="str">
        <f t="shared" si="252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51"/>
        <v>5</v>
      </c>
    </row>
    <row r="8007" spans="1:8" x14ac:dyDescent="0.2">
      <c r="A8007" t="s">
        <v>7</v>
      </c>
      <c r="B8007" t="s">
        <v>27</v>
      </c>
      <c r="C8007" t="str">
        <f t="shared" si="252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51"/>
        <v>2</v>
      </c>
    </row>
    <row r="8008" spans="1:8" x14ac:dyDescent="0.2">
      <c r="A8008" t="s">
        <v>7</v>
      </c>
      <c r="B8008" t="s">
        <v>27</v>
      </c>
      <c r="C8008" t="str">
        <f t="shared" si="252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51"/>
        <v>2</v>
      </c>
    </row>
    <row r="8009" spans="1:8" x14ac:dyDescent="0.2">
      <c r="A8009" t="s">
        <v>7</v>
      </c>
      <c r="B8009" t="s">
        <v>27</v>
      </c>
      <c r="C8009" t="str">
        <f t="shared" si="252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51"/>
        <v>2</v>
      </c>
    </row>
    <row r="8010" spans="1:8" x14ac:dyDescent="0.2">
      <c r="A8010" t="s">
        <v>7</v>
      </c>
      <c r="B8010" t="s">
        <v>27</v>
      </c>
      <c r="C8010" t="str">
        <f t="shared" si="252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51"/>
        <v>2</v>
      </c>
    </row>
    <row r="8011" spans="1:8" x14ac:dyDescent="0.2">
      <c r="A8011" t="s">
        <v>7</v>
      </c>
      <c r="B8011" t="s">
        <v>27</v>
      </c>
      <c r="C8011" t="str">
        <f t="shared" si="252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51"/>
        <v>4</v>
      </c>
    </row>
    <row r="8012" spans="1:8" x14ac:dyDescent="0.2">
      <c r="A8012" t="s">
        <v>7</v>
      </c>
      <c r="B8012" t="s">
        <v>27</v>
      </c>
      <c r="C8012" t="str">
        <f t="shared" si="252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51"/>
        <v>2</v>
      </c>
    </row>
    <row r="8013" spans="1:8" x14ac:dyDescent="0.2">
      <c r="A8013" t="s">
        <v>7</v>
      </c>
      <c r="B8013" t="s">
        <v>27</v>
      </c>
      <c r="C8013" t="str">
        <f t="shared" si="252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51"/>
        <v>2</v>
      </c>
    </row>
    <row r="8014" spans="1:8" x14ac:dyDescent="0.2">
      <c r="A8014" t="s">
        <v>7</v>
      </c>
      <c r="B8014" t="s">
        <v>27</v>
      </c>
      <c r="C8014" t="str">
        <f t="shared" si="252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51"/>
        <v>2</v>
      </c>
    </row>
    <row r="8015" spans="1:8" x14ac:dyDescent="0.2">
      <c r="A8015" t="s">
        <v>7</v>
      </c>
      <c r="B8015" t="s">
        <v>27</v>
      </c>
      <c r="C8015" t="str">
        <f t="shared" si="252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51"/>
        <v>2</v>
      </c>
    </row>
    <row r="8016" spans="1:8" x14ac:dyDescent="0.2">
      <c r="A8016" t="s">
        <v>7</v>
      </c>
      <c r="B8016" t="s">
        <v>27</v>
      </c>
      <c r="C8016" t="str">
        <f t="shared" si="252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51"/>
        <v>2</v>
      </c>
    </row>
    <row r="8017" spans="1:8" x14ac:dyDescent="0.2">
      <c r="A8017" t="s">
        <v>7</v>
      </c>
      <c r="B8017" t="s">
        <v>27</v>
      </c>
      <c r="C8017" t="str">
        <f t="shared" si="252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51"/>
        <v>4</v>
      </c>
    </row>
    <row r="8018" spans="1:8" x14ac:dyDescent="0.2">
      <c r="A8018" t="s">
        <v>7</v>
      </c>
      <c r="B8018" t="s">
        <v>27</v>
      </c>
      <c r="C8018" t="str">
        <f t="shared" si="252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51"/>
        <v>2</v>
      </c>
    </row>
    <row r="8019" spans="1:8" x14ac:dyDescent="0.2">
      <c r="A8019" t="s">
        <v>7</v>
      </c>
      <c r="B8019" t="s">
        <v>27</v>
      </c>
      <c r="C8019" t="str">
        <f t="shared" si="252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51"/>
        <v>4</v>
      </c>
    </row>
    <row r="8020" spans="1:8" x14ac:dyDescent="0.2">
      <c r="A8020" t="s">
        <v>7</v>
      </c>
      <c r="B8020" t="s">
        <v>27</v>
      </c>
      <c r="C8020" t="str">
        <f t="shared" si="252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51"/>
        <v>1</v>
      </c>
    </row>
    <row r="8021" spans="1:8" x14ac:dyDescent="0.2">
      <c r="A8021" t="s">
        <v>7</v>
      </c>
      <c r="B8021" t="s">
        <v>27</v>
      </c>
      <c r="C8021" t="str">
        <f t="shared" si="252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51"/>
        <v>1</v>
      </c>
    </row>
    <row r="8022" spans="1:8" x14ac:dyDescent="0.2">
      <c r="A8022" t="s">
        <v>7</v>
      </c>
      <c r="B8022" t="s">
        <v>27</v>
      </c>
      <c r="C8022" t="str">
        <f t="shared" si="252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51"/>
        <v>1</v>
      </c>
    </row>
    <row r="8023" spans="1:8" x14ac:dyDescent="0.2">
      <c r="A8023" t="s">
        <v>7</v>
      </c>
      <c r="B8023" t="s">
        <v>27</v>
      </c>
      <c r="C8023" t="str">
        <f t="shared" si="252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51"/>
        <v>1</v>
      </c>
    </row>
    <row r="8024" spans="1:8" x14ac:dyDescent="0.2">
      <c r="A8024" t="s">
        <v>7</v>
      </c>
      <c r="B8024" t="s">
        <v>27</v>
      </c>
      <c r="C8024" t="str">
        <f t="shared" si="252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51"/>
        <v>1</v>
      </c>
    </row>
    <row r="8025" spans="1:8" x14ac:dyDescent="0.2">
      <c r="A8025" t="s">
        <v>7</v>
      </c>
      <c r="B8025" t="s">
        <v>27</v>
      </c>
      <c r="C8025" t="str">
        <f t="shared" si="252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51"/>
        <v>1</v>
      </c>
    </row>
    <row r="8026" spans="1:8" x14ac:dyDescent="0.2">
      <c r="A8026" t="s">
        <v>7</v>
      </c>
      <c r="B8026" t="s">
        <v>27</v>
      </c>
      <c r="C8026" t="str">
        <f t="shared" si="252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51"/>
        <v>3</v>
      </c>
    </row>
    <row r="8027" spans="1:8" x14ac:dyDescent="0.2">
      <c r="A8027" t="s">
        <v>7</v>
      </c>
      <c r="B8027" t="s">
        <v>27</v>
      </c>
      <c r="C8027" t="str">
        <f t="shared" si="252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51"/>
        <v>1</v>
      </c>
    </row>
    <row r="8028" spans="1:8" x14ac:dyDescent="0.2">
      <c r="A8028" t="s">
        <v>7</v>
      </c>
      <c r="B8028" t="s">
        <v>27</v>
      </c>
      <c r="C8028" t="str">
        <f t="shared" si="252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51"/>
        <v>3</v>
      </c>
    </row>
    <row r="8029" spans="1:8" x14ac:dyDescent="0.2">
      <c r="A8029" t="s">
        <v>7</v>
      </c>
      <c r="B8029" t="s">
        <v>27</v>
      </c>
      <c r="C8029" t="str">
        <f t="shared" si="252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51"/>
        <v>3</v>
      </c>
    </row>
    <row r="8030" spans="1:8" x14ac:dyDescent="0.2">
      <c r="A8030" t="s">
        <v>7</v>
      </c>
      <c r="B8030" t="s">
        <v>27</v>
      </c>
      <c r="C8030" t="str">
        <f t="shared" si="252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51"/>
        <v>2</v>
      </c>
    </row>
    <row r="8031" spans="1:8" x14ac:dyDescent="0.2">
      <c r="A8031" t="s">
        <v>7</v>
      </c>
      <c r="B8031" t="s">
        <v>27</v>
      </c>
      <c r="C8031" t="str">
        <f t="shared" si="252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51"/>
        <v>0</v>
      </c>
    </row>
    <row r="8032" spans="1:8" x14ac:dyDescent="0.2">
      <c r="A8032" t="s">
        <v>7</v>
      </c>
      <c r="B8032" t="s">
        <v>27</v>
      </c>
      <c r="C8032" t="str">
        <f t="shared" si="252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51"/>
        <v>0</v>
      </c>
    </row>
    <row r="8033" spans="1:8" x14ac:dyDescent="0.2">
      <c r="A8033" t="s">
        <v>7</v>
      </c>
      <c r="B8033" t="s">
        <v>27</v>
      </c>
      <c r="C8033" t="str">
        <f t="shared" si="252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51"/>
        <v>0</v>
      </c>
    </row>
    <row r="8034" spans="1:8" x14ac:dyDescent="0.2">
      <c r="A8034" t="s">
        <v>7</v>
      </c>
      <c r="B8034" t="s">
        <v>27</v>
      </c>
      <c r="C8034" t="str">
        <f t="shared" si="252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51"/>
        <v>2</v>
      </c>
    </row>
    <row r="8035" spans="1:8" x14ac:dyDescent="0.2">
      <c r="A8035" t="s">
        <v>7</v>
      </c>
      <c r="B8035" t="s">
        <v>27</v>
      </c>
      <c r="C8035" t="str">
        <f t="shared" si="252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51"/>
        <v>2</v>
      </c>
    </row>
    <row r="8036" spans="1:8" x14ac:dyDescent="0.2">
      <c r="A8036" t="s">
        <v>7</v>
      </c>
      <c r="B8036" t="s">
        <v>27</v>
      </c>
      <c r="C8036" t="str">
        <f t="shared" si="252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51"/>
        <v>0</v>
      </c>
    </row>
    <row r="8037" spans="1:8" x14ac:dyDescent="0.2">
      <c r="A8037" t="s">
        <v>7</v>
      </c>
      <c r="B8037" t="s">
        <v>27</v>
      </c>
      <c r="C8037" t="str">
        <f t="shared" si="252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si="251"/>
        <v>2</v>
      </c>
    </row>
    <row r="8038" spans="1:8" x14ac:dyDescent="0.2">
      <c r="A8038" t="s">
        <v>7</v>
      </c>
      <c r="B8038" t="s">
        <v>27</v>
      </c>
      <c r="C8038" t="str">
        <f t="shared" si="252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51"/>
        <v>2</v>
      </c>
    </row>
    <row r="8039" spans="1:8" x14ac:dyDescent="0.2">
      <c r="A8039" t="s">
        <v>7</v>
      </c>
      <c r="B8039" t="s">
        <v>27</v>
      </c>
      <c r="C8039" t="str">
        <f t="shared" si="252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51"/>
        <v>0</v>
      </c>
    </row>
    <row r="8040" spans="1:8" x14ac:dyDescent="0.2">
      <c r="A8040" t="s">
        <v>7</v>
      </c>
      <c r="B8040" t="s">
        <v>27</v>
      </c>
      <c r="C8040" t="str">
        <f t="shared" si="252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51"/>
        <v>1</v>
      </c>
    </row>
    <row r="8041" spans="1:8" x14ac:dyDescent="0.2">
      <c r="A8041" t="s">
        <v>7</v>
      </c>
      <c r="B8041" t="s">
        <v>27</v>
      </c>
      <c r="C8041" t="str">
        <f t="shared" si="252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51"/>
        <v>1</v>
      </c>
    </row>
    <row r="8042" spans="1:8" x14ac:dyDescent="0.2">
      <c r="A8042" t="s">
        <v>7</v>
      </c>
      <c r="B8042" t="s">
        <v>27</v>
      </c>
      <c r="C8042" t="str">
        <f t="shared" si="252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51"/>
        <v>1</v>
      </c>
    </row>
    <row r="8043" spans="1:8" x14ac:dyDescent="0.2">
      <c r="A8043" t="s">
        <v>7</v>
      </c>
      <c r="B8043" t="s">
        <v>27</v>
      </c>
      <c r="C8043" t="str">
        <f t="shared" si="252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51"/>
        <v>1</v>
      </c>
    </row>
    <row r="8044" spans="1:8" x14ac:dyDescent="0.2">
      <c r="A8044" t="s">
        <v>7</v>
      </c>
      <c r="B8044" t="s">
        <v>27</v>
      </c>
      <c r="C8044" t="str">
        <f t="shared" si="252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51"/>
        <v>-1</v>
      </c>
    </row>
    <row r="8045" spans="1:8" x14ac:dyDescent="0.2">
      <c r="A8045" t="s">
        <v>7</v>
      </c>
      <c r="B8045" t="s">
        <v>27</v>
      </c>
      <c r="C8045" t="str">
        <f t="shared" si="252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51"/>
        <v>1</v>
      </c>
    </row>
    <row r="8046" spans="1:8" x14ac:dyDescent="0.2">
      <c r="A8046" t="s">
        <v>7</v>
      </c>
      <c r="B8046" t="s">
        <v>27</v>
      </c>
      <c r="C8046" t="str">
        <f t="shared" si="252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51"/>
        <v>0</v>
      </c>
    </row>
    <row r="8047" spans="1:8" x14ac:dyDescent="0.2">
      <c r="A8047" t="s">
        <v>7</v>
      </c>
      <c r="B8047" t="s">
        <v>27</v>
      </c>
      <c r="C8047" t="str">
        <f t="shared" si="252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51"/>
        <v>1</v>
      </c>
    </row>
    <row r="8048" spans="1:8" x14ac:dyDescent="0.2">
      <c r="A8048" t="s">
        <v>7</v>
      </c>
      <c r="B8048" t="s">
        <v>27</v>
      </c>
      <c r="C8048" t="str">
        <f t="shared" si="252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51"/>
        <v>1</v>
      </c>
    </row>
    <row r="8049" spans="1:8" x14ac:dyDescent="0.2">
      <c r="A8049" t="s">
        <v>7</v>
      </c>
      <c r="B8049" t="s">
        <v>27</v>
      </c>
      <c r="C8049" t="str">
        <f t="shared" si="252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51"/>
        <v>1</v>
      </c>
    </row>
    <row r="8050" spans="1:8" x14ac:dyDescent="0.2">
      <c r="A8050" t="s">
        <v>7</v>
      </c>
      <c r="B8050" t="s">
        <v>27</v>
      </c>
      <c r="C8050" t="str">
        <f t="shared" si="252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51"/>
        <v>1</v>
      </c>
    </row>
    <row r="8051" spans="1:8" x14ac:dyDescent="0.2">
      <c r="A8051" t="s">
        <v>7</v>
      </c>
      <c r="B8051" t="s">
        <v>27</v>
      </c>
      <c r="C8051" t="str">
        <f t="shared" si="252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51"/>
        <v>-1</v>
      </c>
    </row>
    <row r="8052" spans="1:8" x14ac:dyDescent="0.2">
      <c r="A8052" t="s">
        <v>7</v>
      </c>
      <c r="B8052" t="s">
        <v>27</v>
      </c>
      <c r="C8052" t="str">
        <f t="shared" si="252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51"/>
        <v>1</v>
      </c>
    </row>
    <row r="8053" spans="1:8" x14ac:dyDescent="0.2">
      <c r="A8053" t="s">
        <v>7</v>
      </c>
      <c r="B8053" t="s">
        <v>27</v>
      </c>
      <c r="C8053" t="str">
        <f t="shared" si="252"/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51"/>
        <v>1</v>
      </c>
    </row>
    <row r="8054" spans="1:8" x14ac:dyDescent="0.2">
      <c r="A8054" t="s">
        <v>7</v>
      </c>
      <c r="B8054" t="s">
        <v>27</v>
      </c>
      <c r="C8054" t="str">
        <f t="shared" si="252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51"/>
        <v>-1</v>
      </c>
    </row>
    <row r="8055" spans="1:8" x14ac:dyDescent="0.2">
      <c r="A8055" t="s">
        <v>7</v>
      </c>
      <c r="B8055" t="s">
        <v>27</v>
      </c>
      <c r="C8055" t="str">
        <f t="shared" si="252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51"/>
        <v>-1</v>
      </c>
    </row>
    <row r="8056" spans="1:8" x14ac:dyDescent="0.2">
      <c r="A8056" t="s">
        <v>7</v>
      </c>
      <c r="B8056" t="s">
        <v>27</v>
      </c>
      <c r="C8056" t="str">
        <f t="shared" si="252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51"/>
        <v>-1</v>
      </c>
    </row>
    <row r="8057" spans="1:8" x14ac:dyDescent="0.2">
      <c r="A8057" t="s">
        <v>7</v>
      </c>
      <c r="B8057" t="s">
        <v>27</v>
      </c>
      <c r="C8057" t="str">
        <f t="shared" si="252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51"/>
        <v>0</v>
      </c>
    </row>
    <row r="8058" spans="1:8" x14ac:dyDescent="0.2">
      <c r="A8058" t="s">
        <v>7</v>
      </c>
      <c r="B8058" t="s">
        <v>27</v>
      </c>
      <c r="C8058" t="str">
        <f t="shared" si="252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51"/>
        <v>1</v>
      </c>
    </row>
    <row r="8059" spans="1:8" x14ac:dyDescent="0.2">
      <c r="A8059" t="s">
        <v>7</v>
      </c>
      <c r="B8059" t="s">
        <v>27</v>
      </c>
      <c r="C8059" t="str">
        <f t="shared" si="252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51"/>
        <v>1</v>
      </c>
    </row>
    <row r="8060" spans="1:8" x14ac:dyDescent="0.2">
      <c r="A8060" t="s">
        <v>7</v>
      </c>
      <c r="B8060" t="s">
        <v>27</v>
      </c>
      <c r="C8060" t="str">
        <f t="shared" si="252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51"/>
        <v>0</v>
      </c>
    </row>
    <row r="8061" spans="1:8" x14ac:dyDescent="0.2">
      <c r="A8061" t="s">
        <v>7</v>
      </c>
      <c r="B8061" t="s">
        <v>27</v>
      </c>
      <c r="C8061" t="str">
        <f t="shared" si="252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51"/>
        <v>0</v>
      </c>
    </row>
    <row r="8062" spans="1:8" x14ac:dyDescent="0.2">
      <c r="A8062" t="s">
        <v>7</v>
      </c>
      <c r="B8062" t="s">
        <v>27</v>
      </c>
      <c r="C8062" t="str">
        <f t="shared" si="252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51"/>
        <v>0</v>
      </c>
    </row>
    <row r="8063" spans="1:8" x14ac:dyDescent="0.2">
      <c r="A8063" t="s">
        <v>7</v>
      </c>
      <c r="B8063" t="s">
        <v>27</v>
      </c>
      <c r="C8063" t="str">
        <f t="shared" si="252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51"/>
        <v>0</v>
      </c>
    </row>
    <row r="8064" spans="1:8" x14ac:dyDescent="0.2">
      <c r="A8064" t="s">
        <v>7</v>
      </c>
      <c r="B8064" t="s">
        <v>27</v>
      </c>
      <c r="C8064" t="str">
        <f t="shared" si="252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51"/>
        <v>0</v>
      </c>
    </row>
    <row r="8065" spans="1:8" x14ac:dyDescent="0.2">
      <c r="A8065" t="s">
        <v>7</v>
      </c>
      <c r="B8065" t="s">
        <v>27</v>
      </c>
      <c r="C8065" t="str">
        <f t="shared" si="252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51"/>
        <v>0</v>
      </c>
    </row>
    <row r="8066" spans="1:8" x14ac:dyDescent="0.2">
      <c r="A8066" t="s">
        <v>7</v>
      </c>
      <c r="B8066" t="s">
        <v>27</v>
      </c>
      <c r="C8066" t="str">
        <f t="shared" si="252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51"/>
        <v>0</v>
      </c>
    </row>
    <row r="8067" spans="1:8" x14ac:dyDescent="0.2">
      <c r="A8067" t="s">
        <v>7</v>
      </c>
      <c r="B8067" t="s">
        <v>27</v>
      </c>
      <c r="C8067" t="str">
        <f t="shared" si="252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ref="H8067:H8130" si="253">F8067-G8067</f>
        <v>0</v>
      </c>
    </row>
    <row r="8068" spans="1:8" x14ac:dyDescent="0.2">
      <c r="A8068" t="s">
        <v>7</v>
      </c>
      <c r="B8068" t="s">
        <v>27</v>
      </c>
      <c r="C8068" t="str">
        <f t="shared" si="252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53"/>
        <v>0</v>
      </c>
    </row>
    <row r="8069" spans="1:8" x14ac:dyDescent="0.2">
      <c r="A8069" t="s">
        <v>7</v>
      </c>
      <c r="B8069" t="s">
        <v>27</v>
      </c>
      <c r="C8069" t="str">
        <f t="shared" ref="C8069:C8132" si="254">IF(H8069&gt;=0,"Cumple","No cumple")</f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53"/>
        <v>0</v>
      </c>
    </row>
    <row r="8070" spans="1:8" x14ac:dyDescent="0.2">
      <c r="A8070" t="s">
        <v>7</v>
      </c>
      <c r="B8070" t="s">
        <v>27</v>
      </c>
      <c r="C8070" t="str">
        <f t="shared" si="254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53"/>
        <v>0</v>
      </c>
    </row>
    <row r="8071" spans="1:8" x14ac:dyDescent="0.2">
      <c r="A8071" t="s">
        <v>7</v>
      </c>
      <c r="B8071" t="s">
        <v>27</v>
      </c>
      <c r="C8071" t="str">
        <f t="shared" si="254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53"/>
        <v>0</v>
      </c>
    </row>
    <row r="8072" spans="1:8" x14ac:dyDescent="0.2">
      <c r="A8072" t="s">
        <v>7</v>
      </c>
      <c r="B8072" t="s">
        <v>27</v>
      </c>
      <c r="C8072" t="str">
        <f t="shared" si="254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53"/>
        <v>0</v>
      </c>
    </row>
    <row r="8073" spans="1:8" x14ac:dyDescent="0.2">
      <c r="A8073" t="s">
        <v>7</v>
      </c>
      <c r="B8073" t="s">
        <v>27</v>
      </c>
      <c r="C8073" t="str">
        <f t="shared" si="254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53"/>
        <v>-1</v>
      </c>
    </row>
    <row r="8074" spans="1:8" x14ac:dyDescent="0.2">
      <c r="A8074" t="s">
        <v>7</v>
      </c>
      <c r="B8074" t="s">
        <v>27</v>
      </c>
      <c r="C8074" t="str">
        <f t="shared" si="254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53"/>
        <v>-1</v>
      </c>
    </row>
    <row r="8075" spans="1:8" x14ac:dyDescent="0.2">
      <c r="A8075" t="s">
        <v>7</v>
      </c>
      <c r="B8075" t="s">
        <v>27</v>
      </c>
      <c r="C8075" t="str">
        <f t="shared" si="254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53"/>
        <v>-1</v>
      </c>
    </row>
    <row r="8076" spans="1:8" x14ac:dyDescent="0.2">
      <c r="A8076" t="s">
        <v>7</v>
      </c>
      <c r="B8076" t="s">
        <v>27</v>
      </c>
      <c r="C8076" t="str">
        <f t="shared" si="254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53"/>
        <v>-1</v>
      </c>
    </row>
    <row r="8077" spans="1:8" x14ac:dyDescent="0.2">
      <c r="A8077" t="s">
        <v>7</v>
      </c>
      <c r="B8077" t="s">
        <v>27</v>
      </c>
      <c r="C8077" t="str">
        <f t="shared" si="254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53"/>
        <v>-1</v>
      </c>
    </row>
    <row r="8078" spans="1:8" x14ac:dyDescent="0.2">
      <c r="A8078" t="s">
        <v>7</v>
      </c>
      <c r="B8078" t="s">
        <v>27</v>
      </c>
      <c r="C8078" t="str">
        <f t="shared" si="254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53"/>
        <v>-1</v>
      </c>
    </row>
    <row r="8079" spans="1:8" x14ac:dyDescent="0.2">
      <c r="A8079" t="s">
        <v>7</v>
      </c>
      <c r="B8079" t="s">
        <v>27</v>
      </c>
      <c r="C8079" t="str">
        <f t="shared" si="254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53"/>
        <v>-1</v>
      </c>
    </row>
    <row r="8080" spans="1:8" x14ac:dyDescent="0.2">
      <c r="A8080" t="s">
        <v>7</v>
      </c>
      <c r="B8080" t="s">
        <v>27</v>
      </c>
      <c r="C8080" t="str">
        <f t="shared" si="254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53"/>
        <v>-1</v>
      </c>
    </row>
    <row r="8081" spans="1:8" x14ac:dyDescent="0.2">
      <c r="A8081" t="s">
        <v>7</v>
      </c>
      <c r="B8081" t="s">
        <v>27</v>
      </c>
      <c r="C8081" t="str">
        <f t="shared" si="254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53"/>
        <v>-1</v>
      </c>
    </row>
    <row r="8082" spans="1:8" x14ac:dyDescent="0.2">
      <c r="A8082" t="s">
        <v>7</v>
      </c>
      <c r="B8082" t="s">
        <v>27</v>
      </c>
      <c r="C8082" t="str">
        <f t="shared" si="254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53"/>
        <v>-1</v>
      </c>
    </row>
    <row r="8083" spans="1:8" x14ac:dyDescent="0.2">
      <c r="A8083" t="s">
        <v>7</v>
      </c>
      <c r="B8083" t="s">
        <v>27</v>
      </c>
      <c r="C8083" t="str">
        <f t="shared" si="254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53"/>
        <v>-1</v>
      </c>
    </row>
    <row r="8084" spans="1:8" x14ac:dyDescent="0.2">
      <c r="A8084" t="s">
        <v>7</v>
      </c>
      <c r="B8084" t="s">
        <v>27</v>
      </c>
      <c r="C8084" t="str">
        <f t="shared" si="254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53"/>
        <v>-1</v>
      </c>
    </row>
    <row r="8085" spans="1:8" x14ac:dyDescent="0.2">
      <c r="A8085" t="s">
        <v>7</v>
      </c>
      <c r="B8085" t="s">
        <v>27</v>
      </c>
      <c r="C8085" t="str">
        <f t="shared" si="254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53"/>
        <v>-1</v>
      </c>
    </row>
    <row r="8086" spans="1:8" x14ac:dyDescent="0.2">
      <c r="A8086" t="s">
        <v>7</v>
      </c>
      <c r="B8086" t="s">
        <v>27</v>
      </c>
      <c r="C8086" t="str">
        <f t="shared" si="254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53"/>
        <v>-1</v>
      </c>
    </row>
    <row r="8087" spans="1:8" x14ac:dyDescent="0.2">
      <c r="A8087" t="s">
        <v>7</v>
      </c>
      <c r="B8087" t="s">
        <v>27</v>
      </c>
      <c r="C8087" t="str">
        <f t="shared" si="254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53"/>
        <v>-1</v>
      </c>
    </row>
    <row r="8088" spans="1:8" x14ac:dyDescent="0.2">
      <c r="A8088" t="s">
        <v>7</v>
      </c>
      <c r="B8088" t="s">
        <v>27</v>
      </c>
      <c r="C8088" t="str">
        <f t="shared" si="254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53"/>
        <v>-1</v>
      </c>
    </row>
    <row r="8089" spans="1:8" x14ac:dyDescent="0.2">
      <c r="A8089" t="s">
        <v>7</v>
      </c>
      <c r="B8089" t="s">
        <v>27</v>
      </c>
      <c r="C8089" t="str">
        <f t="shared" si="254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53"/>
        <v>-1</v>
      </c>
    </row>
    <row r="8090" spans="1:8" x14ac:dyDescent="0.2">
      <c r="A8090" t="s">
        <v>7</v>
      </c>
      <c r="B8090" t="s">
        <v>27</v>
      </c>
      <c r="C8090" t="str">
        <f t="shared" si="254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53"/>
        <v>-1</v>
      </c>
    </row>
    <row r="8091" spans="1:8" x14ac:dyDescent="0.2">
      <c r="A8091" t="s">
        <v>7</v>
      </c>
      <c r="B8091" t="s">
        <v>27</v>
      </c>
      <c r="C8091" t="str">
        <f t="shared" si="254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53"/>
        <v>-1</v>
      </c>
    </row>
    <row r="8092" spans="1:8" x14ac:dyDescent="0.2">
      <c r="A8092" t="s">
        <v>7</v>
      </c>
      <c r="B8092" t="s">
        <v>27</v>
      </c>
      <c r="C8092" t="str">
        <f t="shared" si="254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53"/>
        <v>-1</v>
      </c>
    </row>
    <row r="8093" spans="1:8" x14ac:dyDescent="0.2">
      <c r="A8093" t="s">
        <v>7</v>
      </c>
      <c r="B8093" t="s">
        <v>27</v>
      </c>
      <c r="C8093" t="str">
        <f t="shared" si="254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53"/>
        <v>-1</v>
      </c>
    </row>
    <row r="8094" spans="1:8" x14ac:dyDescent="0.2">
      <c r="A8094" t="s">
        <v>7</v>
      </c>
      <c r="B8094" t="s">
        <v>27</v>
      </c>
      <c r="C8094" t="str">
        <f t="shared" si="254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53"/>
        <v>-2</v>
      </c>
    </row>
    <row r="8095" spans="1:8" x14ac:dyDescent="0.2">
      <c r="A8095" t="s">
        <v>7</v>
      </c>
      <c r="B8095" t="s">
        <v>27</v>
      </c>
      <c r="C8095" t="str">
        <f t="shared" si="254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53"/>
        <v>-2</v>
      </c>
    </row>
    <row r="8096" spans="1:8" x14ac:dyDescent="0.2">
      <c r="A8096" t="s">
        <v>7</v>
      </c>
      <c r="B8096" t="s">
        <v>27</v>
      </c>
      <c r="C8096" t="str">
        <f t="shared" si="254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53"/>
        <v>-2</v>
      </c>
    </row>
    <row r="8097" spans="1:8" x14ac:dyDescent="0.2">
      <c r="A8097" t="s">
        <v>7</v>
      </c>
      <c r="B8097" t="s">
        <v>27</v>
      </c>
      <c r="C8097" t="str">
        <f t="shared" si="254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53"/>
        <v>-4</v>
      </c>
    </row>
    <row r="8098" spans="1:8" x14ac:dyDescent="0.2">
      <c r="A8098" t="s">
        <v>7</v>
      </c>
      <c r="B8098" t="s">
        <v>27</v>
      </c>
      <c r="C8098" t="str">
        <f t="shared" si="254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53"/>
        <v>-2</v>
      </c>
    </row>
    <row r="8099" spans="1:8" x14ac:dyDescent="0.2">
      <c r="A8099" t="s">
        <v>7</v>
      </c>
      <c r="B8099" t="s">
        <v>27</v>
      </c>
      <c r="C8099" t="str">
        <f t="shared" si="254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53"/>
        <v>-2</v>
      </c>
    </row>
    <row r="8100" spans="1:8" x14ac:dyDescent="0.2">
      <c r="A8100" t="s">
        <v>7</v>
      </c>
      <c r="B8100" t="s">
        <v>27</v>
      </c>
      <c r="C8100" t="str">
        <f t="shared" si="254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53"/>
        <v>-2</v>
      </c>
    </row>
    <row r="8101" spans="1:8" x14ac:dyDescent="0.2">
      <c r="A8101" t="s">
        <v>7</v>
      </c>
      <c r="B8101" t="s">
        <v>27</v>
      </c>
      <c r="C8101" t="str">
        <f t="shared" si="254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si="253"/>
        <v>-2</v>
      </c>
    </row>
    <row r="8102" spans="1:8" x14ac:dyDescent="0.2">
      <c r="A8102" t="s">
        <v>7</v>
      </c>
      <c r="B8102" t="s">
        <v>27</v>
      </c>
      <c r="C8102" t="str">
        <f t="shared" si="254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53"/>
        <v>-2</v>
      </c>
    </row>
    <row r="8103" spans="1:8" x14ac:dyDescent="0.2">
      <c r="A8103" t="s">
        <v>7</v>
      </c>
      <c r="B8103" t="s">
        <v>27</v>
      </c>
      <c r="C8103" t="str">
        <f t="shared" si="254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53"/>
        <v>-2</v>
      </c>
    </row>
    <row r="8104" spans="1:8" x14ac:dyDescent="0.2">
      <c r="A8104" t="s">
        <v>7</v>
      </c>
      <c r="B8104" t="s">
        <v>27</v>
      </c>
      <c r="C8104" t="str">
        <f t="shared" si="254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53"/>
        <v>-2</v>
      </c>
    </row>
    <row r="8105" spans="1:8" x14ac:dyDescent="0.2">
      <c r="A8105" t="s">
        <v>7</v>
      </c>
      <c r="B8105" t="s">
        <v>27</v>
      </c>
      <c r="C8105" t="str">
        <f t="shared" si="254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53"/>
        <v>-2</v>
      </c>
    </row>
    <row r="8106" spans="1:8" x14ac:dyDescent="0.2">
      <c r="A8106" t="s">
        <v>7</v>
      </c>
      <c r="B8106" t="s">
        <v>27</v>
      </c>
      <c r="C8106" t="str">
        <f t="shared" si="254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53"/>
        <v>-2</v>
      </c>
    </row>
    <row r="8107" spans="1:8" x14ac:dyDescent="0.2">
      <c r="A8107" t="s">
        <v>7</v>
      </c>
      <c r="B8107" t="s">
        <v>27</v>
      </c>
      <c r="C8107" t="str">
        <f t="shared" si="254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53"/>
        <v>-2</v>
      </c>
    </row>
    <row r="8108" spans="1:8" x14ac:dyDescent="0.2">
      <c r="A8108" t="s">
        <v>7</v>
      </c>
      <c r="B8108" t="s">
        <v>27</v>
      </c>
      <c r="C8108" t="str">
        <f t="shared" si="254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53"/>
        <v>-2</v>
      </c>
    </row>
    <row r="8109" spans="1:8" x14ac:dyDescent="0.2">
      <c r="A8109" t="s">
        <v>7</v>
      </c>
      <c r="B8109" t="s">
        <v>27</v>
      </c>
      <c r="C8109" t="str">
        <f t="shared" si="254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53"/>
        <v>-2</v>
      </c>
    </row>
    <row r="8110" spans="1:8" x14ac:dyDescent="0.2">
      <c r="A8110" t="s">
        <v>7</v>
      </c>
      <c r="B8110" t="s">
        <v>27</v>
      </c>
      <c r="C8110" t="str">
        <f t="shared" si="254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53"/>
        <v>-2</v>
      </c>
    </row>
    <row r="8111" spans="1:8" x14ac:dyDescent="0.2">
      <c r="A8111" t="s">
        <v>7</v>
      </c>
      <c r="B8111" t="s">
        <v>27</v>
      </c>
      <c r="C8111" t="str">
        <f t="shared" si="254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53"/>
        <v>-2</v>
      </c>
    </row>
    <row r="8112" spans="1:8" x14ac:dyDescent="0.2">
      <c r="A8112" t="s">
        <v>7</v>
      </c>
      <c r="B8112" t="s">
        <v>27</v>
      </c>
      <c r="C8112" t="str">
        <f t="shared" si="254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53"/>
        <v>-2</v>
      </c>
    </row>
    <row r="8113" spans="1:8" x14ac:dyDescent="0.2">
      <c r="A8113" t="s">
        <v>7</v>
      </c>
      <c r="B8113" t="s">
        <v>27</v>
      </c>
      <c r="C8113" t="str">
        <f t="shared" si="254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53"/>
        <v>-2</v>
      </c>
    </row>
    <row r="8114" spans="1:8" x14ac:dyDescent="0.2">
      <c r="A8114" t="s">
        <v>7</v>
      </c>
      <c r="B8114" t="s">
        <v>27</v>
      </c>
      <c r="C8114" t="str">
        <f t="shared" si="254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53"/>
        <v>-2</v>
      </c>
    </row>
    <row r="8115" spans="1:8" x14ac:dyDescent="0.2">
      <c r="A8115" t="s">
        <v>7</v>
      </c>
      <c r="B8115" t="s">
        <v>27</v>
      </c>
      <c r="C8115" t="str">
        <f t="shared" si="254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53"/>
        <v>-2</v>
      </c>
    </row>
    <row r="8116" spans="1:8" x14ac:dyDescent="0.2">
      <c r="A8116" t="s">
        <v>7</v>
      </c>
      <c r="B8116" t="s">
        <v>27</v>
      </c>
      <c r="C8116" t="str">
        <f t="shared" si="254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53"/>
        <v>-2</v>
      </c>
    </row>
    <row r="8117" spans="1:8" x14ac:dyDescent="0.2">
      <c r="A8117" t="s">
        <v>7</v>
      </c>
      <c r="B8117" t="s">
        <v>27</v>
      </c>
      <c r="C8117" t="str">
        <f t="shared" si="254"/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53"/>
        <v>0</v>
      </c>
    </row>
    <row r="8118" spans="1:8" x14ac:dyDescent="0.2">
      <c r="A8118" t="s">
        <v>7</v>
      </c>
      <c r="B8118" t="s">
        <v>27</v>
      </c>
      <c r="C8118" t="str">
        <f t="shared" si="254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53"/>
        <v>-2</v>
      </c>
    </row>
    <row r="8119" spans="1:8" x14ac:dyDescent="0.2">
      <c r="A8119" t="s">
        <v>7</v>
      </c>
      <c r="B8119" t="s">
        <v>27</v>
      </c>
      <c r="C8119" t="str">
        <f t="shared" si="254"/>
        <v>No cumple</v>
      </c>
      <c r="D8119">
        <v>3909</v>
      </c>
      <c r="E8119" t="s">
        <v>8</v>
      </c>
      <c r="F8119">
        <v>1</v>
      </c>
      <c r="G8119">
        <v>15</v>
      </c>
      <c r="H8119">
        <f t="shared" si="253"/>
        <v>-14</v>
      </c>
    </row>
    <row r="8120" spans="1:8" x14ac:dyDescent="0.2">
      <c r="A8120" t="s">
        <v>7</v>
      </c>
      <c r="B8120" t="s">
        <v>27</v>
      </c>
      <c r="C8120" t="str">
        <f t="shared" si="254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53"/>
        <v>-3</v>
      </c>
    </row>
    <row r="8121" spans="1:8" x14ac:dyDescent="0.2">
      <c r="A8121" t="s">
        <v>7</v>
      </c>
      <c r="B8121" t="s">
        <v>27</v>
      </c>
      <c r="C8121" t="str">
        <f t="shared" si="254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53"/>
        <v>-3</v>
      </c>
    </row>
    <row r="8122" spans="1:8" x14ac:dyDescent="0.2">
      <c r="A8122" t="s">
        <v>7</v>
      </c>
      <c r="B8122" t="s">
        <v>27</v>
      </c>
      <c r="C8122" t="str">
        <f t="shared" si="254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53"/>
        <v>-3</v>
      </c>
    </row>
    <row r="8123" spans="1:8" x14ac:dyDescent="0.2">
      <c r="A8123" t="s">
        <v>7</v>
      </c>
      <c r="B8123" t="s">
        <v>27</v>
      </c>
      <c r="C8123" t="str">
        <f t="shared" si="254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53"/>
        <v>0</v>
      </c>
    </row>
    <row r="8124" spans="1:8" x14ac:dyDescent="0.2">
      <c r="A8124" t="s">
        <v>7</v>
      </c>
      <c r="B8124" t="s">
        <v>27</v>
      </c>
      <c r="C8124" t="str">
        <f t="shared" si="254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53"/>
        <v>-3</v>
      </c>
    </row>
    <row r="8125" spans="1:8" x14ac:dyDescent="0.2">
      <c r="A8125" t="s">
        <v>7</v>
      </c>
      <c r="B8125" t="s">
        <v>27</v>
      </c>
      <c r="C8125" t="str">
        <f t="shared" si="254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53"/>
        <v>-3</v>
      </c>
    </row>
    <row r="8126" spans="1:8" x14ac:dyDescent="0.2">
      <c r="A8126" t="s">
        <v>7</v>
      </c>
      <c r="B8126" t="s">
        <v>27</v>
      </c>
      <c r="C8126" t="str">
        <f t="shared" si="254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53"/>
        <v>-3</v>
      </c>
    </row>
    <row r="8127" spans="1:8" x14ac:dyDescent="0.2">
      <c r="A8127" t="s">
        <v>7</v>
      </c>
      <c r="B8127" t="s">
        <v>27</v>
      </c>
      <c r="C8127" t="str">
        <f t="shared" si="254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53"/>
        <v>-3</v>
      </c>
    </row>
    <row r="8128" spans="1:8" x14ac:dyDescent="0.2">
      <c r="A8128" t="s">
        <v>7</v>
      </c>
      <c r="B8128" t="s">
        <v>27</v>
      </c>
      <c r="C8128" t="str">
        <f t="shared" si="254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53"/>
        <v>-3</v>
      </c>
    </row>
    <row r="8129" spans="1:8" x14ac:dyDescent="0.2">
      <c r="A8129" t="s">
        <v>7</v>
      </c>
      <c r="B8129" t="s">
        <v>27</v>
      </c>
      <c r="C8129" t="str">
        <f t="shared" si="254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53"/>
        <v>-3</v>
      </c>
    </row>
    <row r="8130" spans="1:8" x14ac:dyDescent="0.2">
      <c r="A8130" t="s">
        <v>7</v>
      </c>
      <c r="B8130" t="s">
        <v>27</v>
      </c>
      <c r="C8130" t="str">
        <f t="shared" si="254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53"/>
        <v>-3</v>
      </c>
    </row>
    <row r="8131" spans="1:8" x14ac:dyDescent="0.2">
      <c r="A8131" t="s">
        <v>7</v>
      </c>
      <c r="B8131" t="s">
        <v>27</v>
      </c>
      <c r="C8131" t="str">
        <f t="shared" si="254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ref="H8131:H8194" si="255">F8131-G8131</f>
        <v>-3</v>
      </c>
    </row>
    <row r="8132" spans="1:8" x14ac:dyDescent="0.2">
      <c r="A8132" t="s">
        <v>7</v>
      </c>
      <c r="B8132" t="s">
        <v>27</v>
      </c>
      <c r="C8132" t="str">
        <f t="shared" si="254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55"/>
        <v>-3</v>
      </c>
    </row>
    <row r="8133" spans="1:8" x14ac:dyDescent="0.2">
      <c r="A8133" t="s">
        <v>7</v>
      </c>
      <c r="B8133" t="s">
        <v>27</v>
      </c>
      <c r="C8133" t="str">
        <f t="shared" ref="C8133:C8196" si="256">IF(H8133&gt;=0,"Cumple","No cumple")</f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55"/>
        <v>-3</v>
      </c>
    </row>
    <row r="8134" spans="1:8" x14ac:dyDescent="0.2">
      <c r="A8134" t="s">
        <v>7</v>
      </c>
      <c r="B8134" t="s">
        <v>27</v>
      </c>
      <c r="C8134" t="str">
        <f t="shared" si="256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55"/>
        <v>-3</v>
      </c>
    </row>
    <row r="8135" spans="1:8" x14ac:dyDescent="0.2">
      <c r="A8135" t="s">
        <v>7</v>
      </c>
      <c r="B8135" t="s">
        <v>27</v>
      </c>
      <c r="C8135" t="str">
        <f t="shared" si="256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55"/>
        <v>-3</v>
      </c>
    </row>
    <row r="8136" spans="1:8" x14ac:dyDescent="0.2">
      <c r="A8136" t="s">
        <v>7</v>
      </c>
      <c r="B8136" t="s">
        <v>27</v>
      </c>
      <c r="C8136" t="str">
        <f t="shared" si="256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55"/>
        <v>-3</v>
      </c>
    </row>
    <row r="8137" spans="1:8" x14ac:dyDescent="0.2">
      <c r="A8137" t="s">
        <v>7</v>
      </c>
      <c r="B8137" t="s">
        <v>27</v>
      </c>
      <c r="C8137" t="str">
        <f t="shared" si="256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55"/>
        <v>-3</v>
      </c>
    </row>
    <row r="8138" spans="1:8" x14ac:dyDescent="0.2">
      <c r="A8138" t="s">
        <v>7</v>
      </c>
      <c r="B8138" t="s">
        <v>27</v>
      </c>
      <c r="C8138" t="str">
        <f t="shared" si="256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55"/>
        <v>-3</v>
      </c>
    </row>
    <row r="8139" spans="1:8" x14ac:dyDescent="0.2">
      <c r="A8139" t="s">
        <v>7</v>
      </c>
      <c r="B8139" t="s">
        <v>27</v>
      </c>
      <c r="C8139" t="str">
        <f t="shared" si="256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55"/>
        <v>-3</v>
      </c>
    </row>
    <row r="8140" spans="1:8" x14ac:dyDescent="0.2">
      <c r="A8140" t="s">
        <v>7</v>
      </c>
      <c r="B8140" t="s">
        <v>27</v>
      </c>
      <c r="C8140" t="str">
        <f t="shared" si="256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55"/>
        <v>-3</v>
      </c>
    </row>
    <row r="8141" spans="1:8" x14ac:dyDescent="0.2">
      <c r="A8141" t="s">
        <v>7</v>
      </c>
      <c r="B8141" t="s">
        <v>27</v>
      </c>
      <c r="C8141" t="str">
        <f t="shared" si="256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55"/>
        <v>-3</v>
      </c>
    </row>
    <row r="8142" spans="1:8" x14ac:dyDescent="0.2">
      <c r="A8142" t="s">
        <v>7</v>
      </c>
      <c r="B8142" t="s">
        <v>27</v>
      </c>
      <c r="C8142" t="str">
        <f t="shared" si="256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55"/>
        <v>-3</v>
      </c>
    </row>
    <row r="8143" spans="1:8" x14ac:dyDescent="0.2">
      <c r="A8143" t="s">
        <v>7</v>
      </c>
      <c r="B8143" t="s">
        <v>27</v>
      </c>
      <c r="C8143" t="str">
        <f t="shared" si="256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55"/>
        <v>-3</v>
      </c>
    </row>
    <row r="8144" spans="1:8" x14ac:dyDescent="0.2">
      <c r="A8144" t="s">
        <v>7</v>
      </c>
      <c r="B8144" t="s">
        <v>27</v>
      </c>
      <c r="C8144" t="str">
        <f t="shared" si="256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55"/>
        <v>-3</v>
      </c>
    </row>
    <row r="8145" spans="1:8" x14ac:dyDescent="0.2">
      <c r="A8145" t="s">
        <v>7</v>
      </c>
      <c r="B8145" t="s">
        <v>27</v>
      </c>
      <c r="C8145" t="str">
        <f t="shared" si="256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55"/>
        <v>-3</v>
      </c>
    </row>
    <row r="8146" spans="1:8" x14ac:dyDescent="0.2">
      <c r="A8146" t="s">
        <v>7</v>
      </c>
      <c r="B8146" t="s">
        <v>27</v>
      </c>
      <c r="C8146" t="str">
        <f t="shared" si="256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55"/>
        <v>-3</v>
      </c>
    </row>
    <row r="8147" spans="1:8" x14ac:dyDescent="0.2">
      <c r="A8147" t="s">
        <v>7</v>
      </c>
      <c r="B8147" t="s">
        <v>27</v>
      </c>
      <c r="C8147" t="str">
        <f t="shared" si="256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55"/>
        <v>-3</v>
      </c>
    </row>
    <row r="8148" spans="1:8" x14ac:dyDescent="0.2">
      <c r="A8148" t="s">
        <v>7</v>
      </c>
      <c r="B8148" t="s">
        <v>27</v>
      </c>
      <c r="C8148" t="str">
        <f t="shared" si="256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55"/>
        <v>-3</v>
      </c>
    </row>
    <row r="8149" spans="1:8" x14ac:dyDescent="0.2">
      <c r="A8149" t="s">
        <v>7</v>
      </c>
      <c r="B8149" t="s">
        <v>27</v>
      </c>
      <c r="C8149" t="str">
        <f t="shared" si="256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55"/>
        <v>-3</v>
      </c>
    </row>
    <row r="8150" spans="1:8" x14ac:dyDescent="0.2">
      <c r="A8150" t="s">
        <v>7</v>
      </c>
      <c r="B8150" t="s">
        <v>27</v>
      </c>
      <c r="C8150" t="str">
        <f t="shared" si="256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55"/>
        <v>-3</v>
      </c>
    </row>
    <row r="8151" spans="1:8" x14ac:dyDescent="0.2">
      <c r="A8151" t="s">
        <v>7</v>
      </c>
      <c r="B8151" t="s">
        <v>27</v>
      </c>
      <c r="C8151" t="str">
        <f t="shared" si="256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55"/>
        <v>-3</v>
      </c>
    </row>
    <row r="8152" spans="1:8" x14ac:dyDescent="0.2">
      <c r="A8152" t="s">
        <v>7</v>
      </c>
      <c r="B8152" t="s">
        <v>27</v>
      </c>
      <c r="C8152" t="str">
        <f t="shared" si="256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55"/>
        <v>-3</v>
      </c>
    </row>
    <row r="8153" spans="1:8" x14ac:dyDescent="0.2">
      <c r="A8153" t="s">
        <v>7</v>
      </c>
      <c r="B8153" t="s">
        <v>27</v>
      </c>
      <c r="C8153" t="str">
        <f t="shared" si="256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55"/>
        <v>-3</v>
      </c>
    </row>
    <row r="8154" spans="1:8" x14ac:dyDescent="0.2">
      <c r="A8154" t="s">
        <v>7</v>
      </c>
      <c r="B8154" t="s">
        <v>27</v>
      </c>
      <c r="C8154" t="str">
        <f t="shared" si="256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55"/>
        <v>-4</v>
      </c>
    </row>
    <row r="8155" spans="1:8" x14ac:dyDescent="0.2">
      <c r="A8155" t="s">
        <v>7</v>
      </c>
      <c r="B8155" t="s">
        <v>27</v>
      </c>
      <c r="C8155" t="str">
        <f t="shared" si="256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55"/>
        <v>-4</v>
      </c>
    </row>
    <row r="8156" spans="1:8" x14ac:dyDescent="0.2">
      <c r="A8156" t="s">
        <v>7</v>
      </c>
      <c r="B8156" t="s">
        <v>27</v>
      </c>
      <c r="C8156" t="str">
        <f t="shared" si="256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55"/>
        <v>-4</v>
      </c>
    </row>
    <row r="8157" spans="1:8" x14ac:dyDescent="0.2">
      <c r="A8157" t="s">
        <v>7</v>
      </c>
      <c r="B8157" t="s">
        <v>27</v>
      </c>
      <c r="C8157" t="str">
        <f t="shared" si="256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55"/>
        <v>-4</v>
      </c>
    </row>
    <row r="8158" spans="1:8" x14ac:dyDescent="0.2">
      <c r="A8158" t="s">
        <v>7</v>
      </c>
      <c r="B8158" t="s">
        <v>27</v>
      </c>
      <c r="C8158" t="str">
        <f t="shared" si="256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55"/>
        <v>-4</v>
      </c>
    </row>
    <row r="8159" spans="1:8" x14ac:dyDescent="0.2">
      <c r="A8159" t="s">
        <v>7</v>
      </c>
      <c r="B8159" t="s">
        <v>27</v>
      </c>
      <c r="C8159" t="str">
        <f t="shared" si="256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55"/>
        <v>-4</v>
      </c>
    </row>
    <row r="8160" spans="1:8" x14ac:dyDescent="0.2">
      <c r="A8160" t="s">
        <v>7</v>
      </c>
      <c r="B8160" t="s">
        <v>27</v>
      </c>
      <c r="C8160" t="str">
        <f t="shared" si="256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55"/>
        <v>-4</v>
      </c>
    </row>
    <row r="8161" spans="1:8" x14ac:dyDescent="0.2">
      <c r="A8161" t="s">
        <v>7</v>
      </c>
      <c r="B8161" t="s">
        <v>27</v>
      </c>
      <c r="C8161" t="str">
        <f t="shared" si="256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55"/>
        <v>-4</v>
      </c>
    </row>
    <row r="8162" spans="1:8" x14ac:dyDescent="0.2">
      <c r="A8162" t="s">
        <v>7</v>
      </c>
      <c r="B8162" t="s">
        <v>27</v>
      </c>
      <c r="C8162" t="str">
        <f t="shared" si="256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55"/>
        <v>-4</v>
      </c>
    </row>
    <row r="8163" spans="1:8" x14ac:dyDescent="0.2">
      <c r="A8163" t="s">
        <v>7</v>
      </c>
      <c r="B8163" t="s">
        <v>27</v>
      </c>
      <c r="C8163" t="str">
        <f t="shared" si="256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55"/>
        <v>-4</v>
      </c>
    </row>
    <row r="8164" spans="1:8" x14ac:dyDescent="0.2">
      <c r="A8164" t="s">
        <v>7</v>
      </c>
      <c r="B8164" t="s">
        <v>27</v>
      </c>
      <c r="C8164" t="str">
        <f t="shared" si="256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55"/>
        <v>-4</v>
      </c>
    </row>
    <row r="8165" spans="1:8" x14ac:dyDescent="0.2">
      <c r="A8165" t="s">
        <v>7</v>
      </c>
      <c r="B8165" t="s">
        <v>27</v>
      </c>
      <c r="C8165" t="str">
        <f t="shared" si="256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si="255"/>
        <v>-4</v>
      </c>
    </row>
    <row r="8166" spans="1:8" x14ac:dyDescent="0.2">
      <c r="A8166" t="s">
        <v>7</v>
      </c>
      <c r="B8166" t="s">
        <v>27</v>
      </c>
      <c r="C8166" t="str">
        <f t="shared" si="256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55"/>
        <v>-4</v>
      </c>
    </row>
    <row r="8167" spans="1:8" x14ac:dyDescent="0.2">
      <c r="A8167" t="s">
        <v>7</v>
      </c>
      <c r="B8167" t="s">
        <v>27</v>
      </c>
      <c r="C8167" t="str">
        <f t="shared" si="256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55"/>
        <v>-4</v>
      </c>
    </row>
    <row r="8168" spans="1:8" x14ac:dyDescent="0.2">
      <c r="A8168" t="s">
        <v>7</v>
      </c>
      <c r="B8168" t="s">
        <v>27</v>
      </c>
      <c r="C8168" t="str">
        <f t="shared" si="256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55"/>
        <v>-4</v>
      </c>
    </row>
    <row r="8169" spans="1:8" x14ac:dyDescent="0.2">
      <c r="A8169" t="s">
        <v>7</v>
      </c>
      <c r="B8169" t="s">
        <v>27</v>
      </c>
      <c r="C8169" t="str">
        <f t="shared" si="256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55"/>
        <v>-4</v>
      </c>
    </row>
    <row r="8170" spans="1:8" x14ac:dyDescent="0.2">
      <c r="A8170" t="s">
        <v>7</v>
      </c>
      <c r="B8170" t="s">
        <v>27</v>
      </c>
      <c r="C8170" t="str">
        <f t="shared" si="256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55"/>
        <v>-4</v>
      </c>
    </row>
    <row r="8171" spans="1:8" x14ac:dyDescent="0.2">
      <c r="A8171" t="s">
        <v>7</v>
      </c>
      <c r="B8171" t="s">
        <v>27</v>
      </c>
      <c r="C8171" t="str">
        <f t="shared" si="256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55"/>
        <v>-4</v>
      </c>
    </row>
    <row r="8172" spans="1:8" x14ac:dyDescent="0.2">
      <c r="A8172" t="s">
        <v>7</v>
      </c>
      <c r="B8172" t="s">
        <v>27</v>
      </c>
      <c r="C8172" t="str">
        <f t="shared" si="256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55"/>
        <v>-4</v>
      </c>
    </row>
    <row r="8173" spans="1:8" x14ac:dyDescent="0.2">
      <c r="A8173" t="s">
        <v>7</v>
      </c>
      <c r="B8173" t="s">
        <v>27</v>
      </c>
      <c r="C8173" t="str">
        <f t="shared" si="256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55"/>
        <v>-4</v>
      </c>
    </row>
    <row r="8174" spans="1:8" x14ac:dyDescent="0.2">
      <c r="A8174" t="s">
        <v>7</v>
      </c>
      <c r="B8174" t="s">
        <v>27</v>
      </c>
      <c r="C8174" t="str">
        <f t="shared" si="256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55"/>
        <v>-4</v>
      </c>
    </row>
    <row r="8175" spans="1:8" x14ac:dyDescent="0.2">
      <c r="A8175" t="s">
        <v>7</v>
      </c>
      <c r="B8175" t="s">
        <v>27</v>
      </c>
      <c r="C8175" t="str">
        <f t="shared" si="256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55"/>
        <v>0</v>
      </c>
    </row>
    <row r="8176" spans="1:8" x14ac:dyDescent="0.2">
      <c r="A8176" t="s">
        <v>7</v>
      </c>
      <c r="B8176" t="s">
        <v>27</v>
      </c>
      <c r="C8176" t="str">
        <f t="shared" si="256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55"/>
        <v>-4</v>
      </c>
    </row>
    <row r="8177" spans="1:8" x14ac:dyDescent="0.2">
      <c r="A8177" t="s">
        <v>7</v>
      </c>
      <c r="B8177" t="s">
        <v>27</v>
      </c>
      <c r="C8177" t="str">
        <f t="shared" si="256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55"/>
        <v>-4</v>
      </c>
    </row>
    <row r="8178" spans="1:8" x14ac:dyDescent="0.2">
      <c r="A8178" t="s">
        <v>7</v>
      </c>
      <c r="B8178" t="s">
        <v>27</v>
      </c>
      <c r="C8178" t="str">
        <f t="shared" si="256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55"/>
        <v>-4</v>
      </c>
    </row>
    <row r="8179" spans="1:8" x14ac:dyDescent="0.2">
      <c r="A8179" t="s">
        <v>7</v>
      </c>
      <c r="B8179" t="s">
        <v>27</v>
      </c>
      <c r="C8179" t="str">
        <f t="shared" si="256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55"/>
        <v>-4</v>
      </c>
    </row>
    <row r="8180" spans="1:8" x14ac:dyDescent="0.2">
      <c r="A8180" t="s">
        <v>7</v>
      </c>
      <c r="B8180" t="s">
        <v>27</v>
      </c>
      <c r="C8180" t="str">
        <f t="shared" si="256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55"/>
        <v>-4</v>
      </c>
    </row>
    <row r="8181" spans="1:8" x14ac:dyDescent="0.2">
      <c r="A8181" t="s">
        <v>7</v>
      </c>
      <c r="B8181" t="s">
        <v>27</v>
      </c>
      <c r="C8181" t="str">
        <f t="shared" si="256"/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55"/>
        <v>-4</v>
      </c>
    </row>
    <row r="8182" spans="1:8" x14ac:dyDescent="0.2">
      <c r="A8182" t="s">
        <v>7</v>
      </c>
      <c r="B8182" t="s">
        <v>27</v>
      </c>
      <c r="C8182" t="str">
        <f t="shared" si="256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55"/>
        <v>-4</v>
      </c>
    </row>
    <row r="8183" spans="1:8" x14ac:dyDescent="0.2">
      <c r="A8183" t="s">
        <v>7</v>
      </c>
      <c r="B8183" t="s">
        <v>27</v>
      </c>
      <c r="C8183" t="str">
        <f t="shared" si="256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55"/>
        <v>-4</v>
      </c>
    </row>
    <row r="8184" spans="1:8" x14ac:dyDescent="0.2">
      <c r="A8184" t="s">
        <v>7</v>
      </c>
      <c r="B8184" t="s">
        <v>27</v>
      </c>
      <c r="C8184" t="str">
        <f t="shared" si="256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55"/>
        <v>-4</v>
      </c>
    </row>
    <row r="8185" spans="1:8" x14ac:dyDescent="0.2">
      <c r="A8185" t="s">
        <v>7</v>
      </c>
      <c r="B8185" t="s">
        <v>27</v>
      </c>
      <c r="C8185" t="str">
        <f t="shared" si="256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55"/>
        <v>-4</v>
      </c>
    </row>
    <row r="8186" spans="1:8" x14ac:dyDescent="0.2">
      <c r="A8186" t="s">
        <v>7</v>
      </c>
      <c r="B8186" t="s">
        <v>27</v>
      </c>
      <c r="C8186" t="str">
        <f t="shared" si="256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55"/>
        <v>-5</v>
      </c>
    </row>
    <row r="8187" spans="1:8" x14ac:dyDescent="0.2">
      <c r="A8187" t="s">
        <v>7</v>
      </c>
      <c r="B8187" t="s">
        <v>27</v>
      </c>
      <c r="C8187" t="str">
        <f t="shared" si="256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55"/>
        <v>-5</v>
      </c>
    </row>
    <row r="8188" spans="1:8" x14ac:dyDescent="0.2">
      <c r="A8188" t="s">
        <v>7</v>
      </c>
      <c r="B8188" t="s">
        <v>27</v>
      </c>
      <c r="C8188" t="str">
        <f t="shared" si="256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55"/>
        <v>-5</v>
      </c>
    </row>
    <row r="8189" spans="1:8" x14ac:dyDescent="0.2">
      <c r="A8189" t="s">
        <v>7</v>
      </c>
      <c r="B8189" t="s">
        <v>27</v>
      </c>
      <c r="C8189" t="str">
        <f t="shared" si="256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55"/>
        <v>-5</v>
      </c>
    </row>
    <row r="8190" spans="1:8" x14ac:dyDescent="0.2">
      <c r="A8190" t="s">
        <v>7</v>
      </c>
      <c r="B8190" t="s">
        <v>27</v>
      </c>
      <c r="C8190" t="str">
        <f t="shared" si="256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55"/>
        <v>-5</v>
      </c>
    </row>
    <row r="8191" spans="1:8" x14ac:dyDescent="0.2">
      <c r="A8191" t="s">
        <v>7</v>
      </c>
      <c r="B8191" t="s">
        <v>27</v>
      </c>
      <c r="C8191" t="str">
        <f t="shared" si="256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55"/>
        <v>-5</v>
      </c>
    </row>
    <row r="8192" spans="1:8" x14ac:dyDescent="0.2">
      <c r="A8192" t="s">
        <v>7</v>
      </c>
      <c r="B8192" t="s">
        <v>27</v>
      </c>
      <c r="C8192" t="str">
        <f t="shared" si="256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55"/>
        <v>-5</v>
      </c>
    </row>
    <row r="8193" spans="1:8" x14ac:dyDescent="0.2">
      <c r="A8193" t="s">
        <v>7</v>
      </c>
      <c r="B8193" t="s">
        <v>27</v>
      </c>
      <c r="C8193" t="str">
        <f t="shared" si="256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55"/>
        <v>-5</v>
      </c>
    </row>
    <row r="8194" spans="1:8" x14ac:dyDescent="0.2">
      <c r="A8194" t="s">
        <v>7</v>
      </c>
      <c r="B8194" t="s">
        <v>27</v>
      </c>
      <c r="C8194" t="str">
        <f t="shared" si="256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55"/>
        <v>-5</v>
      </c>
    </row>
    <row r="8195" spans="1:8" x14ac:dyDescent="0.2">
      <c r="A8195" t="s">
        <v>7</v>
      </c>
      <c r="B8195" t="s">
        <v>27</v>
      </c>
      <c r="C8195" t="str">
        <f t="shared" si="256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ref="H8195:H8258" si="257">F8195-G8195</f>
        <v>-5</v>
      </c>
    </row>
    <row r="8196" spans="1:8" x14ac:dyDescent="0.2">
      <c r="A8196" t="s">
        <v>7</v>
      </c>
      <c r="B8196" t="s">
        <v>27</v>
      </c>
      <c r="C8196" t="str">
        <f t="shared" si="256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57"/>
        <v>-5</v>
      </c>
    </row>
    <row r="8197" spans="1:8" x14ac:dyDescent="0.2">
      <c r="A8197" t="s">
        <v>7</v>
      </c>
      <c r="B8197" t="s">
        <v>27</v>
      </c>
      <c r="C8197" t="str">
        <f t="shared" ref="C8197:C8260" si="258">IF(H8197&gt;=0,"Cumple","No cumple")</f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57"/>
        <v>-5</v>
      </c>
    </row>
    <row r="8198" spans="1:8" x14ac:dyDescent="0.2">
      <c r="A8198" t="s">
        <v>7</v>
      </c>
      <c r="B8198" t="s">
        <v>27</v>
      </c>
      <c r="C8198" t="str">
        <f t="shared" si="258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57"/>
        <v>0</v>
      </c>
    </row>
    <row r="8199" spans="1:8" x14ac:dyDescent="0.2">
      <c r="A8199" t="s">
        <v>7</v>
      </c>
      <c r="B8199" t="s">
        <v>27</v>
      </c>
      <c r="C8199" t="str">
        <f t="shared" si="258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57"/>
        <v>-5</v>
      </c>
    </row>
    <row r="8200" spans="1:8" x14ac:dyDescent="0.2">
      <c r="A8200" t="s">
        <v>7</v>
      </c>
      <c r="B8200" t="s">
        <v>27</v>
      </c>
      <c r="C8200" t="str">
        <f t="shared" si="258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57"/>
        <v>-5</v>
      </c>
    </row>
    <row r="8201" spans="1:8" x14ac:dyDescent="0.2">
      <c r="A8201" t="s">
        <v>7</v>
      </c>
      <c r="B8201" t="s">
        <v>27</v>
      </c>
      <c r="C8201" t="str">
        <f t="shared" si="258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57"/>
        <v>-5</v>
      </c>
    </row>
    <row r="8202" spans="1:8" x14ac:dyDescent="0.2">
      <c r="A8202" t="s">
        <v>7</v>
      </c>
      <c r="B8202" t="s">
        <v>27</v>
      </c>
      <c r="C8202" t="str">
        <f t="shared" si="258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57"/>
        <v>-5</v>
      </c>
    </row>
    <row r="8203" spans="1:8" x14ac:dyDescent="0.2">
      <c r="A8203" t="s">
        <v>7</v>
      </c>
      <c r="B8203" t="s">
        <v>27</v>
      </c>
      <c r="C8203" t="str">
        <f t="shared" si="258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57"/>
        <v>-5</v>
      </c>
    </row>
    <row r="8204" spans="1:8" x14ac:dyDescent="0.2">
      <c r="A8204" t="s">
        <v>7</v>
      </c>
      <c r="B8204" t="s">
        <v>27</v>
      </c>
      <c r="C8204" t="str">
        <f t="shared" si="258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57"/>
        <v>-5</v>
      </c>
    </row>
    <row r="8205" spans="1:8" x14ac:dyDescent="0.2">
      <c r="A8205" t="s">
        <v>7</v>
      </c>
      <c r="B8205" t="s">
        <v>27</v>
      </c>
      <c r="C8205" t="str">
        <f t="shared" si="258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57"/>
        <v>-5</v>
      </c>
    </row>
    <row r="8206" spans="1:8" x14ac:dyDescent="0.2">
      <c r="A8206" t="s">
        <v>7</v>
      </c>
      <c r="B8206" t="s">
        <v>27</v>
      </c>
      <c r="C8206" t="str">
        <f t="shared" si="258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57"/>
        <v>-5</v>
      </c>
    </row>
    <row r="8207" spans="1:8" x14ac:dyDescent="0.2">
      <c r="A8207" t="s">
        <v>7</v>
      </c>
      <c r="B8207" t="s">
        <v>27</v>
      </c>
      <c r="C8207" t="str">
        <f t="shared" si="258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57"/>
        <v>-5</v>
      </c>
    </row>
    <row r="8208" spans="1:8" x14ac:dyDescent="0.2">
      <c r="A8208" t="s">
        <v>7</v>
      </c>
      <c r="B8208" t="s">
        <v>27</v>
      </c>
      <c r="C8208" t="str">
        <f t="shared" si="258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57"/>
        <v>-5</v>
      </c>
    </row>
    <row r="8209" spans="1:8" x14ac:dyDescent="0.2">
      <c r="A8209" t="s">
        <v>7</v>
      </c>
      <c r="B8209" t="s">
        <v>27</v>
      </c>
      <c r="C8209" t="str">
        <f t="shared" si="258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57"/>
        <v>-5</v>
      </c>
    </row>
    <row r="8210" spans="1:8" x14ac:dyDescent="0.2">
      <c r="A8210" t="s">
        <v>7</v>
      </c>
      <c r="B8210" t="s">
        <v>27</v>
      </c>
      <c r="C8210" t="str">
        <f t="shared" si="258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57"/>
        <v>-5</v>
      </c>
    </row>
    <row r="8211" spans="1:8" x14ac:dyDescent="0.2">
      <c r="A8211" t="s">
        <v>7</v>
      </c>
      <c r="B8211" t="s">
        <v>27</v>
      </c>
      <c r="C8211" t="str">
        <f t="shared" si="258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57"/>
        <v>-5</v>
      </c>
    </row>
    <row r="8212" spans="1:8" x14ac:dyDescent="0.2">
      <c r="A8212" t="s">
        <v>7</v>
      </c>
      <c r="B8212" t="s">
        <v>27</v>
      </c>
      <c r="C8212" t="str">
        <f t="shared" si="258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57"/>
        <v>-5</v>
      </c>
    </row>
    <row r="8213" spans="1:8" x14ac:dyDescent="0.2">
      <c r="A8213" t="s">
        <v>7</v>
      </c>
      <c r="B8213" t="s">
        <v>27</v>
      </c>
      <c r="C8213" t="str">
        <f t="shared" si="258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57"/>
        <v>-5</v>
      </c>
    </row>
    <row r="8214" spans="1:8" x14ac:dyDescent="0.2">
      <c r="A8214" t="s">
        <v>7</v>
      </c>
      <c r="B8214" t="s">
        <v>27</v>
      </c>
      <c r="C8214" t="str">
        <f t="shared" si="258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57"/>
        <v>-5</v>
      </c>
    </row>
    <row r="8215" spans="1:8" x14ac:dyDescent="0.2">
      <c r="A8215" t="s">
        <v>7</v>
      </c>
      <c r="B8215" t="s">
        <v>27</v>
      </c>
      <c r="C8215" t="str">
        <f t="shared" si="258"/>
        <v>No cumple</v>
      </c>
      <c r="D8215">
        <v>9548</v>
      </c>
      <c r="E8215" t="s">
        <v>8</v>
      </c>
      <c r="F8215">
        <v>1</v>
      </c>
      <c r="G8215">
        <v>3</v>
      </c>
      <c r="H8215">
        <f t="shared" si="257"/>
        <v>-2</v>
      </c>
    </row>
    <row r="8216" spans="1:8" x14ac:dyDescent="0.2">
      <c r="A8216" t="s">
        <v>18</v>
      </c>
      <c r="B8216" t="s">
        <v>27</v>
      </c>
      <c r="C8216" t="str">
        <f t="shared" si="258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57"/>
        <v>-6</v>
      </c>
    </row>
    <row r="8217" spans="1:8" x14ac:dyDescent="0.2">
      <c r="A8217" t="s">
        <v>7</v>
      </c>
      <c r="B8217" t="s">
        <v>27</v>
      </c>
      <c r="C8217" t="str">
        <f t="shared" si="258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57"/>
        <v>-6</v>
      </c>
    </row>
    <row r="8218" spans="1:8" x14ac:dyDescent="0.2">
      <c r="A8218" t="s">
        <v>7</v>
      </c>
      <c r="B8218" t="s">
        <v>27</v>
      </c>
      <c r="C8218" t="str">
        <f t="shared" si="258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57"/>
        <v>-6</v>
      </c>
    </row>
    <row r="8219" spans="1:8" x14ac:dyDescent="0.2">
      <c r="A8219" t="s">
        <v>7</v>
      </c>
      <c r="B8219" t="s">
        <v>27</v>
      </c>
      <c r="C8219" t="str">
        <f t="shared" si="258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57"/>
        <v>-6</v>
      </c>
    </row>
    <row r="8220" spans="1:8" x14ac:dyDescent="0.2">
      <c r="A8220" t="s">
        <v>18</v>
      </c>
      <c r="B8220" t="s">
        <v>27</v>
      </c>
      <c r="C8220" t="str">
        <f t="shared" si="258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57"/>
        <v>-6</v>
      </c>
    </row>
    <row r="8221" spans="1:8" x14ac:dyDescent="0.2">
      <c r="A8221" t="s">
        <v>18</v>
      </c>
      <c r="B8221" t="s">
        <v>27</v>
      </c>
      <c r="C8221" t="str">
        <f t="shared" si="258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57"/>
        <v>-8</v>
      </c>
    </row>
    <row r="8222" spans="1:8" x14ac:dyDescent="0.2">
      <c r="A8222" t="s">
        <v>7</v>
      </c>
      <c r="B8222" t="s">
        <v>27</v>
      </c>
      <c r="C8222" t="str">
        <f t="shared" si="258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57"/>
        <v>-6</v>
      </c>
    </row>
    <row r="8223" spans="1:8" x14ac:dyDescent="0.2">
      <c r="A8223" t="s">
        <v>7</v>
      </c>
      <c r="B8223" t="s">
        <v>27</v>
      </c>
      <c r="C8223" t="str">
        <f t="shared" si="258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57"/>
        <v>-6</v>
      </c>
    </row>
    <row r="8224" spans="1:8" x14ac:dyDescent="0.2">
      <c r="A8224" t="s">
        <v>18</v>
      </c>
      <c r="B8224" t="s">
        <v>27</v>
      </c>
      <c r="C8224" t="str">
        <f t="shared" si="258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57"/>
        <v>-8</v>
      </c>
    </row>
    <row r="8225" spans="1:8" x14ac:dyDescent="0.2">
      <c r="A8225" t="s">
        <v>7</v>
      </c>
      <c r="B8225" t="s">
        <v>27</v>
      </c>
      <c r="C8225" t="str">
        <f t="shared" si="258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57"/>
        <v>-6</v>
      </c>
    </row>
    <row r="8226" spans="1:8" x14ac:dyDescent="0.2">
      <c r="A8226" t="s">
        <v>7</v>
      </c>
      <c r="B8226" t="s">
        <v>27</v>
      </c>
      <c r="C8226" t="str">
        <f t="shared" si="258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57"/>
        <v>-6</v>
      </c>
    </row>
    <row r="8227" spans="1:8" x14ac:dyDescent="0.2">
      <c r="A8227" t="s">
        <v>7</v>
      </c>
      <c r="B8227" t="s">
        <v>27</v>
      </c>
      <c r="C8227" t="str">
        <f t="shared" si="258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57"/>
        <v>-6</v>
      </c>
    </row>
    <row r="8228" spans="1:8" x14ac:dyDescent="0.2">
      <c r="A8228" t="s">
        <v>18</v>
      </c>
      <c r="B8228" t="s">
        <v>27</v>
      </c>
      <c r="C8228" t="str">
        <f t="shared" si="258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57"/>
        <v>-6</v>
      </c>
    </row>
    <row r="8229" spans="1:8" x14ac:dyDescent="0.2">
      <c r="A8229" t="s">
        <v>7</v>
      </c>
      <c r="B8229" t="s">
        <v>27</v>
      </c>
      <c r="C8229" t="str">
        <f t="shared" si="258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si="257"/>
        <v>-6</v>
      </c>
    </row>
    <row r="8230" spans="1:8" x14ac:dyDescent="0.2">
      <c r="A8230" t="s">
        <v>7</v>
      </c>
      <c r="B8230" t="s">
        <v>27</v>
      </c>
      <c r="C8230" t="str">
        <f t="shared" si="258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57"/>
        <v>-6</v>
      </c>
    </row>
    <row r="8231" spans="1:8" x14ac:dyDescent="0.2">
      <c r="A8231" t="s">
        <v>18</v>
      </c>
      <c r="B8231" t="s">
        <v>27</v>
      </c>
      <c r="C8231" t="str">
        <f t="shared" si="258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57"/>
        <v>-6</v>
      </c>
    </row>
    <row r="8232" spans="1:8" x14ac:dyDescent="0.2">
      <c r="A8232" t="s">
        <v>7</v>
      </c>
      <c r="B8232" t="s">
        <v>27</v>
      </c>
      <c r="C8232" t="str">
        <f t="shared" si="258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57"/>
        <v>-6</v>
      </c>
    </row>
    <row r="8233" spans="1:8" x14ac:dyDescent="0.2">
      <c r="A8233" t="s">
        <v>7</v>
      </c>
      <c r="B8233" t="s">
        <v>27</v>
      </c>
      <c r="C8233" t="str">
        <f t="shared" si="258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57"/>
        <v>-6</v>
      </c>
    </row>
    <row r="8234" spans="1:8" x14ac:dyDescent="0.2">
      <c r="A8234" t="s">
        <v>7</v>
      </c>
      <c r="B8234" t="s">
        <v>27</v>
      </c>
      <c r="C8234" t="str">
        <f t="shared" si="258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57"/>
        <v>-6</v>
      </c>
    </row>
    <row r="8235" spans="1:8" x14ac:dyDescent="0.2">
      <c r="A8235" t="s">
        <v>7</v>
      </c>
      <c r="B8235" t="s">
        <v>27</v>
      </c>
      <c r="C8235" t="str">
        <f t="shared" si="258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57"/>
        <v>-6</v>
      </c>
    </row>
    <row r="8236" spans="1:8" x14ac:dyDescent="0.2">
      <c r="A8236" t="s">
        <v>7</v>
      </c>
      <c r="B8236" t="s">
        <v>27</v>
      </c>
      <c r="C8236" t="str">
        <f t="shared" si="258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57"/>
        <v>-6</v>
      </c>
    </row>
    <row r="8237" spans="1:8" x14ac:dyDescent="0.2">
      <c r="A8237" t="s">
        <v>19</v>
      </c>
      <c r="B8237" t="s">
        <v>27</v>
      </c>
      <c r="C8237" t="str">
        <f t="shared" si="258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57"/>
        <v>-6</v>
      </c>
    </row>
    <row r="8238" spans="1:8" x14ac:dyDescent="0.2">
      <c r="A8238" t="s">
        <v>7</v>
      </c>
      <c r="B8238" t="s">
        <v>27</v>
      </c>
      <c r="C8238" t="str">
        <f t="shared" si="258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57"/>
        <v>-6</v>
      </c>
    </row>
    <row r="8239" spans="1:8" x14ac:dyDescent="0.2">
      <c r="A8239" t="s">
        <v>18</v>
      </c>
      <c r="B8239" t="s">
        <v>27</v>
      </c>
      <c r="C8239" t="str">
        <f t="shared" si="258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57"/>
        <v>-6</v>
      </c>
    </row>
    <row r="8240" spans="1:8" x14ac:dyDescent="0.2">
      <c r="A8240" t="s">
        <v>18</v>
      </c>
      <c r="B8240" t="s">
        <v>27</v>
      </c>
      <c r="C8240" t="str">
        <f t="shared" si="258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57"/>
        <v>-6</v>
      </c>
    </row>
    <row r="8241" spans="1:8" x14ac:dyDescent="0.2">
      <c r="A8241" t="s">
        <v>19</v>
      </c>
      <c r="B8241" t="s">
        <v>27</v>
      </c>
      <c r="C8241" t="str">
        <f t="shared" si="258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57"/>
        <v>-6</v>
      </c>
    </row>
    <row r="8242" spans="1:8" x14ac:dyDescent="0.2">
      <c r="A8242" t="s">
        <v>7</v>
      </c>
      <c r="B8242" t="s">
        <v>27</v>
      </c>
      <c r="C8242" t="str">
        <f t="shared" si="258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57"/>
        <v>-6</v>
      </c>
    </row>
    <row r="8243" spans="1:8" x14ac:dyDescent="0.2">
      <c r="A8243" t="s">
        <v>7</v>
      </c>
      <c r="B8243" t="s">
        <v>27</v>
      </c>
      <c r="C8243" t="str">
        <f t="shared" si="258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57"/>
        <v>-6</v>
      </c>
    </row>
    <row r="8244" spans="1:8" x14ac:dyDescent="0.2">
      <c r="A8244" t="s">
        <v>7</v>
      </c>
      <c r="B8244" t="s">
        <v>27</v>
      </c>
      <c r="C8244" t="str">
        <f t="shared" si="258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57"/>
        <v>-6</v>
      </c>
    </row>
    <row r="8245" spans="1:8" x14ac:dyDescent="0.2">
      <c r="A8245" t="s">
        <v>7</v>
      </c>
      <c r="B8245" t="s">
        <v>27</v>
      </c>
      <c r="C8245" t="str">
        <f t="shared" si="258"/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57"/>
        <v>-6</v>
      </c>
    </row>
    <row r="8246" spans="1:8" x14ac:dyDescent="0.2">
      <c r="A8246" t="s">
        <v>18</v>
      </c>
      <c r="B8246" t="s">
        <v>27</v>
      </c>
      <c r="C8246" t="str">
        <f t="shared" si="258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57"/>
        <v>-6</v>
      </c>
    </row>
    <row r="8247" spans="1:8" x14ac:dyDescent="0.2">
      <c r="A8247" t="s">
        <v>7</v>
      </c>
      <c r="B8247" t="s">
        <v>27</v>
      </c>
      <c r="C8247" t="str">
        <f t="shared" si="258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57"/>
        <v>-6</v>
      </c>
    </row>
    <row r="8248" spans="1:8" x14ac:dyDescent="0.2">
      <c r="A8248" t="s">
        <v>7</v>
      </c>
      <c r="B8248" t="s">
        <v>27</v>
      </c>
      <c r="C8248" t="str">
        <f t="shared" si="258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57"/>
        <v>-6</v>
      </c>
    </row>
    <row r="8249" spans="1:8" x14ac:dyDescent="0.2">
      <c r="A8249" t="s">
        <v>7</v>
      </c>
      <c r="B8249" t="s">
        <v>27</v>
      </c>
      <c r="C8249" t="str">
        <f t="shared" si="258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57"/>
        <v>-6</v>
      </c>
    </row>
    <row r="8250" spans="1:8" x14ac:dyDescent="0.2">
      <c r="A8250" t="s">
        <v>7</v>
      </c>
      <c r="B8250" t="s">
        <v>27</v>
      </c>
      <c r="C8250" t="str">
        <f t="shared" si="258"/>
        <v>Cumple</v>
      </c>
      <c r="D8250">
        <v>2672</v>
      </c>
      <c r="E8250" t="s">
        <v>8</v>
      </c>
      <c r="F8250" s="9">
        <v>6</v>
      </c>
      <c r="G8250">
        <v>6</v>
      </c>
      <c r="H8250">
        <f t="shared" si="257"/>
        <v>0</v>
      </c>
    </row>
    <row r="8251" spans="1:8" x14ac:dyDescent="0.2">
      <c r="A8251" t="s">
        <v>18</v>
      </c>
      <c r="B8251" t="s">
        <v>27</v>
      </c>
      <c r="C8251" t="str">
        <f t="shared" si="258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57"/>
        <v>-6</v>
      </c>
    </row>
    <row r="8252" spans="1:8" x14ac:dyDescent="0.2">
      <c r="A8252" t="s">
        <v>18</v>
      </c>
      <c r="B8252" t="s">
        <v>27</v>
      </c>
      <c r="C8252" t="str">
        <f t="shared" si="258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57"/>
        <v>-6</v>
      </c>
    </row>
    <row r="8253" spans="1:8" x14ac:dyDescent="0.2">
      <c r="A8253" t="s">
        <v>7</v>
      </c>
      <c r="B8253" t="s">
        <v>27</v>
      </c>
      <c r="C8253" t="str">
        <f t="shared" si="258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57"/>
        <v>-6</v>
      </c>
    </row>
    <row r="8254" spans="1:8" x14ac:dyDescent="0.2">
      <c r="A8254" t="s">
        <v>7</v>
      </c>
      <c r="B8254" t="s">
        <v>27</v>
      </c>
      <c r="C8254" t="str">
        <f t="shared" si="258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57"/>
        <v>-6</v>
      </c>
    </row>
    <row r="8255" spans="1:8" x14ac:dyDescent="0.2">
      <c r="A8255" t="s">
        <v>7</v>
      </c>
      <c r="B8255" t="s">
        <v>27</v>
      </c>
      <c r="C8255" t="str">
        <f t="shared" si="258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57"/>
        <v>-6</v>
      </c>
    </row>
    <row r="8256" spans="1:8" x14ac:dyDescent="0.2">
      <c r="A8256" t="s">
        <v>18</v>
      </c>
      <c r="B8256" t="s">
        <v>27</v>
      </c>
      <c r="C8256" t="str">
        <f t="shared" si="258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57"/>
        <v>-6</v>
      </c>
    </row>
    <row r="8257" spans="1:8" x14ac:dyDescent="0.2">
      <c r="A8257" t="s">
        <v>18</v>
      </c>
      <c r="B8257" t="s">
        <v>27</v>
      </c>
      <c r="C8257" t="str">
        <f t="shared" si="258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57"/>
        <v>-6</v>
      </c>
    </row>
    <row r="8258" spans="1:8" x14ac:dyDescent="0.2">
      <c r="A8258" t="s">
        <v>19</v>
      </c>
      <c r="B8258" t="s">
        <v>27</v>
      </c>
      <c r="C8258" t="str">
        <f t="shared" si="258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57"/>
        <v>-6</v>
      </c>
    </row>
    <row r="8259" spans="1:8" x14ac:dyDescent="0.2">
      <c r="A8259" t="s">
        <v>18</v>
      </c>
      <c r="B8259" t="s">
        <v>27</v>
      </c>
      <c r="C8259" t="str">
        <f t="shared" si="258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ref="H8259:H8322" si="259">F8259-G8259</f>
        <v>-6</v>
      </c>
    </row>
    <row r="8260" spans="1:8" x14ac:dyDescent="0.2">
      <c r="A8260" t="s">
        <v>19</v>
      </c>
      <c r="B8260" t="s">
        <v>27</v>
      </c>
      <c r="C8260" t="str">
        <f t="shared" si="258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59"/>
        <v>-6</v>
      </c>
    </row>
    <row r="8261" spans="1:8" x14ac:dyDescent="0.2">
      <c r="A8261" t="s">
        <v>7</v>
      </c>
      <c r="B8261" t="s">
        <v>27</v>
      </c>
      <c r="C8261" t="str">
        <f t="shared" ref="C8261:C8324" si="260">IF(H8261&gt;=0,"Cumple","No cumple")</f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59"/>
        <v>-6</v>
      </c>
    </row>
    <row r="8262" spans="1:8" x14ac:dyDescent="0.2">
      <c r="A8262" t="s">
        <v>18</v>
      </c>
      <c r="B8262" t="s">
        <v>27</v>
      </c>
      <c r="C8262" t="str">
        <f t="shared" si="260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59"/>
        <v>-6</v>
      </c>
    </row>
    <row r="8263" spans="1:8" x14ac:dyDescent="0.2">
      <c r="A8263" t="s">
        <v>7</v>
      </c>
      <c r="B8263" t="s">
        <v>27</v>
      </c>
      <c r="C8263" t="str">
        <f t="shared" si="260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59"/>
        <v>-6</v>
      </c>
    </row>
    <row r="8264" spans="1:8" x14ac:dyDescent="0.2">
      <c r="A8264" t="s">
        <v>18</v>
      </c>
      <c r="B8264" t="s">
        <v>27</v>
      </c>
      <c r="C8264" t="str">
        <f t="shared" si="260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59"/>
        <v>-6</v>
      </c>
    </row>
    <row r="8265" spans="1:8" x14ac:dyDescent="0.2">
      <c r="A8265" t="s">
        <v>7</v>
      </c>
      <c r="B8265" t="s">
        <v>27</v>
      </c>
      <c r="C8265" t="str">
        <f t="shared" si="260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59"/>
        <v>-6</v>
      </c>
    </row>
    <row r="8266" spans="1:8" x14ac:dyDescent="0.2">
      <c r="A8266" t="s">
        <v>7</v>
      </c>
      <c r="B8266" t="s">
        <v>27</v>
      </c>
      <c r="C8266" t="str">
        <f t="shared" si="260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59"/>
        <v>-6</v>
      </c>
    </row>
    <row r="8267" spans="1:8" x14ac:dyDescent="0.2">
      <c r="A8267" t="s">
        <v>28</v>
      </c>
      <c r="B8267" t="s">
        <v>27</v>
      </c>
      <c r="C8267" t="str">
        <f t="shared" si="260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59"/>
        <v>-6</v>
      </c>
    </row>
    <row r="8268" spans="1:8" x14ac:dyDescent="0.2">
      <c r="A8268" t="s">
        <v>7</v>
      </c>
      <c r="B8268" t="s">
        <v>27</v>
      </c>
      <c r="C8268" t="str">
        <f t="shared" si="260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59"/>
        <v>-6</v>
      </c>
    </row>
    <row r="8269" spans="1:8" x14ac:dyDescent="0.2">
      <c r="A8269" t="s">
        <v>7</v>
      </c>
      <c r="B8269" t="s">
        <v>27</v>
      </c>
      <c r="C8269" t="str">
        <f t="shared" si="260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59"/>
        <v>-6</v>
      </c>
    </row>
    <row r="8270" spans="1:8" x14ac:dyDescent="0.2">
      <c r="A8270" t="s">
        <v>18</v>
      </c>
      <c r="B8270" t="s">
        <v>27</v>
      </c>
      <c r="C8270" t="str">
        <f t="shared" si="260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59"/>
        <v>-6</v>
      </c>
    </row>
    <row r="8271" spans="1:8" x14ac:dyDescent="0.2">
      <c r="A8271" t="s">
        <v>7</v>
      </c>
      <c r="B8271" t="s">
        <v>27</v>
      </c>
      <c r="C8271" t="str">
        <f t="shared" si="260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59"/>
        <v>-6</v>
      </c>
    </row>
    <row r="8272" spans="1:8" x14ac:dyDescent="0.2">
      <c r="A8272" t="s">
        <v>7</v>
      </c>
      <c r="B8272" t="s">
        <v>27</v>
      </c>
      <c r="C8272" t="str">
        <f t="shared" si="260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59"/>
        <v>-6</v>
      </c>
    </row>
    <row r="8273" spans="1:8" x14ac:dyDescent="0.2">
      <c r="A8273" t="s">
        <v>18</v>
      </c>
      <c r="B8273" t="s">
        <v>27</v>
      </c>
      <c r="C8273" t="str">
        <f t="shared" si="260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59"/>
        <v>-6</v>
      </c>
    </row>
    <row r="8274" spans="1:8" x14ac:dyDescent="0.2">
      <c r="A8274" t="s">
        <v>18</v>
      </c>
      <c r="B8274" t="s">
        <v>27</v>
      </c>
      <c r="C8274" t="str">
        <f t="shared" si="260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59"/>
        <v>-6</v>
      </c>
    </row>
    <row r="8275" spans="1:8" x14ac:dyDescent="0.2">
      <c r="A8275" t="s">
        <v>7</v>
      </c>
      <c r="B8275" t="s">
        <v>27</v>
      </c>
      <c r="C8275" t="str">
        <f t="shared" si="260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59"/>
        <v>-6</v>
      </c>
    </row>
    <row r="8276" spans="1:8" x14ac:dyDescent="0.2">
      <c r="A8276" t="s">
        <v>18</v>
      </c>
      <c r="B8276" t="s">
        <v>27</v>
      </c>
      <c r="C8276" t="str">
        <f t="shared" si="260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59"/>
        <v>-6</v>
      </c>
    </row>
    <row r="8277" spans="1:8" x14ac:dyDescent="0.2">
      <c r="A8277" t="s">
        <v>7</v>
      </c>
      <c r="B8277" t="s">
        <v>27</v>
      </c>
      <c r="C8277" t="str">
        <f t="shared" si="260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59"/>
        <v>-6</v>
      </c>
    </row>
    <row r="8278" spans="1:8" x14ac:dyDescent="0.2">
      <c r="A8278" t="s">
        <v>7</v>
      </c>
      <c r="B8278" t="s">
        <v>27</v>
      </c>
      <c r="C8278" t="str">
        <f t="shared" si="260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59"/>
        <v>-6</v>
      </c>
    </row>
    <row r="8279" spans="1:8" x14ac:dyDescent="0.2">
      <c r="A8279" t="s">
        <v>18</v>
      </c>
      <c r="B8279" t="s">
        <v>27</v>
      </c>
      <c r="C8279" t="str">
        <f t="shared" si="260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59"/>
        <v>-6</v>
      </c>
    </row>
    <row r="8280" spans="1:8" x14ac:dyDescent="0.2">
      <c r="A8280" t="s">
        <v>7</v>
      </c>
      <c r="B8280" t="s">
        <v>27</v>
      </c>
      <c r="C8280" t="str">
        <f t="shared" si="260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59"/>
        <v>-6</v>
      </c>
    </row>
    <row r="8281" spans="1:8" x14ac:dyDescent="0.2">
      <c r="A8281" t="s">
        <v>18</v>
      </c>
      <c r="B8281" t="s">
        <v>27</v>
      </c>
      <c r="C8281" t="str">
        <f t="shared" si="260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59"/>
        <v>-6</v>
      </c>
    </row>
    <row r="8282" spans="1:8" x14ac:dyDescent="0.2">
      <c r="A8282" t="s">
        <v>19</v>
      </c>
      <c r="B8282" t="s">
        <v>27</v>
      </c>
      <c r="C8282" t="str">
        <f t="shared" si="260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59"/>
        <v>-6</v>
      </c>
    </row>
    <row r="8283" spans="1:8" x14ac:dyDescent="0.2">
      <c r="A8283" t="s">
        <v>7</v>
      </c>
      <c r="B8283" t="s">
        <v>27</v>
      </c>
      <c r="C8283" t="str">
        <f t="shared" si="260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59"/>
        <v>-6</v>
      </c>
    </row>
    <row r="8284" spans="1:8" x14ac:dyDescent="0.2">
      <c r="A8284" t="s">
        <v>18</v>
      </c>
      <c r="B8284" t="s">
        <v>27</v>
      </c>
      <c r="C8284" t="str">
        <f t="shared" si="260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59"/>
        <v>-6</v>
      </c>
    </row>
    <row r="8285" spans="1:8" x14ac:dyDescent="0.2">
      <c r="A8285" t="s">
        <v>7</v>
      </c>
      <c r="B8285" t="s">
        <v>27</v>
      </c>
      <c r="C8285" t="str">
        <f t="shared" si="260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59"/>
        <v>-6</v>
      </c>
    </row>
    <row r="8286" spans="1:8" x14ac:dyDescent="0.2">
      <c r="A8286" t="s">
        <v>18</v>
      </c>
      <c r="B8286" t="s">
        <v>27</v>
      </c>
      <c r="C8286" t="str">
        <f t="shared" si="260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59"/>
        <v>-6</v>
      </c>
    </row>
    <row r="8287" spans="1:8" x14ac:dyDescent="0.2">
      <c r="A8287" t="s">
        <v>7</v>
      </c>
      <c r="B8287" t="s">
        <v>27</v>
      </c>
      <c r="C8287" t="str">
        <f t="shared" si="260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59"/>
        <v>-6</v>
      </c>
    </row>
    <row r="8288" spans="1:8" x14ac:dyDescent="0.2">
      <c r="A8288" t="s">
        <v>7</v>
      </c>
      <c r="B8288" t="s">
        <v>27</v>
      </c>
      <c r="C8288" t="str">
        <f t="shared" si="260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59"/>
        <v>-6</v>
      </c>
    </row>
    <row r="8289" spans="1:8" x14ac:dyDescent="0.2">
      <c r="A8289" t="s">
        <v>7</v>
      </c>
      <c r="B8289" t="s">
        <v>27</v>
      </c>
      <c r="C8289" t="str">
        <f t="shared" si="260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59"/>
        <v>-6</v>
      </c>
    </row>
    <row r="8290" spans="1:8" x14ac:dyDescent="0.2">
      <c r="A8290" t="s">
        <v>7</v>
      </c>
      <c r="B8290" t="s">
        <v>27</v>
      </c>
      <c r="C8290" t="str">
        <f t="shared" si="260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59"/>
        <v>-6</v>
      </c>
    </row>
    <row r="8291" spans="1:8" x14ac:dyDescent="0.2">
      <c r="A8291" t="s">
        <v>7</v>
      </c>
      <c r="B8291" t="s">
        <v>27</v>
      </c>
      <c r="C8291" t="str">
        <f t="shared" si="260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59"/>
        <v>-6</v>
      </c>
    </row>
    <row r="8292" spans="1:8" x14ac:dyDescent="0.2">
      <c r="A8292" t="s">
        <v>18</v>
      </c>
      <c r="B8292" t="s">
        <v>27</v>
      </c>
      <c r="C8292" t="str">
        <f t="shared" si="260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59"/>
        <v>-6</v>
      </c>
    </row>
    <row r="8293" spans="1:8" x14ac:dyDescent="0.2">
      <c r="A8293" t="s">
        <v>18</v>
      </c>
      <c r="B8293" t="s">
        <v>27</v>
      </c>
      <c r="C8293" t="str">
        <f t="shared" si="260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si="259"/>
        <v>-6</v>
      </c>
    </row>
    <row r="8294" spans="1:8" x14ac:dyDescent="0.2">
      <c r="A8294" t="s">
        <v>18</v>
      </c>
      <c r="B8294" t="s">
        <v>27</v>
      </c>
      <c r="C8294" t="str">
        <f t="shared" si="260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59"/>
        <v>-6</v>
      </c>
    </row>
    <row r="8295" spans="1:8" x14ac:dyDescent="0.2">
      <c r="A8295" t="s">
        <v>7</v>
      </c>
      <c r="B8295" t="s">
        <v>27</v>
      </c>
      <c r="C8295" t="str">
        <f t="shared" si="260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59"/>
        <v>-6</v>
      </c>
    </row>
    <row r="8296" spans="1:8" x14ac:dyDescent="0.2">
      <c r="A8296" t="s">
        <v>7</v>
      </c>
      <c r="B8296" t="s">
        <v>27</v>
      </c>
      <c r="C8296" t="str">
        <f t="shared" si="260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59"/>
        <v>-6</v>
      </c>
    </row>
    <row r="8297" spans="1:8" x14ac:dyDescent="0.2">
      <c r="A8297" t="s">
        <v>7</v>
      </c>
      <c r="B8297" t="s">
        <v>27</v>
      </c>
      <c r="C8297" t="str">
        <f t="shared" si="260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59"/>
        <v>-6</v>
      </c>
    </row>
    <row r="8298" spans="1:8" x14ac:dyDescent="0.2">
      <c r="A8298" t="s">
        <v>18</v>
      </c>
      <c r="B8298" t="s">
        <v>27</v>
      </c>
      <c r="C8298" t="str">
        <f t="shared" si="260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59"/>
        <v>-6</v>
      </c>
    </row>
    <row r="8299" spans="1:8" x14ac:dyDescent="0.2">
      <c r="A8299" t="s">
        <v>7</v>
      </c>
      <c r="B8299" t="s">
        <v>27</v>
      </c>
      <c r="C8299" t="str">
        <f t="shared" si="260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59"/>
        <v>-6</v>
      </c>
    </row>
    <row r="8300" spans="1:8" x14ac:dyDescent="0.2">
      <c r="A8300" t="s">
        <v>18</v>
      </c>
      <c r="B8300" t="s">
        <v>27</v>
      </c>
      <c r="C8300" t="str">
        <f t="shared" si="260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59"/>
        <v>-6</v>
      </c>
    </row>
    <row r="8301" spans="1:8" x14ac:dyDescent="0.2">
      <c r="A8301" t="s">
        <v>18</v>
      </c>
      <c r="B8301" t="s">
        <v>27</v>
      </c>
      <c r="C8301" t="str">
        <f t="shared" si="260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59"/>
        <v>-6</v>
      </c>
    </row>
    <row r="8302" spans="1:8" x14ac:dyDescent="0.2">
      <c r="A8302" t="s">
        <v>18</v>
      </c>
      <c r="B8302" t="s">
        <v>27</v>
      </c>
      <c r="C8302" t="str">
        <f t="shared" si="260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59"/>
        <v>-6</v>
      </c>
    </row>
    <row r="8303" spans="1:8" x14ac:dyDescent="0.2">
      <c r="A8303" t="s">
        <v>7</v>
      </c>
      <c r="B8303" t="s">
        <v>27</v>
      </c>
      <c r="C8303" t="str">
        <f t="shared" si="260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59"/>
        <v>-6</v>
      </c>
    </row>
    <row r="8304" spans="1:8" x14ac:dyDescent="0.2">
      <c r="A8304" t="s">
        <v>7</v>
      </c>
      <c r="B8304" t="s">
        <v>27</v>
      </c>
      <c r="C8304" t="str">
        <f t="shared" si="260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59"/>
        <v>-6</v>
      </c>
    </row>
    <row r="8305" spans="1:8" x14ac:dyDescent="0.2">
      <c r="A8305" t="s">
        <v>7</v>
      </c>
      <c r="B8305" t="s">
        <v>27</v>
      </c>
      <c r="C8305" t="str">
        <f t="shared" si="260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59"/>
        <v>-6</v>
      </c>
    </row>
    <row r="8306" spans="1:8" x14ac:dyDescent="0.2">
      <c r="A8306" t="s">
        <v>19</v>
      </c>
      <c r="B8306" t="s">
        <v>27</v>
      </c>
      <c r="C8306" t="str">
        <f t="shared" si="260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59"/>
        <v>-6</v>
      </c>
    </row>
    <row r="8307" spans="1:8" x14ac:dyDescent="0.2">
      <c r="A8307" t="s">
        <v>7</v>
      </c>
      <c r="B8307" t="s">
        <v>27</v>
      </c>
      <c r="C8307" t="str">
        <f t="shared" si="260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59"/>
        <v>-6</v>
      </c>
    </row>
    <row r="8308" spans="1:8" x14ac:dyDescent="0.2">
      <c r="A8308" t="s">
        <v>18</v>
      </c>
      <c r="B8308" t="s">
        <v>27</v>
      </c>
      <c r="C8308" t="str">
        <f t="shared" si="260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59"/>
        <v>-6</v>
      </c>
    </row>
    <row r="8309" spans="1:8" x14ac:dyDescent="0.2">
      <c r="A8309" t="s">
        <v>18</v>
      </c>
      <c r="B8309" t="s">
        <v>27</v>
      </c>
      <c r="C8309" t="str">
        <f t="shared" si="260"/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59"/>
        <v>-6</v>
      </c>
    </row>
    <row r="8310" spans="1:8" x14ac:dyDescent="0.2">
      <c r="A8310" t="s">
        <v>7</v>
      </c>
      <c r="B8310" t="s">
        <v>27</v>
      </c>
      <c r="C8310" t="str">
        <f t="shared" si="260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59"/>
        <v>-6</v>
      </c>
    </row>
    <row r="8311" spans="1:8" x14ac:dyDescent="0.2">
      <c r="A8311" t="s">
        <v>7</v>
      </c>
      <c r="B8311" t="s">
        <v>27</v>
      </c>
      <c r="C8311" t="str">
        <f t="shared" si="260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59"/>
        <v>-6</v>
      </c>
    </row>
    <row r="8312" spans="1:8" x14ac:dyDescent="0.2">
      <c r="A8312" t="s">
        <v>7</v>
      </c>
      <c r="B8312" t="s">
        <v>27</v>
      </c>
      <c r="C8312" t="str">
        <f t="shared" si="260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59"/>
        <v>-6</v>
      </c>
    </row>
    <row r="8313" spans="1:8" x14ac:dyDescent="0.2">
      <c r="A8313" t="s">
        <v>7</v>
      </c>
      <c r="B8313" t="s">
        <v>27</v>
      </c>
      <c r="C8313" t="str">
        <f t="shared" si="260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59"/>
        <v>-6</v>
      </c>
    </row>
    <row r="8314" spans="1:8" x14ac:dyDescent="0.2">
      <c r="A8314" t="s">
        <v>7</v>
      </c>
      <c r="B8314" t="s">
        <v>27</v>
      </c>
      <c r="C8314" t="str">
        <f t="shared" si="260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59"/>
        <v>-6</v>
      </c>
    </row>
    <row r="8315" spans="1:8" x14ac:dyDescent="0.2">
      <c r="A8315" t="s">
        <v>18</v>
      </c>
      <c r="B8315" t="s">
        <v>27</v>
      </c>
      <c r="C8315" t="str">
        <f t="shared" si="260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59"/>
        <v>-6</v>
      </c>
    </row>
    <row r="8316" spans="1:8" x14ac:dyDescent="0.2">
      <c r="A8316" t="s">
        <v>18</v>
      </c>
      <c r="B8316" t="s">
        <v>27</v>
      </c>
      <c r="C8316" t="str">
        <f t="shared" si="260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59"/>
        <v>-6</v>
      </c>
    </row>
    <row r="8317" spans="1:8" x14ac:dyDescent="0.2">
      <c r="A8317" t="s">
        <v>7</v>
      </c>
      <c r="B8317" t="s">
        <v>27</v>
      </c>
      <c r="C8317" t="str">
        <f t="shared" si="260"/>
        <v>No cumple</v>
      </c>
      <c r="D8317">
        <v>9457</v>
      </c>
      <c r="E8317" t="s">
        <v>8</v>
      </c>
      <c r="F8317">
        <v>0</v>
      </c>
      <c r="G8317">
        <v>3</v>
      </c>
      <c r="H8317">
        <f t="shared" si="259"/>
        <v>-3</v>
      </c>
    </row>
    <row r="8318" spans="1:8" x14ac:dyDescent="0.2">
      <c r="A8318" t="s">
        <v>7</v>
      </c>
      <c r="B8318" t="s">
        <v>27</v>
      </c>
      <c r="C8318" t="str">
        <f t="shared" si="260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59"/>
        <v>-6</v>
      </c>
    </row>
    <row r="8319" spans="1:8" x14ac:dyDescent="0.2">
      <c r="A8319" t="s">
        <v>18</v>
      </c>
      <c r="B8319" t="s">
        <v>27</v>
      </c>
      <c r="C8319" t="str">
        <f t="shared" si="260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59"/>
        <v>-6</v>
      </c>
    </row>
    <row r="8320" spans="1:8" x14ac:dyDescent="0.2">
      <c r="A8320" t="s">
        <v>7</v>
      </c>
      <c r="B8320" t="s">
        <v>27</v>
      </c>
      <c r="C8320" t="str">
        <f t="shared" si="260"/>
        <v>No cumple</v>
      </c>
      <c r="D8320">
        <v>828</v>
      </c>
      <c r="E8320" t="s">
        <v>8</v>
      </c>
      <c r="F8320">
        <v>1</v>
      </c>
      <c r="G8320">
        <v>15</v>
      </c>
      <c r="H8320">
        <f t="shared" si="259"/>
        <v>-14</v>
      </c>
    </row>
    <row r="8321" spans="1:8" x14ac:dyDescent="0.2">
      <c r="A8321" t="s">
        <v>18</v>
      </c>
      <c r="B8321" t="s">
        <v>27</v>
      </c>
      <c r="C8321" t="str">
        <f t="shared" si="260"/>
        <v>No cumple</v>
      </c>
      <c r="D8321">
        <v>3770</v>
      </c>
      <c r="E8321" t="s">
        <v>8</v>
      </c>
      <c r="F8321">
        <v>0</v>
      </c>
      <c r="G8321">
        <v>3</v>
      </c>
      <c r="H8321">
        <f t="shared" si="259"/>
        <v>-3</v>
      </c>
    </row>
    <row r="8322" spans="1:8" x14ac:dyDescent="0.2">
      <c r="A8322" t="s">
        <v>18</v>
      </c>
      <c r="B8322" t="s">
        <v>27</v>
      </c>
      <c r="C8322" t="str">
        <f t="shared" si="260"/>
        <v>No cumple</v>
      </c>
      <c r="D8322">
        <v>2860</v>
      </c>
      <c r="E8322" t="s">
        <v>8</v>
      </c>
      <c r="F8322">
        <v>0</v>
      </c>
      <c r="G8322">
        <v>3</v>
      </c>
      <c r="H8322">
        <f t="shared" si="259"/>
        <v>-3</v>
      </c>
    </row>
    <row r="8323" spans="1:8" x14ac:dyDescent="0.2">
      <c r="A8323" t="s">
        <v>7</v>
      </c>
      <c r="B8323" t="s">
        <v>27</v>
      </c>
      <c r="C8323" t="str">
        <f t="shared" si="260"/>
        <v>Cumple</v>
      </c>
      <c r="D8323">
        <v>3950</v>
      </c>
      <c r="E8323" t="s">
        <v>11</v>
      </c>
      <c r="F8323">
        <v>52</v>
      </c>
      <c r="G8323">
        <v>15</v>
      </c>
      <c r="H8323">
        <f t="shared" ref="H8323:H8386" si="261">F8323-G8323</f>
        <v>37</v>
      </c>
    </row>
    <row r="8324" spans="1:8" x14ac:dyDescent="0.2">
      <c r="A8324" t="s">
        <v>7</v>
      </c>
      <c r="B8324" t="s">
        <v>27</v>
      </c>
      <c r="C8324" t="str">
        <f t="shared" si="260"/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si="261"/>
        <v>25</v>
      </c>
    </row>
    <row r="8325" spans="1:8" x14ac:dyDescent="0.2">
      <c r="A8325" t="s">
        <v>7</v>
      </c>
      <c r="B8325" t="s">
        <v>27</v>
      </c>
      <c r="C8325" t="str">
        <f t="shared" ref="C8325:C8388" si="262">IF(H8325&gt;=0,"Cumple","No cumple")</f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61"/>
        <v>25</v>
      </c>
    </row>
    <row r="8326" spans="1:8" x14ac:dyDescent="0.2">
      <c r="A8326" t="s">
        <v>7</v>
      </c>
      <c r="B8326" t="s">
        <v>27</v>
      </c>
      <c r="C8326" t="str">
        <f t="shared" si="262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61"/>
        <v>24</v>
      </c>
    </row>
    <row r="8327" spans="1:8" x14ac:dyDescent="0.2">
      <c r="A8327" t="s">
        <v>7</v>
      </c>
      <c r="B8327" t="s">
        <v>27</v>
      </c>
      <c r="C8327" t="str">
        <f t="shared" si="262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61"/>
        <v>23</v>
      </c>
    </row>
    <row r="8328" spans="1:8" x14ac:dyDescent="0.2">
      <c r="A8328" t="s">
        <v>7</v>
      </c>
      <c r="B8328" t="s">
        <v>27</v>
      </c>
      <c r="C8328" t="str">
        <f t="shared" si="262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61"/>
        <v>23</v>
      </c>
    </row>
    <row r="8329" spans="1:8" x14ac:dyDescent="0.2">
      <c r="A8329" t="s">
        <v>7</v>
      </c>
      <c r="B8329" t="s">
        <v>27</v>
      </c>
      <c r="C8329" t="str">
        <f t="shared" si="262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61"/>
        <v>22</v>
      </c>
    </row>
    <row r="8330" spans="1:8" x14ac:dyDescent="0.2">
      <c r="A8330" t="s">
        <v>7</v>
      </c>
      <c r="B8330" t="s">
        <v>27</v>
      </c>
      <c r="C8330" t="str">
        <f t="shared" si="262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61"/>
        <v>22</v>
      </c>
    </row>
    <row r="8331" spans="1:8" x14ac:dyDescent="0.2">
      <c r="A8331" t="s">
        <v>7</v>
      </c>
      <c r="B8331" t="s">
        <v>27</v>
      </c>
      <c r="C8331" t="str">
        <f t="shared" si="262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61"/>
        <v>21</v>
      </c>
    </row>
    <row r="8332" spans="1:8" x14ac:dyDescent="0.2">
      <c r="A8332" t="s">
        <v>7</v>
      </c>
      <c r="B8332" t="s">
        <v>27</v>
      </c>
      <c r="C8332" t="str">
        <f t="shared" si="262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61"/>
        <v>20</v>
      </c>
    </row>
    <row r="8333" spans="1:8" x14ac:dyDescent="0.2">
      <c r="A8333" t="s">
        <v>7</v>
      </c>
      <c r="B8333" t="s">
        <v>27</v>
      </c>
      <c r="C8333" t="str">
        <f t="shared" si="262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61"/>
        <v>20</v>
      </c>
    </row>
    <row r="8334" spans="1:8" x14ac:dyDescent="0.2">
      <c r="A8334" t="s">
        <v>7</v>
      </c>
      <c r="B8334" t="s">
        <v>27</v>
      </c>
      <c r="C8334" t="str">
        <f t="shared" si="262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61"/>
        <v>19</v>
      </c>
    </row>
    <row r="8335" spans="1:8" x14ac:dyDescent="0.2">
      <c r="A8335" t="s">
        <v>7</v>
      </c>
      <c r="B8335" t="s">
        <v>27</v>
      </c>
      <c r="C8335" t="str">
        <f t="shared" si="262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61"/>
        <v>18</v>
      </c>
    </row>
    <row r="8336" spans="1:8" x14ac:dyDescent="0.2">
      <c r="A8336" t="s">
        <v>7</v>
      </c>
      <c r="B8336" t="s">
        <v>27</v>
      </c>
      <c r="C8336" t="str">
        <f t="shared" si="262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61"/>
        <v>18</v>
      </c>
    </row>
    <row r="8337" spans="1:8" x14ac:dyDescent="0.2">
      <c r="A8337" t="s">
        <v>7</v>
      </c>
      <c r="B8337" t="s">
        <v>27</v>
      </c>
      <c r="C8337" t="str">
        <f t="shared" si="262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61"/>
        <v>18</v>
      </c>
    </row>
    <row r="8338" spans="1:8" x14ac:dyDescent="0.2">
      <c r="A8338" t="s">
        <v>7</v>
      </c>
      <c r="B8338" t="s">
        <v>27</v>
      </c>
      <c r="C8338" t="str">
        <f t="shared" si="262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61"/>
        <v>17</v>
      </c>
    </row>
    <row r="8339" spans="1:8" x14ac:dyDescent="0.2">
      <c r="A8339" t="s">
        <v>7</v>
      </c>
      <c r="B8339" t="s">
        <v>27</v>
      </c>
      <c r="C8339" t="str">
        <f t="shared" si="262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61"/>
        <v>17</v>
      </c>
    </row>
    <row r="8340" spans="1:8" x14ac:dyDescent="0.2">
      <c r="A8340" t="s">
        <v>7</v>
      </c>
      <c r="B8340" t="s">
        <v>27</v>
      </c>
      <c r="C8340" t="str">
        <f t="shared" si="262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61"/>
        <v>16</v>
      </c>
    </row>
    <row r="8341" spans="1:8" x14ac:dyDescent="0.2">
      <c r="A8341" t="s">
        <v>7</v>
      </c>
      <c r="B8341" t="s">
        <v>27</v>
      </c>
      <c r="C8341" t="str">
        <f t="shared" si="262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61"/>
        <v>16</v>
      </c>
    </row>
    <row r="8342" spans="1:8" x14ac:dyDescent="0.2">
      <c r="A8342" t="s">
        <v>7</v>
      </c>
      <c r="B8342" t="s">
        <v>27</v>
      </c>
      <c r="C8342" t="str">
        <f t="shared" si="262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61"/>
        <v>15</v>
      </c>
    </row>
    <row r="8343" spans="1:8" x14ac:dyDescent="0.2">
      <c r="A8343" t="s">
        <v>7</v>
      </c>
      <c r="B8343" t="s">
        <v>27</v>
      </c>
      <c r="C8343" t="str">
        <f t="shared" si="262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61"/>
        <v>15</v>
      </c>
    </row>
    <row r="8344" spans="1:8" x14ac:dyDescent="0.2">
      <c r="A8344" t="s">
        <v>7</v>
      </c>
      <c r="B8344" t="s">
        <v>27</v>
      </c>
      <c r="C8344" t="str">
        <f t="shared" si="262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61"/>
        <v>15</v>
      </c>
    </row>
    <row r="8345" spans="1:8" x14ac:dyDescent="0.2">
      <c r="A8345" t="s">
        <v>7</v>
      </c>
      <c r="B8345" t="s">
        <v>27</v>
      </c>
      <c r="C8345" t="str">
        <f t="shared" si="262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61"/>
        <v>15</v>
      </c>
    </row>
    <row r="8346" spans="1:8" x14ac:dyDescent="0.2">
      <c r="A8346" t="s">
        <v>7</v>
      </c>
      <c r="B8346" t="s">
        <v>27</v>
      </c>
      <c r="C8346" t="str">
        <f t="shared" si="262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61"/>
        <v>20</v>
      </c>
    </row>
    <row r="8347" spans="1:8" x14ac:dyDescent="0.2">
      <c r="A8347" t="s">
        <v>7</v>
      </c>
      <c r="B8347" t="s">
        <v>27</v>
      </c>
      <c r="C8347" t="str">
        <f t="shared" si="262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61"/>
        <v>14</v>
      </c>
    </row>
    <row r="8348" spans="1:8" x14ac:dyDescent="0.2">
      <c r="A8348" t="s">
        <v>7</v>
      </c>
      <c r="B8348" t="s">
        <v>27</v>
      </c>
      <c r="C8348" t="str">
        <f t="shared" si="262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61"/>
        <v>14</v>
      </c>
    </row>
    <row r="8349" spans="1:8" x14ac:dyDescent="0.2">
      <c r="A8349" t="s">
        <v>7</v>
      </c>
      <c r="B8349" t="s">
        <v>27</v>
      </c>
      <c r="C8349" t="str">
        <f t="shared" si="262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61"/>
        <v>14</v>
      </c>
    </row>
    <row r="8350" spans="1:8" x14ac:dyDescent="0.2">
      <c r="A8350" t="s">
        <v>7</v>
      </c>
      <c r="B8350" t="s">
        <v>27</v>
      </c>
      <c r="C8350" t="str">
        <f t="shared" si="262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61"/>
        <v>19</v>
      </c>
    </row>
    <row r="8351" spans="1:8" x14ac:dyDescent="0.2">
      <c r="A8351" t="s">
        <v>7</v>
      </c>
      <c r="B8351" t="s">
        <v>27</v>
      </c>
      <c r="C8351" t="str">
        <f t="shared" si="262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61"/>
        <v>13</v>
      </c>
    </row>
    <row r="8352" spans="1:8" x14ac:dyDescent="0.2">
      <c r="A8352" t="s">
        <v>7</v>
      </c>
      <c r="B8352" t="s">
        <v>27</v>
      </c>
      <c r="C8352" t="str">
        <f t="shared" si="262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61"/>
        <v>13</v>
      </c>
    </row>
    <row r="8353" spans="1:8" x14ac:dyDescent="0.2">
      <c r="A8353" t="s">
        <v>7</v>
      </c>
      <c r="B8353" t="s">
        <v>27</v>
      </c>
      <c r="C8353" t="str">
        <f t="shared" si="262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61"/>
        <v>13</v>
      </c>
    </row>
    <row r="8354" spans="1:8" x14ac:dyDescent="0.2">
      <c r="A8354" t="s">
        <v>7</v>
      </c>
      <c r="B8354" t="s">
        <v>27</v>
      </c>
      <c r="C8354" t="str">
        <f t="shared" si="262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61"/>
        <v>13</v>
      </c>
    </row>
    <row r="8355" spans="1:8" x14ac:dyDescent="0.2">
      <c r="A8355" t="s">
        <v>7</v>
      </c>
      <c r="B8355" t="s">
        <v>27</v>
      </c>
      <c r="C8355" t="str">
        <f t="shared" si="262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61"/>
        <v>13</v>
      </c>
    </row>
    <row r="8356" spans="1:8" x14ac:dyDescent="0.2">
      <c r="A8356" t="s">
        <v>7</v>
      </c>
      <c r="B8356" t="s">
        <v>27</v>
      </c>
      <c r="C8356" t="str">
        <f t="shared" si="262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61"/>
        <v>12</v>
      </c>
    </row>
    <row r="8357" spans="1:8" x14ac:dyDescent="0.2">
      <c r="A8357" t="s">
        <v>7</v>
      </c>
      <c r="B8357" t="s">
        <v>27</v>
      </c>
      <c r="C8357" t="str">
        <f t="shared" si="262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61"/>
        <v>12</v>
      </c>
    </row>
    <row r="8358" spans="1:8" x14ac:dyDescent="0.2">
      <c r="A8358" t="s">
        <v>7</v>
      </c>
      <c r="B8358" t="s">
        <v>27</v>
      </c>
      <c r="C8358" t="str">
        <f t="shared" si="262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61"/>
        <v>11</v>
      </c>
    </row>
    <row r="8359" spans="1:8" x14ac:dyDescent="0.2">
      <c r="A8359" t="s">
        <v>7</v>
      </c>
      <c r="B8359" t="s">
        <v>27</v>
      </c>
      <c r="C8359" t="str">
        <f t="shared" si="262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61"/>
        <v>11</v>
      </c>
    </row>
    <row r="8360" spans="1:8" x14ac:dyDescent="0.2">
      <c r="A8360" t="s">
        <v>7</v>
      </c>
      <c r="B8360" t="s">
        <v>27</v>
      </c>
      <c r="C8360" t="str">
        <f t="shared" si="262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61"/>
        <v>11</v>
      </c>
    </row>
    <row r="8361" spans="1:8" x14ac:dyDescent="0.2">
      <c r="A8361" t="s">
        <v>7</v>
      </c>
      <c r="B8361" t="s">
        <v>27</v>
      </c>
      <c r="C8361" t="str">
        <f t="shared" si="262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61"/>
        <v>11</v>
      </c>
    </row>
    <row r="8362" spans="1:8" x14ac:dyDescent="0.2">
      <c r="A8362" t="s">
        <v>7</v>
      </c>
      <c r="B8362" t="s">
        <v>27</v>
      </c>
      <c r="C8362" t="str">
        <f t="shared" si="262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61"/>
        <v>11</v>
      </c>
    </row>
    <row r="8363" spans="1:8" x14ac:dyDescent="0.2">
      <c r="A8363" t="s">
        <v>7</v>
      </c>
      <c r="B8363" t="s">
        <v>27</v>
      </c>
      <c r="C8363" t="str">
        <f t="shared" si="262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61"/>
        <v>11</v>
      </c>
    </row>
    <row r="8364" spans="1:8" x14ac:dyDescent="0.2">
      <c r="A8364" t="s">
        <v>7</v>
      </c>
      <c r="B8364" t="s">
        <v>27</v>
      </c>
      <c r="C8364" t="str">
        <f t="shared" si="262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61"/>
        <v>11</v>
      </c>
    </row>
    <row r="8365" spans="1:8" x14ac:dyDescent="0.2">
      <c r="A8365" t="s">
        <v>7</v>
      </c>
      <c r="B8365" t="s">
        <v>27</v>
      </c>
      <c r="C8365" t="str">
        <f t="shared" si="262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61"/>
        <v>10</v>
      </c>
    </row>
    <row r="8366" spans="1:8" x14ac:dyDescent="0.2">
      <c r="A8366" t="s">
        <v>7</v>
      </c>
      <c r="B8366" t="s">
        <v>27</v>
      </c>
      <c r="C8366" t="str">
        <f t="shared" si="262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61"/>
        <v>10</v>
      </c>
    </row>
    <row r="8367" spans="1:8" x14ac:dyDescent="0.2">
      <c r="A8367" t="s">
        <v>7</v>
      </c>
      <c r="B8367" t="s">
        <v>27</v>
      </c>
      <c r="C8367" t="str">
        <f t="shared" si="262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61"/>
        <v>10</v>
      </c>
    </row>
    <row r="8368" spans="1:8" x14ac:dyDescent="0.2">
      <c r="A8368" t="s">
        <v>7</v>
      </c>
      <c r="B8368" t="s">
        <v>27</v>
      </c>
      <c r="C8368" t="str">
        <f t="shared" si="262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61"/>
        <v>10</v>
      </c>
    </row>
    <row r="8369" spans="1:8" x14ac:dyDescent="0.2">
      <c r="A8369" t="s">
        <v>7</v>
      </c>
      <c r="B8369" t="s">
        <v>27</v>
      </c>
      <c r="C8369" t="str">
        <f t="shared" si="262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61"/>
        <v>14</v>
      </c>
    </row>
    <row r="8370" spans="1:8" x14ac:dyDescent="0.2">
      <c r="A8370" t="s">
        <v>7</v>
      </c>
      <c r="B8370" t="s">
        <v>27</v>
      </c>
      <c r="C8370" t="str">
        <f t="shared" si="262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61"/>
        <v>9</v>
      </c>
    </row>
    <row r="8371" spans="1:8" x14ac:dyDescent="0.2">
      <c r="A8371" t="s">
        <v>7</v>
      </c>
      <c r="B8371" t="s">
        <v>27</v>
      </c>
      <c r="C8371" t="str">
        <f t="shared" si="262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61"/>
        <v>8</v>
      </c>
    </row>
    <row r="8372" spans="1:8" x14ac:dyDescent="0.2">
      <c r="A8372" t="s">
        <v>7</v>
      </c>
      <c r="B8372" t="s">
        <v>27</v>
      </c>
      <c r="C8372" t="str">
        <f t="shared" si="262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61"/>
        <v>8</v>
      </c>
    </row>
    <row r="8373" spans="1:8" x14ac:dyDescent="0.2">
      <c r="A8373" t="s">
        <v>7</v>
      </c>
      <c r="B8373" t="s">
        <v>27</v>
      </c>
      <c r="C8373" t="str">
        <f t="shared" si="262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61"/>
        <v>8</v>
      </c>
    </row>
    <row r="8374" spans="1:8" x14ac:dyDescent="0.2">
      <c r="A8374" t="s">
        <v>7</v>
      </c>
      <c r="B8374" t="s">
        <v>27</v>
      </c>
      <c r="C8374" t="str">
        <f t="shared" si="262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61"/>
        <v>8</v>
      </c>
    </row>
    <row r="8375" spans="1:8" x14ac:dyDescent="0.2">
      <c r="A8375" t="s">
        <v>7</v>
      </c>
      <c r="B8375" t="s">
        <v>27</v>
      </c>
      <c r="C8375" t="str">
        <f t="shared" si="262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61"/>
        <v>8</v>
      </c>
    </row>
    <row r="8376" spans="1:8" x14ac:dyDescent="0.2">
      <c r="A8376" t="s">
        <v>7</v>
      </c>
      <c r="B8376" t="s">
        <v>27</v>
      </c>
      <c r="C8376" t="str">
        <f t="shared" si="262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61"/>
        <v>13</v>
      </c>
    </row>
    <row r="8377" spans="1:8" x14ac:dyDescent="0.2">
      <c r="A8377" t="s">
        <v>7</v>
      </c>
      <c r="B8377" t="s">
        <v>27</v>
      </c>
      <c r="C8377" t="str">
        <f t="shared" si="262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61"/>
        <v>13</v>
      </c>
    </row>
    <row r="8378" spans="1:8" x14ac:dyDescent="0.2">
      <c r="A8378" t="s">
        <v>7</v>
      </c>
      <c r="B8378" t="s">
        <v>27</v>
      </c>
      <c r="C8378" t="str">
        <f t="shared" si="262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61"/>
        <v>7</v>
      </c>
    </row>
    <row r="8379" spans="1:8" x14ac:dyDescent="0.2">
      <c r="A8379" t="s">
        <v>7</v>
      </c>
      <c r="B8379" t="s">
        <v>27</v>
      </c>
      <c r="C8379" t="str">
        <f t="shared" si="262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61"/>
        <v>7</v>
      </c>
    </row>
    <row r="8380" spans="1:8" x14ac:dyDescent="0.2">
      <c r="A8380" t="s">
        <v>7</v>
      </c>
      <c r="B8380" t="s">
        <v>27</v>
      </c>
      <c r="C8380" t="str">
        <f t="shared" si="262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61"/>
        <v>7</v>
      </c>
    </row>
    <row r="8381" spans="1:8" x14ac:dyDescent="0.2">
      <c r="A8381" t="s">
        <v>7</v>
      </c>
      <c r="B8381" t="s">
        <v>27</v>
      </c>
      <c r="C8381" t="str">
        <f t="shared" si="262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61"/>
        <v>11</v>
      </c>
    </row>
    <row r="8382" spans="1:8" x14ac:dyDescent="0.2">
      <c r="A8382" t="s">
        <v>7</v>
      </c>
      <c r="B8382" t="s">
        <v>27</v>
      </c>
      <c r="C8382" t="str">
        <f t="shared" si="262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61"/>
        <v>6</v>
      </c>
    </row>
    <row r="8383" spans="1:8" x14ac:dyDescent="0.2">
      <c r="A8383" t="s">
        <v>7</v>
      </c>
      <c r="B8383" t="s">
        <v>27</v>
      </c>
      <c r="C8383" t="str">
        <f t="shared" si="262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61"/>
        <v>6</v>
      </c>
    </row>
    <row r="8384" spans="1:8" x14ac:dyDescent="0.2">
      <c r="A8384" t="s">
        <v>7</v>
      </c>
      <c r="B8384" t="s">
        <v>27</v>
      </c>
      <c r="C8384" t="str">
        <f t="shared" si="262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61"/>
        <v>6</v>
      </c>
    </row>
    <row r="8385" spans="1:8" x14ac:dyDescent="0.2">
      <c r="A8385" t="s">
        <v>7</v>
      </c>
      <c r="B8385" t="s">
        <v>27</v>
      </c>
      <c r="C8385" t="str">
        <f t="shared" si="262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61"/>
        <v>6</v>
      </c>
    </row>
    <row r="8386" spans="1:8" x14ac:dyDescent="0.2">
      <c r="A8386" t="s">
        <v>7</v>
      </c>
      <c r="B8386" t="s">
        <v>27</v>
      </c>
      <c r="C8386" t="str">
        <f t="shared" si="262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61"/>
        <v>6</v>
      </c>
    </row>
    <row r="8387" spans="1:8" x14ac:dyDescent="0.2">
      <c r="A8387" t="s">
        <v>7</v>
      </c>
      <c r="B8387" t="s">
        <v>27</v>
      </c>
      <c r="C8387" t="str">
        <f t="shared" si="262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ref="H8387:H8450" si="263">F8387-G8387</f>
        <v>6</v>
      </c>
    </row>
    <row r="8388" spans="1:8" x14ac:dyDescent="0.2">
      <c r="A8388" t="s">
        <v>7</v>
      </c>
      <c r="B8388" t="s">
        <v>27</v>
      </c>
      <c r="C8388" t="str">
        <f t="shared" si="262"/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si="263"/>
        <v>11</v>
      </c>
    </row>
    <row r="8389" spans="1:8" x14ac:dyDescent="0.2">
      <c r="A8389" t="s">
        <v>7</v>
      </c>
      <c r="B8389" t="s">
        <v>27</v>
      </c>
      <c r="C8389" t="str">
        <f t="shared" ref="C8389:C8452" si="264">IF(H8389&gt;=0,"Cumple","No cumple")</f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63"/>
        <v>6</v>
      </c>
    </row>
    <row r="8390" spans="1:8" x14ac:dyDescent="0.2">
      <c r="A8390" t="s">
        <v>7</v>
      </c>
      <c r="B8390" t="s">
        <v>27</v>
      </c>
      <c r="C8390" t="str">
        <f t="shared" si="264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63"/>
        <v>6</v>
      </c>
    </row>
    <row r="8391" spans="1:8" x14ac:dyDescent="0.2">
      <c r="A8391" t="s">
        <v>7</v>
      </c>
      <c r="B8391" t="s">
        <v>27</v>
      </c>
      <c r="C8391" t="str">
        <f t="shared" si="264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63"/>
        <v>6</v>
      </c>
    </row>
    <row r="8392" spans="1:8" x14ac:dyDescent="0.2">
      <c r="A8392" t="s">
        <v>7</v>
      </c>
      <c r="B8392" t="s">
        <v>27</v>
      </c>
      <c r="C8392" t="str">
        <f t="shared" si="264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63"/>
        <v>11</v>
      </c>
    </row>
    <row r="8393" spans="1:8" x14ac:dyDescent="0.2">
      <c r="A8393" t="s">
        <v>7</v>
      </c>
      <c r="B8393" t="s">
        <v>27</v>
      </c>
      <c r="C8393" t="str">
        <f t="shared" si="264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63"/>
        <v>11</v>
      </c>
    </row>
    <row r="8394" spans="1:8" x14ac:dyDescent="0.2">
      <c r="A8394" t="s">
        <v>7</v>
      </c>
      <c r="B8394" t="s">
        <v>27</v>
      </c>
      <c r="C8394" t="str">
        <f t="shared" si="264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63"/>
        <v>6</v>
      </c>
    </row>
    <row r="8395" spans="1:8" x14ac:dyDescent="0.2">
      <c r="A8395" t="s">
        <v>7</v>
      </c>
      <c r="B8395" t="s">
        <v>27</v>
      </c>
      <c r="C8395" t="str">
        <f t="shared" si="264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63"/>
        <v>5</v>
      </c>
    </row>
    <row r="8396" spans="1:8" x14ac:dyDescent="0.2">
      <c r="A8396" t="s">
        <v>7</v>
      </c>
      <c r="B8396" t="s">
        <v>27</v>
      </c>
      <c r="C8396" t="str">
        <f t="shared" si="264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63"/>
        <v>5</v>
      </c>
    </row>
    <row r="8397" spans="1:8" x14ac:dyDescent="0.2">
      <c r="A8397" t="s">
        <v>7</v>
      </c>
      <c r="B8397" t="s">
        <v>27</v>
      </c>
      <c r="C8397" t="str">
        <f t="shared" si="264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63"/>
        <v>5</v>
      </c>
    </row>
    <row r="8398" spans="1:8" x14ac:dyDescent="0.2">
      <c r="A8398" t="s">
        <v>7</v>
      </c>
      <c r="B8398" t="s">
        <v>27</v>
      </c>
      <c r="C8398" t="str">
        <f t="shared" si="264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63"/>
        <v>5</v>
      </c>
    </row>
    <row r="8399" spans="1:8" x14ac:dyDescent="0.2">
      <c r="A8399" t="s">
        <v>7</v>
      </c>
      <c r="B8399" t="s">
        <v>27</v>
      </c>
      <c r="C8399" t="str">
        <f t="shared" si="264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63"/>
        <v>5</v>
      </c>
    </row>
    <row r="8400" spans="1:8" x14ac:dyDescent="0.2">
      <c r="A8400" t="s">
        <v>7</v>
      </c>
      <c r="B8400" t="s">
        <v>27</v>
      </c>
      <c r="C8400" t="str">
        <f t="shared" si="264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63"/>
        <v>5</v>
      </c>
    </row>
    <row r="8401" spans="1:8" x14ac:dyDescent="0.2">
      <c r="A8401" t="s">
        <v>7</v>
      </c>
      <c r="B8401" t="s">
        <v>27</v>
      </c>
      <c r="C8401" t="str">
        <f t="shared" si="264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63"/>
        <v>5</v>
      </c>
    </row>
    <row r="8402" spans="1:8" x14ac:dyDescent="0.2">
      <c r="A8402" t="s">
        <v>7</v>
      </c>
      <c r="B8402" t="s">
        <v>27</v>
      </c>
      <c r="C8402" t="str">
        <f t="shared" si="264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63"/>
        <v>10</v>
      </c>
    </row>
    <row r="8403" spans="1:8" x14ac:dyDescent="0.2">
      <c r="A8403" t="s">
        <v>7</v>
      </c>
      <c r="B8403" t="s">
        <v>27</v>
      </c>
      <c r="C8403" t="str">
        <f t="shared" si="264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63"/>
        <v>10</v>
      </c>
    </row>
    <row r="8404" spans="1:8" x14ac:dyDescent="0.2">
      <c r="A8404" t="s">
        <v>7</v>
      </c>
      <c r="B8404" t="s">
        <v>27</v>
      </c>
      <c r="C8404" t="str">
        <f t="shared" si="264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63"/>
        <v>4</v>
      </c>
    </row>
    <row r="8405" spans="1:8" x14ac:dyDescent="0.2">
      <c r="A8405" t="s">
        <v>7</v>
      </c>
      <c r="B8405" t="s">
        <v>27</v>
      </c>
      <c r="C8405" t="str">
        <f t="shared" si="264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63"/>
        <v>4</v>
      </c>
    </row>
    <row r="8406" spans="1:8" x14ac:dyDescent="0.2">
      <c r="A8406" t="s">
        <v>7</v>
      </c>
      <c r="B8406" t="s">
        <v>27</v>
      </c>
      <c r="C8406" t="str">
        <f t="shared" si="264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63"/>
        <v>4</v>
      </c>
    </row>
    <row r="8407" spans="1:8" x14ac:dyDescent="0.2">
      <c r="A8407" t="s">
        <v>7</v>
      </c>
      <c r="B8407" t="s">
        <v>27</v>
      </c>
      <c r="C8407" t="str">
        <f t="shared" si="264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63"/>
        <v>9</v>
      </c>
    </row>
    <row r="8408" spans="1:8" x14ac:dyDescent="0.2">
      <c r="A8408" t="s">
        <v>7</v>
      </c>
      <c r="B8408" t="s">
        <v>27</v>
      </c>
      <c r="C8408" t="str">
        <f t="shared" si="264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63"/>
        <v>4</v>
      </c>
    </row>
    <row r="8409" spans="1:8" x14ac:dyDescent="0.2">
      <c r="A8409" t="s">
        <v>7</v>
      </c>
      <c r="B8409" t="s">
        <v>27</v>
      </c>
      <c r="C8409" t="str">
        <f t="shared" si="264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63"/>
        <v>4</v>
      </c>
    </row>
    <row r="8410" spans="1:8" x14ac:dyDescent="0.2">
      <c r="A8410" t="s">
        <v>7</v>
      </c>
      <c r="B8410" t="s">
        <v>27</v>
      </c>
      <c r="C8410" t="str">
        <f t="shared" si="264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63"/>
        <v>8</v>
      </c>
    </row>
    <row r="8411" spans="1:8" x14ac:dyDescent="0.2">
      <c r="A8411" t="s">
        <v>7</v>
      </c>
      <c r="B8411" t="s">
        <v>27</v>
      </c>
      <c r="C8411" t="str">
        <f t="shared" si="264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63"/>
        <v>3</v>
      </c>
    </row>
    <row r="8412" spans="1:8" x14ac:dyDescent="0.2">
      <c r="A8412" t="s">
        <v>7</v>
      </c>
      <c r="B8412" t="s">
        <v>27</v>
      </c>
      <c r="C8412" t="str">
        <f t="shared" si="264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63"/>
        <v>3</v>
      </c>
    </row>
    <row r="8413" spans="1:8" x14ac:dyDescent="0.2">
      <c r="A8413" t="s">
        <v>7</v>
      </c>
      <c r="B8413" t="s">
        <v>27</v>
      </c>
      <c r="C8413" t="str">
        <f t="shared" si="264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63"/>
        <v>3</v>
      </c>
    </row>
    <row r="8414" spans="1:8" x14ac:dyDescent="0.2">
      <c r="A8414" t="s">
        <v>7</v>
      </c>
      <c r="B8414" t="s">
        <v>27</v>
      </c>
      <c r="C8414" t="str">
        <f t="shared" si="264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63"/>
        <v>3</v>
      </c>
    </row>
    <row r="8415" spans="1:8" x14ac:dyDescent="0.2">
      <c r="A8415" t="s">
        <v>7</v>
      </c>
      <c r="B8415" t="s">
        <v>27</v>
      </c>
      <c r="C8415" t="str">
        <f t="shared" si="264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63"/>
        <v>8</v>
      </c>
    </row>
    <row r="8416" spans="1:8" x14ac:dyDescent="0.2">
      <c r="A8416" t="s">
        <v>7</v>
      </c>
      <c r="B8416" t="s">
        <v>27</v>
      </c>
      <c r="C8416" t="str">
        <f t="shared" si="264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63"/>
        <v>3</v>
      </c>
    </row>
    <row r="8417" spans="1:8" x14ac:dyDescent="0.2">
      <c r="A8417" t="s">
        <v>7</v>
      </c>
      <c r="B8417" t="s">
        <v>27</v>
      </c>
      <c r="C8417" t="str">
        <f t="shared" si="264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63"/>
        <v>3</v>
      </c>
    </row>
    <row r="8418" spans="1:8" x14ac:dyDescent="0.2">
      <c r="A8418" t="s">
        <v>7</v>
      </c>
      <c r="B8418" t="s">
        <v>27</v>
      </c>
      <c r="C8418" t="str">
        <f t="shared" si="264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63"/>
        <v>2</v>
      </c>
    </row>
    <row r="8419" spans="1:8" x14ac:dyDescent="0.2">
      <c r="A8419" t="s">
        <v>7</v>
      </c>
      <c r="B8419" t="s">
        <v>27</v>
      </c>
      <c r="C8419" t="str">
        <f t="shared" si="264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63"/>
        <v>7</v>
      </c>
    </row>
    <row r="8420" spans="1:8" x14ac:dyDescent="0.2">
      <c r="A8420" t="s">
        <v>7</v>
      </c>
      <c r="B8420" t="s">
        <v>27</v>
      </c>
      <c r="C8420" t="str">
        <f t="shared" si="264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63"/>
        <v>2</v>
      </c>
    </row>
    <row r="8421" spans="1:8" x14ac:dyDescent="0.2">
      <c r="A8421" t="s">
        <v>7</v>
      </c>
      <c r="B8421" t="s">
        <v>27</v>
      </c>
      <c r="C8421" t="str">
        <f t="shared" si="264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63"/>
        <v>7</v>
      </c>
    </row>
    <row r="8422" spans="1:8" x14ac:dyDescent="0.2">
      <c r="A8422" t="s">
        <v>7</v>
      </c>
      <c r="B8422" t="s">
        <v>27</v>
      </c>
      <c r="C8422" t="str">
        <f t="shared" si="264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63"/>
        <v>2</v>
      </c>
    </row>
    <row r="8423" spans="1:8" x14ac:dyDescent="0.2">
      <c r="A8423" t="s">
        <v>7</v>
      </c>
      <c r="B8423" t="s">
        <v>27</v>
      </c>
      <c r="C8423" t="str">
        <f t="shared" si="264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63"/>
        <v>2</v>
      </c>
    </row>
    <row r="8424" spans="1:8" x14ac:dyDescent="0.2">
      <c r="A8424" t="s">
        <v>7</v>
      </c>
      <c r="B8424" t="s">
        <v>27</v>
      </c>
      <c r="C8424" t="str">
        <f t="shared" si="264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63"/>
        <v>1</v>
      </c>
    </row>
    <row r="8425" spans="1:8" x14ac:dyDescent="0.2">
      <c r="A8425" t="s">
        <v>7</v>
      </c>
      <c r="B8425" t="s">
        <v>27</v>
      </c>
      <c r="C8425" t="str">
        <f t="shared" si="264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63"/>
        <v>1</v>
      </c>
    </row>
    <row r="8426" spans="1:8" x14ac:dyDescent="0.2">
      <c r="A8426" t="s">
        <v>7</v>
      </c>
      <c r="B8426" t="s">
        <v>27</v>
      </c>
      <c r="C8426" t="str">
        <f t="shared" si="264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63"/>
        <v>6</v>
      </c>
    </row>
    <row r="8427" spans="1:8" x14ac:dyDescent="0.2">
      <c r="A8427" t="s">
        <v>7</v>
      </c>
      <c r="B8427" t="s">
        <v>27</v>
      </c>
      <c r="C8427" t="str">
        <f t="shared" si="264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63"/>
        <v>1</v>
      </c>
    </row>
    <row r="8428" spans="1:8" x14ac:dyDescent="0.2">
      <c r="A8428" t="s">
        <v>7</v>
      </c>
      <c r="B8428" t="s">
        <v>27</v>
      </c>
      <c r="C8428" t="str">
        <f t="shared" si="264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63"/>
        <v>0</v>
      </c>
    </row>
    <row r="8429" spans="1:8" x14ac:dyDescent="0.2">
      <c r="A8429" t="s">
        <v>7</v>
      </c>
      <c r="B8429" t="s">
        <v>27</v>
      </c>
      <c r="C8429" t="str">
        <f t="shared" si="264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63"/>
        <v>0</v>
      </c>
    </row>
    <row r="8430" spans="1:8" x14ac:dyDescent="0.2">
      <c r="A8430" t="s">
        <v>7</v>
      </c>
      <c r="B8430" t="s">
        <v>27</v>
      </c>
      <c r="C8430" t="str">
        <f t="shared" si="264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63"/>
        <v>0</v>
      </c>
    </row>
    <row r="8431" spans="1:8" x14ac:dyDescent="0.2">
      <c r="A8431" t="s">
        <v>7</v>
      </c>
      <c r="B8431" t="s">
        <v>27</v>
      </c>
      <c r="C8431" t="str">
        <f t="shared" si="264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63"/>
        <v>5</v>
      </c>
    </row>
    <row r="8432" spans="1:8" x14ac:dyDescent="0.2">
      <c r="A8432" t="s">
        <v>21</v>
      </c>
      <c r="B8432" t="s">
        <v>27</v>
      </c>
      <c r="C8432" t="str">
        <f t="shared" si="264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63"/>
        <v>0</v>
      </c>
    </row>
    <row r="8433" spans="1:8" x14ac:dyDescent="0.2">
      <c r="A8433" t="s">
        <v>7</v>
      </c>
      <c r="B8433" t="s">
        <v>27</v>
      </c>
      <c r="C8433" t="str">
        <f t="shared" si="264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63"/>
        <v>4</v>
      </c>
    </row>
    <row r="8434" spans="1:8" x14ac:dyDescent="0.2">
      <c r="A8434" t="s">
        <v>7</v>
      </c>
      <c r="B8434" t="s">
        <v>27</v>
      </c>
      <c r="C8434" t="str">
        <f t="shared" si="264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63"/>
        <v>-1</v>
      </c>
    </row>
    <row r="8435" spans="1:8" x14ac:dyDescent="0.2">
      <c r="A8435" t="s">
        <v>7</v>
      </c>
      <c r="B8435" t="s">
        <v>27</v>
      </c>
      <c r="C8435" t="str">
        <f t="shared" si="264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63"/>
        <v>4</v>
      </c>
    </row>
    <row r="8436" spans="1:8" x14ac:dyDescent="0.2">
      <c r="A8436" t="s">
        <v>7</v>
      </c>
      <c r="B8436" t="s">
        <v>27</v>
      </c>
      <c r="C8436" t="str">
        <f t="shared" si="264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63"/>
        <v>-1</v>
      </c>
    </row>
    <row r="8437" spans="1:8" x14ac:dyDescent="0.2">
      <c r="A8437" t="s">
        <v>7</v>
      </c>
      <c r="B8437" t="s">
        <v>27</v>
      </c>
      <c r="C8437" t="str">
        <f t="shared" si="264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63"/>
        <v>-2</v>
      </c>
    </row>
    <row r="8438" spans="1:8" x14ac:dyDescent="0.2">
      <c r="A8438" t="s">
        <v>7</v>
      </c>
      <c r="B8438" t="s">
        <v>27</v>
      </c>
      <c r="C8438" t="str">
        <f t="shared" si="264"/>
        <v>No cumple</v>
      </c>
      <c r="D8438">
        <v>3726</v>
      </c>
      <c r="E8438" t="s">
        <v>11</v>
      </c>
      <c r="F8438">
        <v>18</v>
      </c>
      <c r="G8438">
        <v>20</v>
      </c>
      <c r="H8438">
        <f t="shared" si="263"/>
        <v>-2</v>
      </c>
    </row>
    <row r="8439" spans="1:8" x14ac:dyDescent="0.2">
      <c r="A8439" t="s">
        <v>7</v>
      </c>
      <c r="B8439" t="s">
        <v>27</v>
      </c>
      <c r="C8439" t="str">
        <f t="shared" si="264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63"/>
        <v>3</v>
      </c>
    </row>
    <row r="8440" spans="1:8" x14ac:dyDescent="0.2">
      <c r="A8440" t="s">
        <v>7</v>
      </c>
      <c r="B8440" t="s">
        <v>27</v>
      </c>
      <c r="C8440" t="str">
        <f t="shared" si="264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63"/>
        <v>3</v>
      </c>
    </row>
    <row r="8441" spans="1:8" x14ac:dyDescent="0.2">
      <c r="A8441" t="s">
        <v>7</v>
      </c>
      <c r="B8441" t="s">
        <v>27</v>
      </c>
      <c r="C8441" t="str">
        <f t="shared" si="264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63"/>
        <v>2</v>
      </c>
    </row>
    <row r="8442" spans="1:8" x14ac:dyDescent="0.2">
      <c r="A8442" t="s">
        <v>7</v>
      </c>
      <c r="B8442" t="s">
        <v>27</v>
      </c>
      <c r="C8442" t="str">
        <f t="shared" si="264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63"/>
        <v>-3</v>
      </c>
    </row>
    <row r="8443" spans="1:8" x14ac:dyDescent="0.2">
      <c r="A8443" t="s">
        <v>7</v>
      </c>
      <c r="B8443" t="s">
        <v>27</v>
      </c>
      <c r="C8443" t="str">
        <f t="shared" si="264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63"/>
        <v>-3</v>
      </c>
    </row>
    <row r="8444" spans="1:8" x14ac:dyDescent="0.2">
      <c r="A8444" t="s">
        <v>7</v>
      </c>
      <c r="B8444" t="s">
        <v>27</v>
      </c>
      <c r="C8444" t="str">
        <f t="shared" si="264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63"/>
        <v>2</v>
      </c>
    </row>
    <row r="8445" spans="1:8" x14ac:dyDescent="0.2">
      <c r="A8445" t="s">
        <v>7</v>
      </c>
      <c r="B8445" t="s">
        <v>27</v>
      </c>
      <c r="C8445" t="str">
        <f t="shared" si="264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63"/>
        <v>2</v>
      </c>
    </row>
    <row r="8446" spans="1:8" x14ac:dyDescent="0.2">
      <c r="A8446" t="s">
        <v>7</v>
      </c>
      <c r="B8446" t="s">
        <v>27</v>
      </c>
      <c r="C8446" t="str">
        <f t="shared" si="264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63"/>
        <v>1</v>
      </c>
    </row>
    <row r="8447" spans="1:8" x14ac:dyDescent="0.2">
      <c r="A8447" t="s">
        <v>7</v>
      </c>
      <c r="B8447" t="s">
        <v>27</v>
      </c>
      <c r="C8447" t="str">
        <f t="shared" si="264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63"/>
        <v>1</v>
      </c>
    </row>
    <row r="8448" spans="1:8" x14ac:dyDescent="0.2">
      <c r="A8448" t="s">
        <v>7</v>
      </c>
      <c r="B8448" t="s">
        <v>27</v>
      </c>
      <c r="C8448" t="str">
        <f t="shared" si="264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63"/>
        <v>-4</v>
      </c>
    </row>
    <row r="8449" spans="1:8" x14ac:dyDescent="0.2">
      <c r="A8449" t="s">
        <v>7</v>
      </c>
      <c r="B8449" t="s">
        <v>27</v>
      </c>
      <c r="C8449" t="str">
        <f t="shared" si="264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63"/>
        <v>1</v>
      </c>
    </row>
    <row r="8450" spans="1:8" x14ac:dyDescent="0.2">
      <c r="A8450" t="s">
        <v>7</v>
      </c>
      <c r="B8450" t="s">
        <v>27</v>
      </c>
      <c r="C8450" t="str">
        <f t="shared" si="264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63"/>
        <v>0</v>
      </c>
    </row>
    <row r="8451" spans="1:8" x14ac:dyDescent="0.2">
      <c r="A8451" t="s">
        <v>7</v>
      </c>
      <c r="B8451" t="s">
        <v>27</v>
      </c>
      <c r="C8451" t="str">
        <f t="shared" si="264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ref="H8451:H8514" si="265">F8451-G8451</f>
        <v>1</v>
      </c>
    </row>
    <row r="8452" spans="1:8" x14ac:dyDescent="0.2">
      <c r="A8452" t="s">
        <v>7</v>
      </c>
      <c r="B8452" t="s">
        <v>27</v>
      </c>
      <c r="C8452" t="str">
        <f t="shared" si="264"/>
        <v>No cumple</v>
      </c>
      <c r="D8452">
        <v>3924</v>
      </c>
      <c r="E8452" s="19" t="s">
        <v>12</v>
      </c>
      <c r="F8452">
        <v>16</v>
      </c>
      <c r="G8452">
        <v>20</v>
      </c>
      <c r="H8452">
        <f t="shared" si="265"/>
        <v>-4</v>
      </c>
    </row>
    <row r="8453" spans="1:8" x14ac:dyDescent="0.2">
      <c r="A8453" t="s">
        <v>7</v>
      </c>
      <c r="B8453" t="s">
        <v>27</v>
      </c>
      <c r="C8453" t="str">
        <f t="shared" ref="C8453:C8516" si="266">IF(H8453&gt;=0,"Cumple","No cumple")</f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65"/>
        <v>1</v>
      </c>
    </row>
    <row r="8454" spans="1:8" x14ac:dyDescent="0.2">
      <c r="A8454" t="s">
        <v>7</v>
      </c>
      <c r="B8454" t="s">
        <v>27</v>
      </c>
      <c r="C8454" t="str">
        <f t="shared" si="266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65"/>
        <v>0</v>
      </c>
    </row>
    <row r="8455" spans="1:8" x14ac:dyDescent="0.2">
      <c r="A8455" t="s">
        <v>7</v>
      </c>
      <c r="B8455" t="s">
        <v>27</v>
      </c>
      <c r="C8455" t="str">
        <f t="shared" si="266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65"/>
        <v>0</v>
      </c>
    </row>
    <row r="8456" spans="1:8" x14ac:dyDescent="0.2">
      <c r="A8456" t="s">
        <v>7</v>
      </c>
      <c r="B8456" t="s">
        <v>27</v>
      </c>
      <c r="C8456" t="str">
        <f t="shared" si="266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65"/>
        <v>0</v>
      </c>
    </row>
    <row r="8457" spans="1:8" x14ac:dyDescent="0.2">
      <c r="A8457" t="s">
        <v>7</v>
      </c>
      <c r="B8457" t="s">
        <v>27</v>
      </c>
      <c r="C8457" t="str">
        <f t="shared" si="266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65"/>
        <v>0</v>
      </c>
    </row>
    <row r="8458" spans="1:8" x14ac:dyDescent="0.2">
      <c r="A8458" t="s">
        <v>7</v>
      </c>
      <c r="B8458" t="s">
        <v>27</v>
      </c>
      <c r="C8458" t="str">
        <f t="shared" si="266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65"/>
        <v>-1</v>
      </c>
    </row>
    <row r="8459" spans="1:8" x14ac:dyDescent="0.2">
      <c r="A8459" t="s">
        <v>7</v>
      </c>
      <c r="B8459" t="s">
        <v>27</v>
      </c>
      <c r="C8459" t="str">
        <f t="shared" si="266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65"/>
        <v>-1</v>
      </c>
    </row>
    <row r="8460" spans="1:8" x14ac:dyDescent="0.2">
      <c r="A8460" t="s">
        <v>7</v>
      </c>
      <c r="B8460" t="s">
        <v>27</v>
      </c>
      <c r="C8460" t="str">
        <f t="shared" si="266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65"/>
        <v>-1</v>
      </c>
    </row>
    <row r="8461" spans="1:8" x14ac:dyDescent="0.2">
      <c r="A8461" t="s">
        <v>7</v>
      </c>
      <c r="B8461" t="s">
        <v>27</v>
      </c>
      <c r="C8461" t="str">
        <f t="shared" si="266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65"/>
        <v>-2</v>
      </c>
    </row>
    <row r="8462" spans="1:8" x14ac:dyDescent="0.2">
      <c r="A8462" t="s">
        <v>7</v>
      </c>
      <c r="B8462" t="s">
        <v>27</v>
      </c>
      <c r="C8462" t="str">
        <f t="shared" si="266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65"/>
        <v>-2</v>
      </c>
    </row>
    <row r="8463" spans="1:8" x14ac:dyDescent="0.2">
      <c r="A8463" t="s">
        <v>7</v>
      </c>
      <c r="B8463" t="s">
        <v>27</v>
      </c>
      <c r="C8463" t="str">
        <f t="shared" si="266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65"/>
        <v>-7</v>
      </c>
    </row>
    <row r="8464" spans="1:8" x14ac:dyDescent="0.2">
      <c r="A8464" t="s">
        <v>7</v>
      </c>
      <c r="B8464" t="s">
        <v>27</v>
      </c>
      <c r="C8464" t="str">
        <f t="shared" si="266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65"/>
        <v>-8</v>
      </c>
    </row>
    <row r="8465" spans="1:8" x14ac:dyDescent="0.2">
      <c r="A8465" t="s">
        <v>7</v>
      </c>
      <c r="B8465" t="s">
        <v>27</v>
      </c>
      <c r="C8465" t="str">
        <f t="shared" si="266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65"/>
        <v>-3</v>
      </c>
    </row>
    <row r="8466" spans="1:8" x14ac:dyDescent="0.2">
      <c r="A8466" t="s">
        <v>7</v>
      </c>
      <c r="B8466" t="s">
        <v>27</v>
      </c>
      <c r="C8466" t="str">
        <f t="shared" si="266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65"/>
        <v>-3</v>
      </c>
    </row>
    <row r="8467" spans="1:8" x14ac:dyDescent="0.2">
      <c r="A8467" t="s">
        <v>7</v>
      </c>
      <c r="B8467" t="s">
        <v>27</v>
      </c>
      <c r="C8467" t="str">
        <f t="shared" si="266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65"/>
        <v>-3</v>
      </c>
    </row>
    <row r="8468" spans="1:8" x14ac:dyDescent="0.2">
      <c r="A8468" t="s">
        <v>7</v>
      </c>
      <c r="B8468" t="s">
        <v>27</v>
      </c>
      <c r="C8468" t="str">
        <f t="shared" si="266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65"/>
        <v>-3</v>
      </c>
    </row>
    <row r="8469" spans="1:8" x14ac:dyDescent="0.2">
      <c r="A8469" t="s">
        <v>7</v>
      </c>
      <c r="B8469" t="s">
        <v>27</v>
      </c>
      <c r="C8469" t="str">
        <f t="shared" si="266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65"/>
        <v>-4</v>
      </c>
    </row>
    <row r="8470" spans="1:8" x14ac:dyDescent="0.2">
      <c r="A8470" t="s">
        <v>7</v>
      </c>
      <c r="B8470" t="s">
        <v>27</v>
      </c>
      <c r="C8470" t="str">
        <f t="shared" si="266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65"/>
        <v>-4</v>
      </c>
    </row>
    <row r="8471" spans="1:8" x14ac:dyDescent="0.2">
      <c r="A8471" t="s">
        <v>7</v>
      </c>
      <c r="B8471" t="s">
        <v>27</v>
      </c>
      <c r="C8471" t="str">
        <f t="shared" si="266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65"/>
        <v>-4</v>
      </c>
    </row>
    <row r="8472" spans="1:8" x14ac:dyDescent="0.2">
      <c r="A8472" t="s">
        <v>7</v>
      </c>
      <c r="B8472" t="s">
        <v>27</v>
      </c>
      <c r="C8472" t="str">
        <f t="shared" si="266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65"/>
        <v>-10</v>
      </c>
    </row>
    <row r="8473" spans="1:8" x14ac:dyDescent="0.2">
      <c r="A8473" t="s">
        <v>7</v>
      </c>
      <c r="B8473" t="s">
        <v>27</v>
      </c>
      <c r="C8473" t="str">
        <f t="shared" si="266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65"/>
        <v>-5</v>
      </c>
    </row>
    <row r="8474" spans="1:8" x14ac:dyDescent="0.2">
      <c r="A8474" t="s">
        <v>7</v>
      </c>
      <c r="B8474" t="s">
        <v>27</v>
      </c>
      <c r="C8474" t="str">
        <f t="shared" si="266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65"/>
        <v>-5</v>
      </c>
    </row>
    <row r="8475" spans="1:8" x14ac:dyDescent="0.2">
      <c r="A8475" t="s">
        <v>7</v>
      </c>
      <c r="B8475" t="s">
        <v>27</v>
      </c>
      <c r="C8475" t="str">
        <f t="shared" si="266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65"/>
        <v>-5</v>
      </c>
    </row>
    <row r="8476" spans="1:8" x14ac:dyDescent="0.2">
      <c r="A8476" t="s">
        <v>7</v>
      </c>
      <c r="B8476" t="s">
        <v>27</v>
      </c>
      <c r="C8476" t="str">
        <f t="shared" si="266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65"/>
        <v>-10</v>
      </c>
    </row>
    <row r="8477" spans="1:8" x14ac:dyDescent="0.2">
      <c r="A8477" t="s">
        <v>7</v>
      </c>
      <c r="B8477" t="s">
        <v>27</v>
      </c>
      <c r="C8477" t="str">
        <f t="shared" si="266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65"/>
        <v>-5</v>
      </c>
    </row>
    <row r="8478" spans="1:8" x14ac:dyDescent="0.2">
      <c r="A8478" t="s">
        <v>7</v>
      </c>
      <c r="B8478" t="s">
        <v>27</v>
      </c>
      <c r="C8478" t="str">
        <f t="shared" si="266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65"/>
        <v>-5</v>
      </c>
    </row>
    <row r="8479" spans="1:8" x14ac:dyDescent="0.2">
      <c r="A8479" t="s">
        <v>7</v>
      </c>
      <c r="B8479" t="s">
        <v>27</v>
      </c>
      <c r="C8479" t="str">
        <f t="shared" si="266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65"/>
        <v>-5</v>
      </c>
    </row>
    <row r="8480" spans="1:8" x14ac:dyDescent="0.2">
      <c r="A8480" t="s">
        <v>7</v>
      </c>
      <c r="B8480" t="s">
        <v>27</v>
      </c>
      <c r="C8480" t="str">
        <f t="shared" si="266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65"/>
        <v>-6</v>
      </c>
    </row>
    <row r="8481" spans="1:8" x14ac:dyDescent="0.2">
      <c r="A8481" t="s">
        <v>7</v>
      </c>
      <c r="B8481" t="s">
        <v>27</v>
      </c>
      <c r="C8481" t="str">
        <f t="shared" si="266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65"/>
        <v>-11</v>
      </c>
    </row>
    <row r="8482" spans="1:8" x14ac:dyDescent="0.2">
      <c r="A8482" t="s">
        <v>7</v>
      </c>
      <c r="B8482" t="s">
        <v>27</v>
      </c>
      <c r="C8482" t="str">
        <f t="shared" si="266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65"/>
        <v>-11</v>
      </c>
    </row>
    <row r="8483" spans="1:8" x14ac:dyDescent="0.2">
      <c r="A8483" t="s">
        <v>7</v>
      </c>
      <c r="B8483" t="s">
        <v>27</v>
      </c>
      <c r="C8483" t="str">
        <f t="shared" si="266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65"/>
        <v>-7</v>
      </c>
    </row>
    <row r="8484" spans="1:8" x14ac:dyDescent="0.2">
      <c r="A8484" t="s">
        <v>7</v>
      </c>
      <c r="B8484" t="s">
        <v>27</v>
      </c>
      <c r="C8484" t="str">
        <f t="shared" si="266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65"/>
        <v>-7</v>
      </c>
    </row>
    <row r="8485" spans="1:8" x14ac:dyDescent="0.2">
      <c r="A8485" t="s">
        <v>7</v>
      </c>
      <c r="B8485" t="s">
        <v>27</v>
      </c>
      <c r="C8485" t="str">
        <f t="shared" si="266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65"/>
        <v>0</v>
      </c>
    </row>
    <row r="8486" spans="1:8" x14ac:dyDescent="0.2">
      <c r="A8486" t="s">
        <v>7</v>
      </c>
      <c r="B8486" t="s">
        <v>27</v>
      </c>
      <c r="C8486" t="str">
        <f t="shared" si="266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65"/>
        <v>-7</v>
      </c>
    </row>
    <row r="8487" spans="1:8" x14ac:dyDescent="0.2">
      <c r="A8487" t="s">
        <v>7</v>
      </c>
      <c r="B8487" t="s">
        <v>27</v>
      </c>
      <c r="C8487" t="str">
        <f t="shared" si="266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65"/>
        <v>-8</v>
      </c>
    </row>
    <row r="8488" spans="1:8" x14ac:dyDescent="0.2">
      <c r="A8488" t="s">
        <v>7</v>
      </c>
      <c r="B8488" t="s">
        <v>27</v>
      </c>
      <c r="C8488" t="str">
        <f t="shared" si="266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65"/>
        <v>-8</v>
      </c>
    </row>
    <row r="8489" spans="1:8" x14ac:dyDescent="0.2">
      <c r="A8489" t="s">
        <v>7</v>
      </c>
      <c r="B8489" t="s">
        <v>27</v>
      </c>
      <c r="C8489" t="str">
        <f t="shared" si="266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65"/>
        <v>-8</v>
      </c>
    </row>
    <row r="8490" spans="1:8" x14ac:dyDescent="0.2">
      <c r="A8490" t="s">
        <v>7</v>
      </c>
      <c r="B8490" t="s">
        <v>27</v>
      </c>
      <c r="C8490" t="str">
        <f t="shared" si="266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65"/>
        <v>-8</v>
      </c>
    </row>
    <row r="8491" spans="1:8" x14ac:dyDescent="0.2">
      <c r="A8491" t="s">
        <v>7</v>
      </c>
      <c r="B8491" t="s">
        <v>27</v>
      </c>
      <c r="C8491" t="str">
        <f t="shared" si="266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65"/>
        <v>-8</v>
      </c>
    </row>
    <row r="8492" spans="1:8" x14ac:dyDescent="0.2">
      <c r="A8492" t="s">
        <v>7</v>
      </c>
      <c r="B8492" t="s">
        <v>27</v>
      </c>
      <c r="C8492" t="str">
        <f t="shared" si="266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65"/>
        <v>-9</v>
      </c>
    </row>
    <row r="8493" spans="1:8" x14ac:dyDescent="0.2">
      <c r="A8493" t="s">
        <v>7</v>
      </c>
      <c r="B8493" t="s">
        <v>27</v>
      </c>
      <c r="C8493" t="str">
        <f t="shared" si="266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65"/>
        <v>-9</v>
      </c>
    </row>
    <row r="8494" spans="1:8" x14ac:dyDescent="0.2">
      <c r="A8494" t="s">
        <v>7</v>
      </c>
      <c r="B8494" t="s">
        <v>27</v>
      </c>
      <c r="C8494" t="str">
        <f t="shared" si="266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65"/>
        <v>-11</v>
      </c>
    </row>
    <row r="8495" spans="1:8" x14ac:dyDescent="0.2">
      <c r="A8495" t="s">
        <v>7</v>
      </c>
      <c r="B8495" t="s">
        <v>27</v>
      </c>
      <c r="C8495" t="str">
        <f t="shared" si="266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65"/>
        <v>-11</v>
      </c>
    </row>
    <row r="8496" spans="1:8" x14ac:dyDescent="0.2">
      <c r="A8496" t="s">
        <v>7</v>
      </c>
      <c r="B8496" t="s">
        <v>27</v>
      </c>
      <c r="C8496" t="str">
        <f t="shared" si="266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65"/>
        <v>-12</v>
      </c>
    </row>
    <row r="8497" spans="1:8" x14ac:dyDescent="0.2">
      <c r="A8497" t="s">
        <v>7</v>
      </c>
      <c r="B8497" t="s">
        <v>27</v>
      </c>
      <c r="C8497" t="str">
        <f t="shared" si="266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65"/>
        <v>-12</v>
      </c>
    </row>
    <row r="8498" spans="1:8" x14ac:dyDescent="0.2">
      <c r="A8498" t="s">
        <v>7</v>
      </c>
      <c r="B8498" t="s">
        <v>27</v>
      </c>
      <c r="C8498" t="str">
        <f t="shared" si="266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65"/>
        <v>-12</v>
      </c>
    </row>
    <row r="8499" spans="1:8" x14ac:dyDescent="0.2">
      <c r="A8499" t="s">
        <v>7</v>
      </c>
      <c r="B8499" t="s">
        <v>27</v>
      </c>
      <c r="C8499" t="str">
        <f t="shared" si="266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65"/>
        <v>-17</v>
      </c>
    </row>
    <row r="8500" spans="1:8" x14ac:dyDescent="0.2">
      <c r="A8500" t="s">
        <v>18</v>
      </c>
      <c r="B8500" t="s">
        <v>27</v>
      </c>
      <c r="C8500" t="str">
        <f t="shared" si="266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65"/>
        <v>-12</v>
      </c>
    </row>
    <row r="8501" spans="1:8" x14ac:dyDescent="0.2">
      <c r="A8501" t="s">
        <v>18</v>
      </c>
      <c r="B8501" t="s">
        <v>27</v>
      </c>
      <c r="C8501" t="str">
        <f t="shared" si="266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65"/>
        <v>-13</v>
      </c>
    </row>
    <row r="8502" spans="1:8" x14ac:dyDescent="0.2">
      <c r="A8502" t="s">
        <v>7</v>
      </c>
      <c r="B8502" t="s">
        <v>27</v>
      </c>
      <c r="C8502" t="str">
        <f t="shared" si="266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65"/>
        <v>-13</v>
      </c>
    </row>
    <row r="8503" spans="1:8" x14ac:dyDescent="0.2">
      <c r="A8503" t="s">
        <v>7</v>
      </c>
      <c r="B8503" t="s">
        <v>27</v>
      </c>
      <c r="C8503" t="str">
        <f t="shared" si="266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65"/>
        <v>-13</v>
      </c>
    </row>
    <row r="8504" spans="1:8" x14ac:dyDescent="0.2">
      <c r="A8504" t="s">
        <v>7</v>
      </c>
      <c r="B8504" t="s">
        <v>27</v>
      </c>
      <c r="C8504" t="str">
        <f t="shared" si="266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65"/>
        <v>-13</v>
      </c>
    </row>
    <row r="8505" spans="1:8" x14ac:dyDescent="0.2">
      <c r="A8505" t="s">
        <v>7</v>
      </c>
      <c r="B8505" t="s">
        <v>27</v>
      </c>
      <c r="C8505" t="str">
        <f t="shared" si="266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65"/>
        <v>-13</v>
      </c>
    </row>
    <row r="8506" spans="1:8" x14ac:dyDescent="0.2">
      <c r="A8506" t="s">
        <v>7</v>
      </c>
      <c r="B8506" t="s">
        <v>27</v>
      </c>
      <c r="C8506" t="str">
        <f t="shared" si="266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65"/>
        <v>-13</v>
      </c>
    </row>
    <row r="8507" spans="1:8" x14ac:dyDescent="0.2">
      <c r="A8507" t="s">
        <v>19</v>
      </c>
      <c r="B8507" t="s">
        <v>27</v>
      </c>
      <c r="C8507" t="str">
        <f t="shared" si="266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65"/>
        <v>-14</v>
      </c>
    </row>
    <row r="8508" spans="1:8" x14ac:dyDescent="0.2">
      <c r="A8508" t="s">
        <v>7</v>
      </c>
      <c r="B8508" t="s">
        <v>27</v>
      </c>
      <c r="C8508" t="str">
        <f t="shared" si="266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65"/>
        <v>-14</v>
      </c>
    </row>
    <row r="8509" spans="1:8" x14ac:dyDescent="0.2">
      <c r="A8509" t="s">
        <v>7</v>
      </c>
      <c r="B8509" t="s">
        <v>27</v>
      </c>
      <c r="C8509" t="str">
        <f t="shared" si="266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65"/>
        <v>-14</v>
      </c>
    </row>
    <row r="8510" spans="1:8" x14ac:dyDescent="0.2">
      <c r="A8510" t="s">
        <v>19</v>
      </c>
      <c r="B8510" t="s">
        <v>27</v>
      </c>
      <c r="C8510" t="str">
        <f t="shared" si="266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65"/>
        <v>-14</v>
      </c>
    </row>
    <row r="8511" spans="1:8" x14ac:dyDescent="0.2">
      <c r="A8511" t="s">
        <v>19</v>
      </c>
      <c r="B8511" t="s">
        <v>27</v>
      </c>
      <c r="C8511" t="str">
        <f t="shared" si="266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65"/>
        <v>-14</v>
      </c>
    </row>
    <row r="8512" spans="1:8" x14ac:dyDescent="0.2">
      <c r="A8512" t="s">
        <v>18</v>
      </c>
      <c r="B8512" t="s">
        <v>27</v>
      </c>
      <c r="C8512" t="str">
        <f t="shared" si="266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65"/>
        <v>-15</v>
      </c>
    </row>
    <row r="8513" spans="1:8" x14ac:dyDescent="0.2">
      <c r="A8513" t="s">
        <v>18</v>
      </c>
      <c r="B8513" t="s">
        <v>27</v>
      </c>
      <c r="C8513" t="str">
        <f t="shared" si="266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65"/>
        <v>-15</v>
      </c>
    </row>
    <row r="8514" spans="1:8" x14ac:dyDescent="0.2">
      <c r="A8514" t="s">
        <v>18</v>
      </c>
      <c r="B8514" t="s">
        <v>27</v>
      </c>
      <c r="C8514" t="str">
        <f t="shared" si="266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65"/>
        <v>-15</v>
      </c>
    </row>
    <row r="8515" spans="1:8" x14ac:dyDescent="0.2">
      <c r="A8515" t="s">
        <v>19</v>
      </c>
      <c r="B8515" t="s">
        <v>27</v>
      </c>
      <c r="C8515" t="str">
        <f t="shared" si="266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ref="H8515:H8578" si="267">F8515-G8515</f>
        <v>-15</v>
      </c>
    </row>
    <row r="8516" spans="1:8" x14ac:dyDescent="0.2">
      <c r="A8516" t="s">
        <v>18</v>
      </c>
      <c r="B8516" t="s">
        <v>27</v>
      </c>
      <c r="C8516" t="str">
        <f t="shared" si="266"/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si="267"/>
        <v>-15</v>
      </c>
    </row>
    <row r="8517" spans="1:8" x14ac:dyDescent="0.2">
      <c r="A8517" t="s">
        <v>18</v>
      </c>
      <c r="B8517" t="s">
        <v>27</v>
      </c>
      <c r="C8517" t="str">
        <f t="shared" ref="C8517:C8580" si="268">IF(H8517&gt;=0,"Cumple","No cumple")</f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67"/>
        <v>-20</v>
      </c>
    </row>
    <row r="8518" spans="1:8" x14ac:dyDescent="0.2">
      <c r="A8518" t="s">
        <v>18</v>
      </c>
      <c r="B8518" t="s">
        <v>27</v>
      </c>
      <c r="C8518" t="str">
        <f t="shared" si="268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67"/>
        <v>-15</v>
      </c>
    </row>
    <row r="8519" spans="1:8" x14ac:dyDescent="0.2">
      <c r="A8519" t="s">
        <v>18</v>
      </c>
      <c r="B8519" t="s">
        <v>27</v>
      </c>
      <c r="C8519" t="str">
        <f t="shared" si="268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67"/>
        <v>-15</v>
      </c>
    </row>
    <row r="8520" spans="1:8" x14ac:dyDescent="0.2">
      <c r="A8520" t="s">
        <v>19</v>
      </c>
      <c r="B8520" t="s">
        <v>27</v>
      </c>
      <c r="C8520" t="str">
        <f t="shared" si="268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67"/>
        <v>-20</v>
      </c>
    </row>
    <row r="8521" spans="1:8" x14ac:dyDescent="0.2">
      <c r="A8521" t="s">
        <v>18</v>
      </c>
      <c r="B8521" t="s">
        <v>27</v>
      </c>
      <c r="C8521" t="str">
        <f t="shared" si="268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67"/>
        <v>-15</v>
      </c>
    </row>
    <row r="8522" spans="1:8" x14ac:dyDescent="0.2">
      <c r="A8522" t="s">
        <v>7</v>
      </c>
      <c r="B8522" t="s">
        <v>27</v>
      </c>
      <c r="C8522" t="str">
        <f t="shared" si="268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67"/>
        <v>-15</v>
      </c>
    </row>
    <row r="8523" spans="1:8" x14ac:dyDescent="0.2">
      <c r="A8523" t="s">
        <v>18</v>
      </c>
      <c r="B8523" t="s">
        <v>27</v>
      </c>
      <c r="C8523" t="str">
        <f t="shared" si="268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67"/>
        <v>-15</v>
      </c>
    </row>
    <row r="8524" spans="1:8" x14ac:dyDescent="0.2">
      <c r="A8524" t="s">
        <v>18</v>
      </c>
      <c r="B8524" t="s">
        <v>27</v>
      </c>
      <c r="C8524" t="str">
        <f t="shared" si="268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67"/>
        <v>-15</v>
      </c>
    </row>
    <row r="8525" spans="1:8" x14ac:dyDescent="0.2">
      <c r="A8525" t="s">
        <v>18</v>
      </c>
      <c r="B8525" t="s">
        <v>27</v>
      </c>
      <c r="C8525" t="str">
        <f t="shared" si="268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67"/>
        <v>-20</v>
      </c>
    </row>
    <row r="8526" spans="1:8" x14ac:dyDescent="0.2">
      <c r="A8526" t="s">
        <v>18</v>
      </c>
      <c r="B8526" t="s">
        <v>27</v>
      </c>
      <c r="C8526" t="str">
        <f t="shared" si="268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67"/>
        <v>-15</v>
      </c>
    </row>
    <row r="8527" spans="1:8" x14ac:dyDescent="0.2">
      <c r="A8527" t="s">
        <v>18</v>
      </c>
      <c r="B8527" t="s">
        <v>27</v>
      </c>
      <c r="C8527" t="str">
        <f t="shared" si="268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67"/>
        <v>-15</v>
      </c>
    </row>
    <row r="8528" spans="1:8" x14ac:dyDescent="0.2">
      <c r="A8528" t="s">
        <v>18</v>
      </c>
      <c r="B8528" t="s">
        <v>27</v>
      </c>
      <c r="C8528" t="str">
        <f t="shared" si="268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67"/>
        <v>-15</v>
      </c>
    </row>
    <row r="8529" spans="1:8" x14ac:dyDescent="0.2">
      <c r="A8529" t="s">
        <v>18</v>
      </c>
      <c r="B8529" t="s">
        <v>27</v>
      </c>
      <c r="C8529" t="str">
        <f t="shared" si="268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67"/>
        <v>-15</v>
      </c>
    </row>
    <row r="8530" spans="1:8" x14ac:dyDescent="0.2">
      <c r="A8530" t="s">
        <v>18</v>
      </c>
      <c r="B8530" t="s">
        <v>27</v>
      </c>
      <c r="C8530" t="str">
        <f t="shared" si="268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67"/>
        <v>-15</v>
      </c>
    </row>
    <row r="8531" spans="1:8" x14ac:dyDescent="0.2">
      <c r="A8531" t="s">
        <v>18</v>
      </c>
      <c r="B8531" t="s">
        <v>27</v>
      </c>
      <c r="C8531" t="str">
        <f t="shared" si="268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67"/>
        <v>-15</v>
      </c>
    </row>
    <row r="8532" spans="1:8" x14ac:dyDescent="0.2">
      <c r="A8532" t="s">
        <v>18</v>
      </c>
      <c r="B8532" t="s">
        <v>27</v>
      </c>
      <c r="C8532" t="str">
        <f t="shared" si="268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67"/>
        <v>-15</v>
      </c>
    </row>
    <row r="8533" spans="1:8" x14ac:dyDescent="0.2">
      <c r="A8533" t="s">
        <v>18</v>
      </c>
      <c r="B8533" t="s">
        <v>27</v>
      </c>
      <c r="C8533" t="str">
        <f t="shared" si="268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67"/>
        <v>-15</v>
      </c>
    </row>
    <row r="8534" spans="1:8" x14ac:dyDescent="0.2">
      <c r="A8534" t="s">
        <v>19</v>
      </c>
      <c r="B8534" t="s">
        <v>27</v>
      </c>
      <c r="C8534" t="str">
        <f t="shared" si="268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67"/>
        <v>-15</v>
      </c>
    </row>
    <row r="8535" spans="1:8" x14ac:dyDescent="0.2">
      <c r="A8535" t="s">
        <v>19</v>
      </c>
      <c r="B8535" t="s">
        <v>27</v>
      </c>
      <c r="C8535" t="str">
        <f t="shared" si="268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67"/>
        <v>-15</v>
      </c>
    </row>
    <row r="8536" spans="1:8" x14ac:dyDescent="0.2">
      <c r="A8536" t="s">
        <v>18</v>
      </c>
      <c r="B8536" t="s">
        <v>27</v>
      </c>
      <c r="C8536" t="str">
        <f t="shared" si="268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67"/>
        <v>-15</v>
      </c>
    </row>
    <row r="8537" spans="1:8" x14ac:dyDescent="0.2">
      <c r="A8537" t="s">
        <v>19</v>
      </c>
      <c r="B8537" t="s">
        <v>27</v>
      </c>
      <c r="C8537" t="str">
        <f t="shared" si="268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67"/>
        <v>-15</v>
      </c>
    </row>
    <row r="8538" spans="1:8" x14ac:dyDescent="0.2">
      <c r="A8538" t="s">
        <v>18</v>
      </c>
      <c r="B8538" t="s">
        <v>27</v>
      </c>
      <c r="C8538" t="str">
        <f t="shared" si="268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67"/>
        <v>-15</v>
      </c>
    </row>
    <row r="8539" spans="1:8" x14ac:dyDescent="0.2">
      <c r="A8539" t="s">
        <v>7</v>
      </c>
      <c r="B8539" t="s">
        <v>27</v>
      </c>
      <c r="C8539" t="str">
        <f t="shared" si="268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67"/>
        <v>-15</v>
      </c>
    </row>
    <row r="8540" spans="1:8" x14ac:dyDescent="0.2">
      <c r="A8540" t="s">
        <v>7</v>
      </c>
      <c r="B8540" t="s">
        <v>27</v>
      </c>
      <c r="C8540" t="str">
        <f t="shared" si="268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67"/>
        <v>-15</v>
      </c>
    </row>
    <row r="8541" spans="1:8" x14ac:dyDescent="0.2">
      <c r="A8541" t="s">
        <v>19</v>
      </c>
      <c r="B8541" t="s">
        <v>27</v>
      </c>
      <c r="C8541" t="str">
        <f t="shared" si="268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67"/>
        <v>-15</v>
      </c>
    </row>
    <row r="8542" spans="1:8" x14ac:dyDescent="0.2">
      <c r="A8542" t="s">
        <v>18</v>
      </c>
      <c r="B8542" t="s">
        <v>27</v>
      </c>
      <c r="C8542" t="str">
        <f t="shared" si="268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67"/>
        <v>-15</v>
      </c>
    </row>
    <row r="8543" spans="1:8" x14ac:dyDescent="0.2">
      <c r="A8543" t="s">
        <v>18</v>
      </c>
      <c r="B8543" t="s">
        <v>27</v>
      </c>
      <c r="C8543" t="str">
        <f t="shared" si="268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67"/>
        <v>-20</v>
      </c>
    </row>
    <row r="8544" spans="1:8" x14ac:dyDescent="0.2">
      <c r="A8544" t="s">
        <v>18</v>
      </c>
      <c r="B8544" t="s">
        <v>27</v>
      </c>
      <c r="C8544" t="str">
        <f t="shared" si="268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67"/>
        <v>-15</v>
      </c>
    </row>
    <row r="8545" spans="1:8" x14ac:dyDescent="0.2">
      <c r="A8545" t="s">
        <v>18</v>
      </c>
      <c r="B8545" t="s">
        <v>27</v>
      </c>
      <c r="C8545" t="str">
        <f t="shared" si="268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67"/>
        <v>-15</v>
      </c>
    </row>
    <row r="8546" spans="1:8" x14ac:dyDescent="0.2">
      <c r="A8546" t="s">
        <v>7</v>
      </c>
      <c r="B8546" t="s">
        <v>27</v>
      </c>
      <c r="C8546" t="str">
        <f t="shared" si="268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67"/>
        <v>-15</v>
      </c>
    </row>
    <row r="8547" spans="1:8" x14ac:dyDescent="0.2">
      <c r="A8547" t="s">
        <v>19</v>
      </c>
      <c r="B8547" t="s">
        <v>27</v>
      </c>
      <c r="C8547" t="str">
        <f t="shared" si="268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67"/>
        <v>-15</v>
      </c>
    </row>
    <row r="8548" spans="1:8" x14ac:dyDescent="0.2">
      <c r="A8548" t="s">
        <v>18</v>
      </c>
      <c r="B8548" t="s">
        <v>27</v>
      </c>
      <c r="C8548" t="str">
        <f t="shared" si="268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67"/>
        <v>-15</v>
      </c>
    </row>
    <row r="8549" spans="1:8" x14ac:dyDescent="0.2">
      <c r="A8549" t="s">
        <v>7</v>
      </c>
      <c r="B8549" t="s">
        <v>27</v>
      </c>
      <c r="C8549" t="str">
        <f t="shared" si="268"/>
        <v>Cumple</v>
      </c>
      <c r="D8549">
        <v>1447</v>
      </c>
      <c r="E8549" t="s">
        <v>13</v>
      </c>
      <c r="F8549">
        <v>12</v>
      </c>
      <c r="G8549">
        <v>6</v>
      </c>
      <c r="H8549">
        <f t="shared" si="267"/>
        <v>6</v>
      </c>
    </row>
    <row r="8550" spans="1:8" x14ac:dyDescent="0.2">
      <c r="A8550" t="s">
        <v>7</v>
      </c>
      <c r="B8550" t="s">
        <v>27</v>
      </c>
      <c r="C8550" t="str">
        <f t="shared" si="268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si="267"/>
        <v>6</v>
      </c>
    </row>
    <row r="8551" spans="1:8" x14ac:dyDescent="0.2">
      <c r="A8551" t="s">
        <v>7</v>
      </c>
      <c r="B8551" t="s">
        <v>27</v>
      </c>
      <c r="C8551" t="str">
        <f t="shared" si="268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67"/>
        <v>5</v>
      </c>
    </row>
    <row r="8552" spans="1:8" x14ac:dyDescent="0.2">
      <c r="A8552" t="s">
        <v>7</v>
      </c>
      <c r="B8552" t="s">
        <v>27</v>
      </c>
      <c r="C8552" t="str">
        <f t="shared" si="268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67"/>
        <v>5</v>
      </c>
    </row>
    <row r="8553" spans="1:8" x14ac:dyDescent="0.2">
      <c r="A8553" t="s">
        <v>7</v>
      </c>
      <c r="B8553" t="s">
        <v>27</v>
      </c>
      <c r="C8553" t="str">
        <f t="shared" si="268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67"/>
        <v>5</v>
      </c>
    </row>
    <row r="8554" spans="1:8" x14ac:dyDescent="0.2">
      <c r="A8554" t="s">
        <v>7</v>
      </c>
      <c r="B8554" t="s">
        <v>27</v>
      </c>
      <c r="C8554" t="str">
        <f t="shared" si="268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67"/>
        <v>4</v>
      </c>
    </row>
    <row r="8555" spans="1:8" x14ac:dyDescent="0.2">
      <c r="A8555" t="s">
        <v>7</v>
      </c>
      <c r="B8555" t="s">
        <v>27</v>
      </c>
      <c r="C8555" t="str">
        <f t="shared" si="268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67"/>
        <v>4</v>
      </c>
    </row>
    <row r="8556" spans="1:8" x14ac:dyDescent="0.2">
      <c r="A8556" t="s">
        <v>7</v>
      </c>
      <c r="B8556" t="s">
        <v>27</v>
      </c>
      <c r="C8556" t="str">
        <f t="shared" si="268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67"/>
        <v>4</v>
      </c>
    </row>
    <row r="8557" spans="1:8" x14ac:dyDescent="0.2">
      <c r="A8557" t="s">
        <v>7</v>
      </c>
      <c r="B8557" t="s">
        <v>27</v>
      </c>
      <c r="C8557" t="str">
        <f t="shared" si="268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67"/>
        <v>4</v>
      </c>
    </row>
    <row r="8558" spans="1:8" x14ac:dyDescent="0.2">
      <c r="A8558" t="s">
        <v>7</v>
      </c>
      <c r="B8558" t="s">
        <v>27</v>
      </c>
      <c r="C8558" t="str">
        <f t="shared" si="268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67"/>
        <v>4</v>
      </c>
    </row>
    <row r="8559" spans="1:8" x14ac:dyDescent="0.2">
      <c r="A8559" t="s">
        <v>7</v>
      </c>
      <c r="B8559" t="s">
        <v>27</v>
      </c>
      <c r="C8559" t="str">
        <f t="shared" si="268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67"/>
        <v>4</v>
      </c>
    </row>
    <row r="8560" spans="1:8" x14ac:dyDescent="0.2">
      <c r="A8560" t="s">
        <v>7</v>
      </c>
      <c r="B8560" t="s">
        <v>27</v>
      </c>
      <c r="C8560" t="str">
        <f t="shared" si="268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67"/>
        <v>4</v>
      </c>
    </row>
    <row r="8561" spans="1:8" x14ac:dyDescent="0.2">
      <c r="A8561" t="s">
        <v>7</v>
      </c>
      <c r="B8561" t="s">
        <v>27</v>
      </c>
      <c r="C8561" t="str">
        <f t="shared" si="268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67"/>
        <v>3</v>
      </c>
    </row>
    <row r="8562" spans="1:8" x14ac:dyDescent="0.2">
      <c r="A8562" t="s">
        <v>7</v>
      </c>
      <c r="B8562" t="s">
        <v>27</v>
      </c>
      <c r="C8562" t="str">
        <f t="shared" si="268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67"/>
        <v>3</v>
      </c>
    </row>
    <row r="8563" spans="1:8" x14ac:dyDescent="0.2">
      <c r="A8563" t="s">
        <v>7</v>
      </c>
      <c r="B8563" t="s">
        <v>27</v>
      </c>
      <c r="C8563" t="str">
        <f t="shared" si="268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67"/>
        <v>3</v>
      </c>
    </row>
    <row r="8564" spans="1:8" x14ac:dyDescent="0.2">
      <c r="A8564" t="s">
        <v>7</v>
      </c>
      <c r="B8564" t="s">
        <v>27</v>
      </c>
      <c r="C8564" t="str">
        <f t="shared" si="268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67"/>
        <v>3</v>
      </c>
    </row>
    <row r="8565" spans="1:8" x14ac:dyDescent="0.2">
      <c r="A8565" t="s">
        <v>7</v>
      </c>
      <c r="B8565" t="s">
        <v>27</v>
      </c>
      <c r="C8565" t="str">
        <f t="shared" si="268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67"/>
        <v>3</v>
      </c>
    </row>
    <row r="8566" spans="1:8" x14ac:dyDescent="0.2">
      <c r="A8566" t="s">
        <v>7</v>
      </c>
      <c r="B8566" t="s">
        <v>27</v>
      </c>
      <c r="C8566" t="str">
        <f t="shared" si="268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67"/>
        <v>3</v>
      </c>
    </row>
    <row r="8567" spans="1:8" x14ac:dyDescent="0.2">
      <c r="A8567" t="s">
        <v>7</v>
      </c>
      <c r="B8567" t="s">
        <v>27</v>
      </c>
      <c r="C8567" t="str">
        <f t="shared" si="268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67"/>
        <v>3</v>
      </c>
    </row>
    <row r="8568" spans="1:8" x14ac:dyDescent="0.2">
      <c r="A8568" t="s">
        <v>7</v>
      </c>
      <c r="B8568" t="s">
        <v>27</v>
      </c>
      <c r="C8568" t="str">
        <f t="shared" si="268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67"/>
        <v>3</v>
      </c>
    </row>
    <row r="8569" spans="1:8" x14ac:dyDescent="0.2">
      <c r="A8569" t="s">
        <v>7</v>
      </c>
      <c r="B8569" t="s">
        <v>27</v>
      </c>
      <c r="C8569" t="str">
        <f t="shared" si="268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67"/>
        <v>3</v>
      </c>
    </row>
    <row r="8570" spans="1:8" x14ac:dyDescent="0.2">
      <c r="A8570" t="s">
        <v>7</v>
      </c>
      <c r="B8570" t="s">
        <v>27</v>
      </c>
      <c r="C8570" t="str">
        <f t="shared" si="268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67"/>
        <v>3</v>
      </c>
    </row>
    <row r="8571" spans="1:8" x14ac:dyDescent="0.2">
      <c r="A8571" t="s">
        <v>7</v>
      </c>
      <c r="B8571" t="s">
        <v>27</v>
      </c>
      <c r="C8571" t="str">
        <f t="shared" si="268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67"/>
        <v>3</v>
      </c>
    </row>
    <row r="8572" spans="1:8" x14ac:dyDescent="0.2">
      <c r="A8572" t="s">
        <v>7</v>
      </c>
      <c r="B8572" t="s">
        <v>27</v>
      </c>
      <c r="C8572" t="str">
        <f t="shared" si="268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67"/>
        <v>6</v>
      </c>
    </row>
    <row r="8573" spans="1:8" x14ac:dyDescent="0.2">
      <c r="A8573" t="s">
        <v>7</v>
      </c>
      <c r="B8573" t="s">
        <v>27</v>
      </c>
      <c r="C8573" t="str">
        <f t="shared" si="268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67"/>
        <v>2</v>
      </c>
    </row>
    <row r="8574" spans="1:8" x14ac:dyDescent="0.2">
      <c r="A8574" t="s">
        <v>7</v>
      </c>
      <c r="B8574" t="s">
        <v>27</v>
      </c>
      <c r="C8574" t="str">
        <f t="shared" si="268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67"/>
        <v>2</v>
      </c>
    </row>
    <row r="8575" spans="1:8" x14ac:dyDescent="0.2">
      <c r="A8575" t="s">
        <v>7</v>
      </c>
      <c r="B8575" t="s">
        <v>27</v>
      </c>
      <c r="C8575" t="str">
        <f t="shared" si="268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67"/>
        <v>2</v>
      </c>
    </row>
    <row r="8576" spans="1:8" x14ac:dyDescent="0.2">
      <c r="A8576" t="s">
        <v>7</v>
      </c>
      <c r="B8576" t="s">
        <v>27</v>
      </c>
      <c r="C8576" t="str">
        <f t="shared" si="268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67"/>
        <v>2</v>
      </c>
    </row>
    <row r="8577" spans="1:8" x14ac:dyDescent="0.2">
      <c r="A8577" t="s">
        <v>7</v>
      </c>
      <c r="B8577" t="s">
        <v>27</v>
      </c>
      <c r="C8577" t="str">
        <f t="shared" si="268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67"/>
        <v>2</v>
      </c>
    </row>
    <row r="8578" spans="1:8" x14ac:dyDescent="0.2">
      <c r="A8578" t="s">
        <v>7</v>
      </c>
      <c r="B8578" t="s">
        <v>27</v>
      </c>
      <c r="C8578" t="str">
        <f t="shared" si="268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67"/>
        <v>2</v>
      </c>
    </row>
    <row r="8579" spans="1:8" x14ac:dyDescent="0.2">
      <c r="A8579" t="s">
        <v>7</v>
      </c>
      <c r="B8579" t="s">
        <v>27</v>
      </c>
      <c r="C8579" t="str">
        <f t="shared" si="268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ref="H8579:H8642" si="269">F8579-G8579</f>
        <v>2</v>
      </c>
    </row>
    <row r="8580" spans="1:8" x14ac:dyDescent="0.2">
      <c r="A8580" t="s">
        <v>7</v>
      </c>
      <c r="B8580" t="s">
        <v>27</v>
      </c>
      <c r="C8580" t="str">
        <f t="shared" si="268"/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69"/>
        <v>2</v>
      </c>
    </row>
    <row r="8581" spans="1:8" x14ac:dyDescent="0.2">
      <c r="A8581" t="s">
        <v>7</v>
      </c>
      <c r="B8581" t="s">
        <v>27</v>
      </c>
      <c r="C8581" t="str">
        <f t="shared" ref="C8581:C8644" si="270">IF(H8581&gt;=0,"Cumple","No cumple")</f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69"/>
        <v>2</v>
      </c>
    </row>
    <row r="8582" spans="1:8" x14ac:dyDescent="0.2">
      <c r="A8582" t="s">
        <v>7</v>
      </c>
      <c r="B8582" t="s">
        <v>27</v>
      </c>
      <c r="C8582" t="str">
        <f t="shared" si="270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69"/>
        <v>2</v>
      </c>
    </row>
    <row r="8583" spans="1:8" x14ac:dyDescent="0.2">
      <c r="A8583" t="s">
        <v>7</v>
      </c>
      <c r="B8583" t="s">
        <v>27</v>
      </c>
      <c r="C8583" t="str">
        <f t="shared" si="270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69"/>
        <v>2</v>
      </c>
    </row>
    <row r="8584" spans="1:8" x14ac:dyDescent="0.2">
      <c r="A8584" t="s">
        <v>7</v>
      </c>
      <c r="B8584" t="s">
        <v>27</v>
      </c>
      <c r="C8584" t="str">
        <f t="shared" si="270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69"/>
        <v>2</v>
      </c>
    </row>
    <row r="8585" spans="1:8" x14ac:dyDescent="0.2">
      <c r="A8585" t="s">
        <v>7</v>
      </c>
      <c r="B8585" t="s">
        <v>27</v>
      </c>
      <c r="C8585" t="str">
        <f t="shared" si="270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69"/>
        <v>2</v>
      </c>
    </row>
    <row r="8586" spans="1:8" x14ac:dyDescent="0.2">
      <c r="A8586" t="s">
        <v>7</v>
      </c>
      <c r="B8586" t="s">
        <v>27</v>
      </c>
      <c r="C8586" t="str">
        <f t="shared" si="270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69"/>
        <v>2</v>
      </c>
    </row>
    <row r="8587" spans="1:8" x14ac:dyDescent="0.2">
      <c r="A8587" t="s">
        <v>7</v>
      </c>
      <c r="B8587" t="s">
        <v>27</v>
      </c>
      <c r="C8587" t="str">
        <f t="shared" si="270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69"/>
        <v>2</v>
      </c>
    </row>
    <row r="8588" spans="1:8" x14ac:dyDescent="0.2">
      <c r="A8588" t="s">
        <v>7</v>
      </c>
      <c r="B8588" t="s">
        <v>27</v>
      </c>
      <c r="C8588" t="str">
        <f t="shared" si="270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69"/>
        <v>2</v>
      </c>
    </row>
    <row r="8589" spans="1:8" x14ac:dyDescent="0.2">
      <c r="A8589" t="s">
        <v>7</v>
      </c>
      <c r="B8589" t="s">
        <v>27</v>
      </c>
      <c r="C8589" t="str">
        <f t="shared" si="270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69"/>
        <v>2</v>
      </c>
    </row>
    <row r="8590" spans="1:8" x14ac:dyDescent="0.2">
      <c r="A8590" t="s">
        <v>7</v>
      </c>
      <c r="B8590" t="s">
        <v>27</v>
      </c>
      <c r="C8590" t="str">
        <f t="shared" si="270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69"/>
        <v>2</v>
      </c>
    </row>
    <row r="8591" spans="1:8" x14ac:dyDescent="0.2">
      <c r="A8591" t="s">
        <v>7</v>
      </c>
      <c r="B8591" t="s">
        <v>27</v>
      </c>
      <c r="C8591" t="str">
        <f t="shared" si="270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69"/>
        <v>2</v>
      </c>
    </row>
    <row r="8592" spans="1:8" x14ac:dyDescent="0.2">
      <c r="A8592" t="s">
        <v>7</v>
      </c>
      <c r="B8592" t="s">
        <v>27</v>
      </c>
      <c r="C8592" t="str">
        <f t="shared" si="270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69"/>
        <v>2</v>
      </c>
    </row>
    <row r="8593" spans="1:8" x14ac:dyDescent="0.2">
      <c r="A8593" t="s">
        <v>7</v>
      </c>
      <c r="B8593" t="s">
        <v>27</v>
      </c>
      <c r="C8593" t="str">
        <f t="shared" si="270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69"/>
        <v>2</v>
      </c>
    </row>
    <row r="8594" spans="1:8" x14ac:dyDescent="0.2">
      <c r="A8594" t="s">
        <v>7</v>
      </c>
      <c r="B8594" t="s">
        <v>27</v>
      </c>
      <c r="C8594" t="str">
        <f t="shared" si="270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69"/>
        <v>2</v>
      </c>
    </row>
    <row r="8595" spans="1:8" x14ac:dyDescent="0.2">
      <c r="A8595" t="s">
        <v>7</v>
      </c>
      <c r="B8595" t="s">
        <v>27</v>
      </c>
      <c r="C8595" t="str">
        <f t="shared" si="270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69"/>
        <v>2</v>
      </c>
    </row>
    <row r="8596" spans="1:8" x14ac:dyDescent="0.2">
      <c r="A8596" t="s">
        <v>7</v>
      </c>
      <c r="B8596" t="s">
        <v>27</v>
      </c>
      <c r="C8596" t="str">
        <f t="shared" si="270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69"/>
        <v>1</v>
      </c>
    </row>
    <row r="8597" spans="1:8" x14ac:dyDescent="0.2">
      <c r="A8597" t="s">
        <v>7</v>
      </c>
      <c r="B8597" t="s">
        <v>27</v>
      </c>
      <c r="C8597" t="str">
        <f t="shared" si="270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69"/>
        <v>1</v>
      </c>
    </row>
    <row r="8598" spans="1:8" x14ac:dyDescent="0.2">
      <c r="A8598" t="s">
        <v>7</v>
      </c>
      <c r="B8598" t="s">
        <v>27</v>
      </c>
      <c r="C8598" t="str">
        <f t="shared" si="270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69"/>
        <v>1</v>
      </c>
    </row>
    <row r="8599" spans="1:8" x14ac:dyDescent="0.2">
      <c r="A8599" t="s">
        <v>7</v>
      </c>
      <c r="B8599" t="s">
        <v>27</v>
      </c>
      <c r="C8599" t="str">
        <f t="shared" si="270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69"/>
        <v>1</v>
      </c>
    </row>
    <row r="8600" spans="1:8" x14ac:dyDescent="0.2">
      <c r="A8600" t="s">
        <v>7</v>
      </c>
      <c r="B8600" t="s">
        <v>27</v>
      </c>
      <c r="C8600" t="str">
        <f t="shared" si="270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69"/>
        <v>1</v>
      </c>
    </row>
    <row r="8601" spans="1:8" x14ac:dyDescent="0.2">
      <c r="A8601" t="s">
        <v>7</v>
      </c>
      <c r="B8601" t="s">
        <v>27</v>
      </c>
      <c r="C8601" t="str">
        <f t="shared" si="270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69"/>
        <v>1</v>
      </c>
    </row>
    <row r="8602" spans="1:8" x14ac:dyDescent="0.2">
      <c r="A8602" t="s">
        <v>7</v>
      </c>
      <c r="B8602" t="s">
        <v>27</v>
      </c>
      <c r="C8602" t="str">
        <f t="shared" si="270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69"/>
        <v>1</v>
      </c>
    </row>
    <row r="8603" spans="1:8" x14ac:dyDescent="0.2">
      <c r="A8603" t="s">
        <v>7</v>
      </c>
      <c r="B8603" t="s">
        <v>27</v>
      </c>
      <c r="C8603" t="str">
        <f t="shared" si="270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69"/>
        <v>1</v>
      </c>
    </row>
    <row r="8604" spans="1:8" x14ac:dyDescent="0.2">
      <c r="A8604" t="s">
        <v>7</v>
      </c>
      <c r="B8604" t="s">
        <v>27</v>
      </c>
      <c r="C8604" t="str">
        <f t="shared" si="270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69"/>
        <v>1</v>
      </c>
    </row>
    <row r="8605" spans="1:8" x14ac:dyDescent="0.2">
      <c r="A8605" t="s">
        <v>7</v>
      </c>
      <c r="B8605" t="s">
        <v>27</v>
      </c>
      <c r="C8605" t="str">
        <f t="shared" si="270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69"/>
        <v>1</v>
      </c>
    </row>
    <row r="8606" spans="1:8" x14ac:dyDescent="0.2">
      <c r="A8606" t="s">
        <v>7</v>
      </c>
      <c r="B8606" t="s">
        <v>27</v>
      </c>
      <c r="C8606" t="str">
        <f t="shared" si="270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69"/>
        <v>1</v>
      </c>
    </row>
    <row r="8607" spans="1:8" x14ac:dyDescent="0.2">
      <c r="A8607" t="s">
        <v>7</v>
      </c>
      <c r="B8607" t="s">
        <v>27</v>
      </c>
      <c r="C8607" t="str">
        <f t="shared" si="270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69"/>
        <v>1</v>
      </c>
    </row>
    <row r="8608" spans="1:8" x14ac:dyDescent="0.2">
      <c r="A8608" t="s">
        <v>18</v>
      </c>
      <c r="B8608" t="s">
        <v>27</v>
      </c>
      <c r="C8608" t="str">
        <f t="shared" si="270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69"/>
        <v>1</v>
      </c>
    </row>
    <row r="8609" spans="1:8" x14ac:dyDescent="0.2">
      <c r="A8609" t="s">
        <v>7</v>
      </c>
      <c r="B8609" t="s">
        <v>27</v>
      </c>
      <c r="C8609" t="str">
        <f t="shared" si="270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69"/>
        <v>1</v>
      </c>
    </row>
    <row r="8610" spans="1:8" x14ac:dyDescent="0.2">
      <c r="A8610" t="s">
        <v>7</v>
      </c>
      <c r="B8610" t="s">
        <v>27</v>
      </c>
      <c r="C8610" t="str">
        <f t="shared" si="270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69"/>
        <v>4</v>
      </c>
    </row>
    <row r="8611" spans="1:8" x14ac:dyDescent="0.2">
      <c r="A8611" t="s">
        <v>7</v>
      </c>
      <c r="B8611" t="s">
        <v>27</v>
      </c>
      <c r="C8611" t="str">
        <f t="shared" si="270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69"/>
        <v>1</v>
      </c>
    </row>
    <row r="8612" spans="1:8" x14ac:dyDescent="0.2">
      <c r="A8612" t="s">
        <v>7</v>
      </c>
      <c r="B8612" t="s">
        <v>27</v>
      </c>
      <c r="C8612" t="str">
        <f t="shared" si="270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69"/>
        <v>1</v>
      </c>
    </row>
    <row r="8613" spans="1:8" x14ac:dyDescent="0.2">
      <c r="A8613" t="s">
        <v>7</v>
      </c>
      <c r="B8613" t="s">
        <v>27</v>
      </c>
      <c r="C8613" t="str">
        <f t="shared" si="270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69"/>
        <v>1</v>
      </c>
    </row>
    <row r="8614" spans="1:8" x14ac:dyDescent="0.2">
      <c r="A8614" t="s">
        <v>7</v>
      </c>
      <c r="B8614" t="s">
        <v>27</v>
      </c>
      <c r="C8614" t="str">
        <f t="shared" si="270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si="269"/>
        <v>1</v>
      </c>
    </row>
    <row r="8615" spans="1:8" x14ac:dyDescent="0.2">
      <c r="A8615" t="s">
        <v>7</v>
      </c>
      <c r="B8615" t="s">
        <v>27</v>
      </c>
      <c r="C8615" t="str">
        <f t="shared" si="270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69"/>
        <v>1</v>
      </c>
    </row>
    <row r="8616" spans="1:8" x14ac:dyDescent="0.2">
      <c r="A8616" t="s">
        <v>7</v>
      </c>
      <c r="B8616" t="s">
        <v>27</v>
      </c>
      <c r="C8616" t="str">
        <f t="shared" si="270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69"/>
        <v>1</v>
      </c>
    </row>
    <row r="8617" spans="1:8" x14ac:dyDescent="0.2">
      <c r="A8617" t="s">
        <v>7</v>
      </c>
      <c r="B8617" t="s">
        <v>27</v>
      </c>
      <c r="C8617" t="str">
        <f t="shared" si="270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69"/>
        <v>1</v>
      </c>
    </row>
    <row r="8618" spans="1:8" x14ac:dyDescent="0.2">
      <c r="A8618" t="s">
        <v>7</v>
      </c>
      <c r="B8618" t="s">
        <v>27</v>
      </c>
      <c r="C8618" t="str">
        <f t="shared" si="270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69"/>
        <v>4</v>
      </c>
    </row>
    <row r="8619" spans="1:8" x14ac:dyDescent="0.2">
      <c r="A8619" t="s">
        <v>7</v>
      </c>
      <c r="B8619" t="s">
        <v>27</v>
      </c>
      <c r="C8619" t="str">
        <f t="shared" si="270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69"/>
        <v>0</v>
      </c>
    </row>
    <row r="8620" spans="1:8" x14ac:dyDescent="0.2">
      <c r="A8620" t="s">
        <v>7</v>
      </c>
      <c r="B8620" t="s">
        <v>27</v>
      </c>
      <c r="C8620" t="str">
        <f t="shared" si="270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69"/>
        <v>0</v>
      </c>
    </row>
    <row r="8621" spans="1:8" x14ac:dyDescent="0.2">
      <c r="A8621" t="s">
        <v>7</v>
      </c>
      <c r="B8621" t="s">
        <v>27</v>
      </c>
      <c r="C8621" t="str">
        <f t="shared" si="270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69"/>
        <v>0</v>
      </c>
    </row>
    <row r="8622" spans="1:8" x14ac:dyDescent="0.2">
      <c r="A8622" t="s">
        <v>7</v>
      </c>
      <c r="B8622" t="s">
        <v>27</v>
      </c>
      <c r="C8622" t="str">
        <f t="shared" si="270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69"/>
        <v>0</v>
      </c>
    </row>
    <row r="8623" spans="1:8" x14ac:dyDescent="0.2">
      <c r="A8623" t="s">
        <v>7</v>
      </c>
      <c r="B8623" t="s">
        <v>27</v>
      </c>
      <c r="C8623" t="str">
        <f t="shared" si="270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69"/>
        <v>0</v>
      </c>
    </row>
    <row r="8624" spans="1:8" x14ac:dyDescent="0.2">
      <c r="A8624" t="s">
        <v>7</v>
      </c>
      <c r="B8624" t="s">
        <v>27</v>
      </c>
      <c r="C8624" t="str">
        <f t="shared" si="270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69"/>
        <v>0</v>
      </c>
    </row>
    <row r="8625" spans="1:8" x14ac:dyDescent="0.2">
      <c r="A8625" t="s">
        <v>7</v>
      </c>
      <c r="B8625" t="s">
        <v>27</v>
      </c>
      <c r="C8625" t="str">
        <f t="shared" si="270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69"/>
        <v>0</v>
      </c>
    </row>
    <row r="8626" spans="1:8" x14ac:dyDescent="0.2">
      <c r="A8626" t="s">
        <v>7</v>
      </c>
      <c r="B8626" t="s">
        <v>27</v>
      </c>
      <c r="C8626" t="str">
        <f t="shared" si="270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69"/>
        <v>3</v>
      </c>
    </row>
    <row r="8627" spans="1:8" x14ac:dyDescent="0.2">
      <c r="A8627" t="s">
        <v>7</v>
      </c>
      <c r="B8627" t="s">
        <v>27</v>
      </c>
      <c r="C8627" t="str">
        <f t="shared" si="270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69"/>
        <v>0</v>
      </c>
    </row>
    <row r="8628" spans="1:8" x14ac:dyDescent="0.2">
      <c r="A8628" t="s">
        <v>7</v>
      </c>
      <c r="B8628" t="s">
        <v>27</v>
      </c>
      <c r="C8628" t="str">
        <f t="shared" si="270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69"/>
        <v>0</v>
      </c>
    </row>
    <row r="8629" spans="1:8" x14ac:dyDescent="0.2">
      <c r="A8629" t="s">
        <v>7</v>
      </c>
      <c r="B8629" t="s">
        <v>27</v>
      </c>
      <c r="C8629" t="str">
        <f t="shared" si="270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69"/>
        <v>3</v>
      </c>
    </row>
    <row r="8630" spans="1:8" x14ac:dyDescent="0.2">
      <c r="A8630" t="s">
        <v>7</v>
      </c>
      <c r="B8630" t="s">
        <v>27</v>
      </c>
      <c r="C8630" t="str">
        <f t="shared" si="270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69"/>
        <v>0</v>
      </c>
    </row>
    <row r="8631" spans="1:8" x14ac:dyDescent="0.2">
      <c r="A8631" t="s">
        <v>7</v>
      </c>
      <c r="B8631" t="s">
        <v>27</v>
      </c>
      <c r="C8631" t="str">
        <f t="shared" si="270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69"/>
        <v>0</v>
      </c>
    </row>
    <row r="8632" spans="1:8" x14ac:dyDescent="0.2">
      <c r="A8632" t="s">
        <v>7</v>
      </c>
      <c r="B8632" t="s">
        <v>27</v>
      </c>
      <c r="C8632" t="str">
        <f t="shared" si="270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69"/>
        <v>0</v>
      </c>
    </row>
    <row r="8633" spans="1:8" x14ac:dyDescent="0.2">
      <c r="A8633" t="s">
        <v>7</v>
      </c>
      <c r="B8633" t="s">
        <v>27</v>
      </c>
      <c r="C8633" t="str">
        <f t="shared" si="270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69"/>
        <v>0</v>
      </c>
    </row>
    <row r="8634" spans="1:8" x14ac:dyDescent="0.2">
      <c r="A8634" t="s">
        <v>7</v>
      </c>
      <c r="B8634" t="s">
        <v>27</v>
      </c>
      <c r="C8634" t="str">
        <f t="shared" si="270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69"/>
        <v>0</v>
      </c>
    </row>
    <row r="8635" spans="1:8" x14ac:dyDescent="0.2">
      <c r="A8635" t="s">
        <v>7</v>
      </c>
      <c r="B8635" t="s">
        <v>27</v>
      </c>
      <c r="C8635" t="str">
        <f t="shared" si="270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69"/>
        <v>0</v>
      </c>
    </row>
    <row r="8636" spans="1:8" x14ac:dyDescent="0.2">
      <c r="A8636" t="s">
        <v>7</v>
      </c>
      <c r="B8636" t="s">
        <v>27</v>
      </c>
      <c r="C8636" t="str">
        <f t="shared" si="270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69"/>
        <v>3</v>
      </c>
    </row>
    <row r="8637" spans="1:8" x14ac:dyDescent="0.2">
      <c r="A8637" t="s">
        <v>7</v>
      </c>
      <c r="B8637" t="s">
        <v>27</v>
      </c>
      <c r="C8637" t="str">
        <f t="shared" si="270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69"/>
        <v>0</v>
      </c>
    </row>
    <row r="8638" spans="1:8" x14ac:dyDescent="0.2">
      <c r="A8638" t="s">
        <v>7</v>
      </c>
      <c r="B8638" t="s">
        <v>27</v>
      </c>
      <c r="C8638" t="str">
        <f t="shared" si="270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69"/>
        <v>0</v>
      </c>
    </row>
    <row r="8639" spans="1:8" x14ac:dyDescent="0.2">
      <c r="A8639" t="s">
        <v>7</v>
      </c>
      <c r="B8639" t="s">
        <v>27</v>
      </c>
      <c r="C8639" t="str">
        <f t="shared" si="270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69"/>
        <v>0</v>
      </c>
    </row>
    <row r="8640" spans="1:8" x14ac:dyDescent="0.2">
      <c r="A8640" t="s">
        <v>7</v>
      </c>
      <c r="B8640" t="s">
        <v>27</v>
      </c>
      <c r="C8640" t="str">
        <f t="shared" si="270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69"/>
        <v>0</v>
      </c>
    </row>
    <row r="8641" spans="1:8" x14ac:dyDescent="0.2">
      <c r="A8641" t="s">
        <v>7</v>
      </c>
      <c r="B8641" t="s">
        <v>27</v>
      </c>
      <c r="C8641" t="str">
        <f t="shared" si="270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69"/>
        <v>0</v>
      </c>
    </row>
    <row r="8642" spans="1:8" x14ac:dyDescent="0.2">
      <c r="A8642" t="s">
        <v>7</v>
      </c>
      <c r="B8642" t="s">
        <v>27</v>
      </c>
      <c r="C8642" t="str">
        <f t="shared" si="270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69"/>
        <v>0</v>
      </c>
    </row>
    <row r="8643" spans="1:8" x14ac:dyDescent="0.2">
      <c r="A8643" t="s">
        <v>7</v>
      </c>
      <c r="B8643" t="s">
        <v>27</v>
      </c>
      <c r="C8643" t="str">
        <f t="shared" si="270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ref="H8643:H8706" si="271">F8643-G8643</f>
        <v>0</v>
      </c>
    </row>
    <row r="8644" spans="1:8" x14ac:dyDescent="0.2">
      <c r="A8644" t="s">
        <v>7</v>
      </c>
      <c r="B8644" t="s">
        <v>27</v>
      </c>
      <c r="C8644" t="str">
        <f t="shared" si="270"/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71"/>
        <v>3</v>
      </c>
    </row>
    <row r="8645" spans="1:8" x14ac:dyDescent="0.2">
      <c r="A8645" t="s">
        <v>7</v>
      </c>
      <c r="B8645" t="s">
        <v>27</v>
      </c>
      <c r="C8645" t="str">
        <f t="shared" ref="C8645:C8708" si="272">IF(H8645&gt;=0,"Cumple","No cumple")</f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71"/>
        <v>0</v>
      </c>
    </row>
    <row r="8646" spans="1:8" x14ac:dyDescent="0.2">
      <c r="A8646" t="s">
        <v>7</v>
      </c>
      <c r="B8646" t="s">
        <v>27</v>
      </c>
      <c r="C8646" t="str">
        <f t="shared" si="272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71"/>
        <v>0</v>
      </c>
    </row>
    <row r="8647" spans="1:8" x14ac:dyDescent="0.2">
      <c r="A8647" t="s">
        <v>7</v>
      </c>
      <c r="B8647" t="s">
        <v>27</v>
      </c>
      <c r="C8647" t="str">
        <f t="shared" si="272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71"/>
        <v>3</v>
      </c>
    </row>
    <row r="8648" spans="1:8" x14ac:dyDescent="0.2">
      <c r="A8648" t="s">
        <v>7</v>
      </c>
      <c r="B8648" t="s">
        <v>27</v>
      </c>
      <c r="C8648" t="str">
        <f t="shared" si="272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71"/>
        <v>0</v>
      </c>
    </row>
    <row r="8649" spans="1:8" x14ac:dyDescent="0.2">
      <c r="A8649" t="s">
        <v>7</v>
      </c>
      <c r="B8649" t="s">
        <v>27</v>
      </c>
      <c r="C8649" t="str">
        <f t="shared" si="272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71"/>
        <v>0</v>
      </c>
    </row>
    <row r="8650" spans="1:8" x14ac:dyDescent="0.2">
      <c r="A8650" t="s">
        <v>7</v>
      </c>
      <c r="B8650" t="s">
        <v>27</v>
      </c>
      <c r="C8650" t="str">
        <f t="shared" si="272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71"/>
        <v>0</v>
      </c>
    </row>
    <row r="8651" spans="1:8" x14ac:dyDescent="0.2">
      <c r="A8651" t="s">
        <v>7</v>
      </c>
      <c r="B8651" t="s">
        <v>27</v>
      </c>
      <c r="C8651" t="str">
        <f t="shared" si="272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71"/>
        <v>0</v>
      </c>
    </row>
    <row r="8652" spans="1:8" x14ac:dyDescent="0.2">
      <c r="A8652" t="s">
        <v>7</v>
      </c>
      <c r="B8652" t="s">
        <v>27</v>
      </c>
      <c r="C8652" t="str">
        <f t="shared" si="272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71"/>
        <v>3</v>
      </c>
    </row>
    <row r="8653" spans="1:8" x14ac:dyDescent="0.2">
      <c r="A8653" t="s">
        <v>7</v>
      </c>
      <c r="B8653" t="s">
        <v>27</v>
      </c>
      <c r="C8653" t="str">
        <f t="shared" si="272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71"/>
        <v>3</v>
      </c>
    </row>
    <row r="8654" spans="1:8" x14ac:dyDescent="0.2">
      <c r="A8654" t="s">
        <v>7</v>
      </c>
      <c r="B8654" t="s">
        <v>27</v>
      </c>
      <c r="C8654" t="str">
        <f t="shared" si="272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71"/>
        <v>0</v>
      </c>
    </row>
    <row r="8655" spans="1:8" x14ac:dyDescent="0.2">
      <c r="A8655" t="s">
        <v>7</v>
      </c>
      <c r="B8655" t="s">
        <v>27</v>
      </c>
      <c r="C8655" t="str">
        <f t="shared" si="272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71"/>
        <v>2</v>
      </c>
    </row>
    <row r="8656" spans="1:8" x14ac:dyDescent="0.2">
      <c r="A8656" t="s">
        <v>7</v>
      </c>
      <c r="B8656" t="s">
        <v>27</v>
      </c>
      <c r="C8656" t="str">
        <f t="shared" si="272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71"/>
        <v>2</v>
      </c>
    </row>
    <row r="8657" spans="1:8" x14ac:dyDescent="0.2">
      <c r="A8657" t="s">
        <v>7</v>
      </c>
      <c r="B8657" t="s">
        <v>27</v>
      </c>
      <c r="C8657" t="str">
        <f t="shared" si="272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71"/>
        <v>-1</v>
      </c>
    </row>
    <row r="8658" spans="1:8" x14ac:dyDescent="0.2">
      <c r="A8658" t="s">
        <v>7</v>
      </c>
      <c r="B8658" t="s">
        <v>27</v>
      </c>
      <c r="C8658" t="str">
        <f t="shared" si="272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71"/>
        <v>0</v>
      </c>
    </row>
    <row r="8659" spans="1:8" x14ac:dyDescent="0.2">
      <c r="A8659" t="s">
        <v>7</v>
      </c>
      <c r="B8659" t="s">
        <v>27</v>
      </c>
      <c r="C8659" t="str">
        <f t="shared" si="272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71"/>
        <v>0</v>
      </c>
    </row>
    <row r="8660" spans="1:8" x14ac:dyDescent="0.2">
      <c r="A8660" t="s">
        <v>7</v>
      </c>
      <c r="B8660" t="s">
        <v>27</v>
      </c>
      <c r="C8660" t="str">
        <f t="shared" si="272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71"/>
        <v>-1</v>
      </c>
    </row>
    <row r="8661" spans="1:8" x14ac:dyDescent="0.2">
      <c r="A8661" t="s">
        <v>18</v>
      </c>
      <c r="B8661" t="s">
        <v>27</v>
      </c>
      <c r="C8661" t="str">
        <f t="shared" si="272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71"/>
        <v>-1</v>
      </c>
    </row>
    <row r="8662" spans="1:8" x14ac:dyDescent="0.2">
      <c r="A8662" t="s">
        <v>7</v>
      </c>
      <c r="B8662" t="s">
        <v>27</v>
      </c>
      <c r="C8662" t="str">
        <f t="shared" si="272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71"/>
        <v>-1</v>
      </c>
    </row>
    <row r="8663" spans="1:8" x14ac:dyDescent="0.2">
      <c r="A8663" t="s">
        <v>7</v>
      </c>
      <c r="B8663" t="s">
        <v>27</v>
      </c>
      <c r="C8663" t="str">
        <f t="shared" si="272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71"/>
        <v>2</v>
      </c>
    </row>
    <row r="8664" spans="1:8" x14ac:dyDescent="0.2">
      <c r="A8664" t="s">
        <v>7</v>
      </c>
      <c r="B8664" t="s">
        <v>27</v>
      </c>
      <c r="C8664" t="str">
        <f t="shared" si="272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71"/>
        <v>-1</v>
      </c>
    </row>
    <row r="8665" spans="1:8" x14ac:dyDescent="0.2">
      <c r="A8665" t="s">
        <v>7</v>
      </c>
      <c r="B8665" t="s">
        <v>27</v>
      </c>
      <c r="C8665" t="str">
        <f t="shared" si="272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71"/>
        <v>-1</v>
      </c>
    </row>
    <row r="8666" spans="1:8" x14ac:dyDescent="0.2">
      <c r="A8666" t="s">
        <v>7</v>
      </c>
      <c r="B8666" t="s">
        <v>27</v>
      </c>
      <c r="C8666" t="str">
        <f t="shared" si="272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71"/>
        <v>2</v>
      </c>
    </row>
    <row r="8667" spans="1:8" x14ac:dyDescent="0.2">
      <c r="A8667" t="s">
        <v>7</v>
      </c>
      <c r="B8667" t="s">
        <v>27</v>
      </c>
      <c r="C8667" t="str">
        <f t="shared" si="272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71"/>
        <v>-1</v>
      </c>
    </row>
    <row r="8668" spans="1:8" x14ac:dyDescent="0.2">
      <c r="A8668" t="s">
        <v>7</v>
      </c>
      <c r="B8668" t="s">
        <v>27</v>
      </c>
      <c r="C8668" t="str">
        <f t="shared" si="272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71"/>
        <v>2</v>
      </c>
    </row>
    <row r="8669" spans="1:8" x14ac:dyDescent="0.2">
      <c r="A8669" t="s">
        <v>7</v>
      </c>
      <c r="B8669" t="s">
        <v>27</v>
      </c>
      <c r="C8669" t="str">
        <f t="shared" si="272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71"/>
        <v>2</v>
      </c>
    </row>
    <row r="8670" spans="1:8" x14ac:dyDescent="0.2">
      <c r="A8670" t="s">
        <v>7</v>
      </c>
      <c r="B8670" t="s">
        <v>27</v>
      </c>
      <c r="C8670" t="str">
        <f t="shared" si="272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71"/>
        <v>0</v>
      </c>
    </row>
    <row r="8671" spans="1:8" x14ac:dyDescent="0.2">
      <c r="A8671" t="s">
        <v>7</v>
      </c>
      <c r="B8671" t="s">
        <v>27</v>
      </c>
      <c r="C8671" t="str">
        <f t="shared" si="272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71"/>
        <v>2</v>
      </c>
    </row>
    <row r="8672" spans="1:8" x14ac:dyDescent="0.2">
      <c r="A8672" t="s">
        <v>7</v>
      </c>
      <c r="B8672" t="s">
        <v>27</v>
      </c>
      <c r="C8672" t="str">
        <f t="shared" si="272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71"/>
        <v>-1</v>
      </c>
    </row>
    <row r="8673" spans="1:8" x14ac:dyDescent="0.2">
      <c r="A8673" t="s">
        <v>7</v>
      </c>
      <c r="B8673" t="s">
        <v>27</v>
      </c>
      <c r="C8673" t="str">
        <f t="shared" si="272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71"/>
        <v>2</v>
      </c>
    </row>
    <row r="8674" spans="1:8" x14ac:dyDescent="0.2">
      <c r="A8674" t="s">
        <v>7</v>
      </c>
      <c r="B8674" t="s">
        <v>27</v>
      </c>
      <c r="C8674" t="str">
        <f t="shared" si="272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71"/>
        <v>2</v>
      </c>
    </row>
    <row r="8675" spans="1:8" x14ac:dyDescent="0.2">
      <c r="A8675" t="s">
        <v>7</v>
      </c>
      <c r="B8675" t="s">
        <v>27</v>
      </c>
      <c r="C8675" t="str">
        <f t="shared" si="272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71"/>
        <v>2</v>
      </c>
    </row>
    <row r="8676" spans="1:8" x14ac:dyDescent="0.2">
      <c r="A8676" t="s">
        <v>7</v>
      </c>
      <c r="B8676" t="s">
        <v>27</v>
      </c>
      <c r="C8676" t="str">
        <f t="shared" si="272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71"/>
        <v>2</v>
      </c>
    </row>
    <row r="8677" spans="1:8" x14ac:dyDescent="0.2">
      <c r="A8677" t="s">
        <v>7</v>
      </c>
      <c r="B8677" t="s">
        <v>27</v>
      </c>
      <c r="C8677" t="str">
        <f t="shared" si="272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71"/>
        <v>0</v>
      </c>
    </row>
    <row r="8678" spans="1:8" x14ac:dyDescent="0.2">
      <c r="A8678" t="s">
        <v>7</v>
      </c>
      <c r="B8678" t="s">
        <v>27</v>
      </c>
      <c r="C8678" t="str">
        <f t="shared" si="272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si="271"/>
        <v>-1</v>
      </c>
    </row>
    <row r="8679" spans="1:8" x14ac:dyDescent="0.2">
      <c r="A8679" t="s">
        <v>7</v>
      </c>
      <c r="B8679" t="s">
        <v>27</v>
      </c>
      <c r="C8679" t="str">
        <f t="shared" si="272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71"/>
        <v>-1</v>
      </c>
    </row>
    <row r="8680" spans="1:8" x14ac:dyDescent="0.2">
      <c r="A8680" t="s">
        <v>7</v>
      </c>
      <c r="B8680" t="s">
        <v>27</v>
      </c>
      <c r="C8680" t="str">
        <f t="shared" si="272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71"/>
        <v>2</v>
      </c>
    </row>
    <row r="8681" spans="1:8" x14ac:dyDescent="0.2">
      <c r="A8681" t="s">
        <v>7</v>
      </c>
      <c r="B8681" t="s">
        <v>27</v>
      </c>
      <c r="C8681" t="str">
        <f t="shared" si="272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71"/>
        <v>0</v>
      </c>
    </row>
    <row r="8682" spans="1:8" x14ac:dyDescent="0.2">
      <c r="A8682" t="s">
        <v>7</v>
      </c>
      <c r="B8682" t="s">
        <v>27</v>
      </c>
      <c r="C8682" t="str">
        <f t="shared" si="272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71"/>
        <v>2</v>
      </c>
    </row>
    <row r="8683" spans="1:8" x14ac:dyDescent="0.2">
      <c r="A8683" t="s">
        <v>7</v>
      </c>
      <c r="B8683" t="s">
        <v>27</v>
      </c>
      <c r="C8683" t="str">
        <f t="shared" si="272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71"/>
        <v>0</v>
      </c>
    </row>
    <row r="8684" spans="1:8" x14ac:dyDescent="0.2">
      <c r="A8684" t="s">
        <v>7</v>
      </c>
      <c r="B8684" t="s">
        <v>27</v>
      </c>
      <c r="C8684" t="str">
        <f t="shared" si="272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71"/>
        <v>2</v>
      </c>
    </row>
    <row r="8685" spans="1:8" x14ac:dyDescent="0.2">
      <c r="A8685" t="s">
        <v>7</v>
      </c>
      <c r="B8685" t="s">
        <v>27</v>
      </c>
      <c r="C8685" t="str">
        <f t="shared" si="272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71"/>
        <v>2</v>
      </c>
    </row>
    <row r="8686" spans="1:8" x14ac:dyDescent="0.2">
      <c r="A8686" t="s">
        <v>21</v>
      </c>
      <c r="B8686" t="s">
        <v>27</v>
      </c>
      <c r="C8686" t="str">
        <f t="shared" si="272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71"/>
        <v>2</v>
      </c>
    </row>
    <row r="8687" spans="1:8" x14ac:dyDescent="0.2">
      <c r="A8687" t="s">
        <v>21</v>
      </c>
      <c r="B8687" t="s">
        <v>27</v>
      </c>
      <c r="C8687" t="str">
        <f t="shared" si="272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71"/>
        <v>2</v>
      </c>
    </row>
    <row r="8688" spans="1:8" x14ac:dyDescent="0.2">
      <c r="A8688" t="s">
        <v>21</v>
      </c>
      <c r="B8688" t="s">
        <v>27</v>
      </c>
      <c r="C8688" t="str">
        <f t="shared" si="272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71"/>
        <v>2</v>
      </c>
    </row>
    <row r="8689" spans="1:8" x14ac:dyDescent="0.2">
      <c r="A8689" t="s">
        <v>21</v>
      </c>
      <c r="B8689" t="s">
        <v>27</v>
      </c>
      <c r="C8689" t="str">
        <f t="shared" si="272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71"/>
        <v>-1</v>
      </c>
    </row>
    <row r="8690" spans="1:8" x14ac:dyDescent="0.2">
      <c r="A8690" t="s">
        <v>21</v>
      </c>
      <c r="B8690" t="s">
        <v>27</v>
      </c>
      <c r="C8690" t="str">
        <f t="shared" si="272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71"/>
        <v>-1</v>
      </c>
    </row>
    <row r="8691" spans="1:8" x14ac:dyDescent="0.2">
      <c r="A8691" t="s">
        <v>7</v>
      </c>
      <c r="B8691" t="s">
        <v>27</v>
      </c>
      <c r="C8691" t="str">
        <f t="shared" si="272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71"/>
        <v>2</v>
      </c>
    </row>
    <row r="8692" spans="1:8" x14ac:dyDescent="0.2">
      <c r="A8692" t="s">
        <v>7</v>
      </c>
      <c r="B8692" t="s">
        <v>27</v>
      </c>
      <c r="C8692" t="str">
        <f t="shared" si="272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71"/>
        <v>2</v>
      </c>
    </row>
    <row r="8693" spans="1:8" x14ac:dyDescent="0.2">
      <c r="A8693" t="s">
        <v>7</v>
      </c>
      <c r="B8693" t="s">
        <v>27</v>
      </c>
      <c r="C8693" t="str">
        <f t="shared" si="272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71"/>
        <v>1</v>
      </c>
    </row>
    <row r="8694" spans="1:8" x14ac:dyDescent="0.2">
      <c r="A8694" t="s">
        <v>7</v>
      </c>
      <c r="B8694" t="s">
        <v>27</v>
      </c>
      <c r="C8694" t="str">
        <f t="shared" si="272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71"/>
        <v>1</v>
      </c>
    </row>
    <row r="8695" spans="1:8" x14ac:dyDescent="0.2">
      <c r="A8695" t="s">
        <v>7</v>
      </c>
      <c r="B8695" t="s">
        <v>27</v>
      </c>
      <c r="C8695" t="str">
        <f t="shared" si="272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71"/>
        <v>-2</v>
      </c>
    </row>
    <row r="8696" spans="1:8" x14ac:dyDescent="0.2">
      <c r="A8696" t="s">
        <v>7</v>
      </c>
      <c r="B8696" t="s">
        <v>27</v>
      </c>
      <c r="C8696" t="str">
        <f t="shared" si="272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71"/>
        <v>0</v>
      </c>
    </row>
    <row r="8697" spans="1:8" x14ac:dyDescent="0.2">
      <c r="A8697" t="s">
        <v>7</v>
      </c>
      <c r="B8697" t="s">
        <v>27</v>
      </c>
      <c r="C8697" t="str">
        <f t="shared" si="272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71"/>
        <v>1</v>
      </c>
    </row>
    <row r="8698" spans="1:8" x14ac:dyDescent="0.2">
      <c r="A8698" t="s">
        <v>7</v>
      </c>
      <c r="B8698" t="s">
        <v>27</v>
      </c>
      <c r="C8698" t="str">
        <f t="shared" si="272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71"/>
        <v>1</v>
      </c>
    </row>
    <row r="8699" spans="1:8" x14ac:dyDescent="0.2">
      <c r="A8699" t="s">
        <v>7</v>
      </c>
      <c r="B8699" t="s">
        <v>27</v>
      </c>
      <c r="C8699" t="str">
        <f t="shared" si="272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71"/>
        <v>0</v>
      </c>
    </row>
    <row r="8700" spans="1:8" x14ac:dyDescent="0.2">
      <c r="A8700" t="s">
        <v>7</v>
      </c>
      <c r="B8700" t="s">
        <v>27</v>
      </c>
      <c r="C8700" t="str">
        <f t="shared" si="272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71"/>
        <v>0</v>
      </c>
    </row>
    <row r="8701" spans="1:8" x14ac:dyDescent="0.2">
      <c r="A8701" t="s">
        <v>7</v>
      </c>
      <c r="B8701" t="s">
        <v>27</v>
      </c>
      <c r="C8701" t="str">
        <f t="shared" si="272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71"/>
        <v>1</v>
      </c>
    </row>
    <row r="8702" spans="1:8" x14ac:dyDescent="0.2">
      <c r="A8702" t="s">
        <v>7</v>
      </c>
      <c r="B8702" t="s">
        <v>27</v>
      </c>
      <c r="C8702" t="str">
        <f t="shared" si="272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71"/>
        <v>-2</v>
      </c>
    </row>
    <row r="8703" spans="1:8" x14ac:dyDescent="0.2">
      <c r="A8703" t="s">
        <v>7</v>
      </c>
      <c r="B8703" t="s">
        <v>27</v>
      </c>
      <c r="C8703" t="str">
        <f t="shared" si="272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71"/>
        <v>1</v>
      </c>
    </row>
    <row r="8704" spans="1:8" x14ac:dyDescent="0.2">
      <c r="A8704" t="s">
        <v>7</v>
      </c>
      <c r="B8704" t="s">
        <v>27</v>
      </c>
      <c r="C8704" t="str">
        <f t="shared" si="272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71"/>
        <v>-2</v>
      </c>
    </row>
    <row r="8705" spans="1:8" x14ac:dyDescent="0.2">
      <c r="A8705" t="s">
        <v>7</v>
      </c>
      <c r="B8705" t="s">
        <v>27</v>
      </c>
      <c r="C8705" t="str">
        <f t="shared" si="272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71"/>
        <v>1</v>
      </c>
    </row>
    <row r="8706" spans="1:8" x14ac:dyDescent="0.2">
      <c r="A8706" t="s">
        <v>7</v>
      </c>
      <c r="B8706" t="s">
        <v>27</v>
      </c>
      <c r="C8706" t="str">
        <f t="shared" si="272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71"/>
        <v>1</v>
      </c>
    </row>
    <row r="8707" spans="1:8" x14ac:dyDescent="0.2">
      <c r="A8707" t="s">
        <v>7</v>
      </c>
      <c r="B8707" t="s">
        <v>27</v>
      </c>
      <c r="C8707" t="str">
        <f t="shared" si="272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ref="H8707:H8770" si="273">F8707-G8707</f>
        <v>1</v>
      </c>
    </row>
    <row r="8708" spans="1:8" x14ac:dyDescent="0.2">
      <c r="A8708" t="s">
        <v>7</v>
      </c>
      <c r="B8708" t="s">
        <v>27</v>
      </c>
      <c r="C8708" t="str">
        <f t="shared" si="272"/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73"/>
        <v>0</v>
      </c>
    </row>
    <row r="8709" spans="1:8" x14ac:dyDescent="0.2">
      <c r="A8709" t="s">
        <v>7</v>
      </c>
      <c r="B8709" t="s">
        <v>27</v>
      </c>
      <c r="C8709" t="str">
        <f t="shared" ref="C8709:C8772" si="274">IF(H8709&gt;=0,"Cumple","No cumple")</f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73"/>
        <v>1</v>
      </c>
    </row>
    <row r="8710" spans="1:8" x14ac:dyDescent="0.2">
      <c r="A8710" t="s">
        <v>7</v>
      </c>
      <c r="B8710" t="s">
        <v>27</v>
      </c>
      <c r="C8710" t="str">
        <f t="shared" si="274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73"/>
        <v>-2</v>
      </c>
    </row>
    <row r="8711" spans="1:8" x14ac:dyDescent="0.2">
      <c r="A8711" t="s">
        <v>7</v>
      </c>
      <c r="B8711" t="s">
        <v>27</v>
      </c>
      <c r="C8711" t="str">
        <f t="shared" si="274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73"/>
        <v>-2</v>
      </c>
    </row>
    <row r="8712" spans="1:8" x14ac:dyDescent="0.2">
      <c r="A8712" t="s">
        <v>7</v>
      </c>
      <c r="B8712" t="s">
        <v>27</v>
      </c>
      <c r="C8712" t="str">
        <f t="shared" si="274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73"/>
        <v>-2</v>
      </c>
    </row>
    <row r="8713" spans="1:8" x14ac:dyDescent="0.2">
      <c r="A8713" t="s">
        <v>7</v>
      </c>
      <c r="B8713" t="s">
        <v>27</v>
      </c>
      <c r="C8713" t="str">
        <f t="shared" si="274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73"/>
        <v>1</v>
      </c>
    </row>
    <row r="8714" spans="1:8" x14ac:dyDescent="0.2">
      <c r="A8714" t="s">
        <v>7</v>
      </c>
      <c r="B8714" t="s">
        <v>27</v>
      </c>
      <c r="C8714" t="str">
        <f t="shared" si="274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73"/>
        <v>1</v>
      </c>
    </row>
    <row r="8715" spans="1:8" x14ac:dyDescent="0.2">
      <c r="A8715" t="s">
        <v>7</v>
      </c>
      <c r="B8715" t="s">
        <v>27</v>
      </c>
      <c r="C8715" t="str">
        <f t="shared" si="274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73"/>
        <v>-2</v>
      </c>
    </row>
    <row r="8716" spans="1:8" x14ac:dyDescent="0.2">
      <c r="A8716" t="s">
        <v>7</v>
      </c>
      <c r="B8716" t="s">
        <v>27</v>
      </c>
      <c r="C8716" t="str">
        <f t="shared" si="274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73"/>
        <v>0</v>
      </c>
    </row>
    <row r="8717" spans="1:8" x14ac:dyDescent="0.2">
      <c r="A8717" t="s">
        <v>19</v>
      </c>
      <c r="B8717" t="s">
        <v>27</v>
      </c>
      <c r="C8717" t="str">
        <f t="shared" si="274"/>
        <v>No cumple</v>
      </c>
      <c r="D8717">
        <v>9887</v>
      </c>
      <c r="E8717" t="s">
        <v>13</v>
      </c>
      <c r="F8717">
        <v>4</v>
      </c>
      <c r="G8717">
        <v>6</v>
      </c>
      <c r="H8717">
        <f t="shared" si="273"/>
        <v>-2</v>
      </c>
    </row>
    <row r="8718" spans="1:8" x14ac:dyDescent="0.2">
      <c r="A8718" t="s">
        <v>7</v>
      </c>
      <c r="B8718" t="s">
        <v>27</v>
      </c>
      <c r="C8718" t="str">
        <f t="shared" si="274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73"/>
        <v>1</v>
      </c>
    </row>
    <row r="8719" spans="1:8" x14ac:dyDescent="0.2">
      <c r="A8719" t="s">
        <v>7</v>
      </c>
      <c r="B8719" t="s">
        <v>27</v>
      </c>
      <c r="C8719" t="str">
        <f t="shared" si="274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73"/>
        <v>3</v>
      </c>
    </row>
    <row r="8720" spans="1:8" x14ac:dyDescent="0.2">
      <c r="A8720" t="s">
        <v>7</v>
      </c>
      <c r="B8720" t="s">
        <v>27</v>
      </c>
      <c r="C8720" t="str">
        <f t="shared" si="274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73"/>
        <v>1</v>
      </c>
    </row>
    <row r="8721" spans="1:8" x14ac:dyDescent="0.2">
      <c r="A8721" t="s">
        <v>7</v>
      </c>
      <c r="B8721" t="s">
        <v>27</v>
      </c>
      <c r="C8721" t="str">
        <f t="shared" si="274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73"/>
        <v>1</v>
      </c>
    </row>
    <row r="8722" spans="1:8" x14ac:dyDescent="0.2">
      <c r="A8722" t="s">
        <v>7</v>
      </c>
      <c r="B8722" t="s">
        <v>27</v>
      </c>
      <c r="C8722" t="str">
        <f t="shared" si="274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73"/>
        <v>0</v>
      </c>
    </row>
    <row r="8723" spans="1:8" x14ac:dyDescent="0.2">
      <c r="A8723" t="s">
        <v>7</v>
      </c>
      <c r="B8723" t="s">
        <v>27</v>
      </c>
      <c r="C8723" t="str">
        <f t="shared" si="274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73"/>
        <v>0</v>
      </c>
    </row>
    <row r="8724" spans="1:8" x14ac:dyDescent="0.2">
      <c r="A8724" t="s">
        <v>7</v>
      </c>
      <c r="B8724" t="s">
        <v>27</v>
      </c>
      <c r="C8724" t="str">
        <f t="shared" si="274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73"/>
        <v>0</v>
      </c>
    </row>
    <row r="8725" spans="1:8" x14ac:dyDescent="0.2">
      <c r="A8725" t="s">
        <v>7</v>
      </c>
      <c r="B8725" t="s">
        <v>27</v>
      </c>
      <c r="C8725" t="str">
        <f t="shared" si="274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73"/>
        <v>0</v>
      </c>
    </row>
    <row r="8726" spans="1:8" x14ac:dyDescent="0.2">
      <c r="A8726" t="s">
        <v>7</v>
      </c>
      <c r="B8726" t="s">
        <v>27</v>
      </c>
      <c r="C8726" t="str">
        <f t="shared" si="274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73"/>
        <v>0</v>
      </c>
    </row>
    <row r="8727" spans="1:8" x14ac:dyDescent="0.2">
      <c r="A8727" t="s">
        <v>7</v>
      </c>
      <c r="B8727" t="s">
        <v>27</v>
      </c>
      <c r="C8727" t="str">
        <f t="shared" si="274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73"/>
        <v>0</v>
      </c>
    </row>
    <row r="8728" spans="1:8" x14ac:dyDescent="0.2">
      <c r="A8728" t="s">
        <v>7</v>
      </c>
      <c r="B8728" t="s">
        <v>27</v>
      </c>
      <c r="C8728" t="str">
        <f t="shared" si="274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73"/>
        <v>0</v>
      </c>
    </row>
    <row r="8729" spans="1:8" x14ac:dyDescent="0.2">
      <c r="A8729" t="s">
        <v>7</v>
      </c>
      <c r="B8729" t="s">
        <v>27</v>
      </c>
      <c r="C8729" t="str">
        <f t="shared" si="274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73"/>
        <v>0</v>
      </c>
    </row>
    <row r="8730" spans="1:8" x14ac:dyDescent="0.2">
      <c r="A8730" t="s">
        <v>7</v>
      </c>
      <c r="B8730" t="s">
        <v>27</v>
      </c>
      <c r="C8730" t="str">
        <f t="shared" si="274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73"/>
        <v>0</v>
      </c>
    </row>
    <row r="8731" spans="1:8" x14ac:dyDescent="0.2">
      <c r="A8731" t="s">
        <v>7</v>
      </c>
      <c r="B8731" t="s">
        <v>27</v>
      </c>
      <c r="C8731" t="str">
        <f t="shared" si="274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73"/>
        <v>0</v>
      </c>
    </row>
    <row r="8732" spans="1:8" x14ac:dyDescent="0.2">
      <c r="A8732" t="s">
        <v>7</v>
      </c>
      <c r="B8732" t="s">
        <v>27</v>
      </c>
      <c r="C8732" t="str">
        <f t="shared" si="274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73"/>
        <v>0</v>
      </c>
    </row>
    <row r="8733" spans="1:8" x14ac:dyDescent="0.2">
      <c r="A8733" t="s">
        <v>7</v>
      </c>
      <c r="B8733" t="s">
        <v>27</v>
      </c>
      <c r="C8733" t="str">
        <f t="shared" si="274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73"/>
        <v>0</v>
      </c>
    </row>
    <row r="8734" spans="1:8" x14ac:dyDescent="0.2">
      <c r="A8734" t="s">
        <v>7</v>
      </c>
      <c r="B8734" t="s">
        <v>27</v>
      </c>
      <c r="C8734" t="str">
        <f t="shared" si="274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73"/>
        <v>0</v>
      </c>
    </row>
    <row r="8735" spans="1:8" x14ac:dyDescent="0.2">
      <c r="A8735" t="s">
        <v>7</v>
      </c>
      <c r="B8735" t="s">
        <v>27</v>
      </c>
      <c r="C8735" t="str">
        <f t="shared" si="274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73"/>
        <v>0</v>
      </c>
    </row>
    <row r="8736" spans="1:8" x14ac:dyDescent="0.2">
      <c r="A8736" t="s">
        <v>7</v>
      </c>
      <c r="B8736" t="s">
        <v>27</v>
      </c>
      <c r="C8736" t="str">
        <f t="shared" si="274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73"/>
        <v>0</v>
      </c>
    </row>
    <row r="8737" spans="1:8" x14ac:dyDescent="0.2">
      <c r="A8737" t="s">
        <v>7</v>
      </c>
      <c r="B8737" t="s">
        <v>27</v>
      </c>
      <c r="C8737" t="str">
        <f t="shared" si="274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73"/>
        <v>0</v>
      </c>
    </row>
    <row r="8738" spans="1:8" x14ac:dyDescent="0.2">
      <c r="A8738" t="s">
        <v>7</v>
      </c>
      <c r="B8738" t="s">
        <v>27</v>
      </c>
      <c r="C8738" t="str">
        <f t="shared" si="274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73"/>
        <v>0</v>
      </c>
    </row>
    <row r="8739" spans="1:8" x14ac:dyDescent="0.2">
      <c r="A8739" t="s">
        <v>7</v>
      </c>
      <c r="B8739" t="s">
        <v>27</v>
      </c>
      <c r="C8739" t="str">
        <f t="shared" si="274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73"/>
        <v>0</v>
      </c>
    </row>
    <row r="8740" spans="1:8" x14ac:dyDescent="0.2">
      <c r="A8740" t="s">
        <v>7</v>
      </c>
      <c r="B8740" t="s">
        <v>27</v>
      </c>
      <c r="C8740" t="str">
        <f t="shared" si="274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73"/>
        <v>0</v>
      </c>
    </row>
    <row r="8741" spans="1:8" x14ac:dyDescent="0.2">
      <c r="A8741" t="s">
        <v>7</v>
      </c>
      <c r="B8741" t="s">
        <v>27</v>
      </c>
      <c r="C8741" t="str">
        <f t="shared" si="274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73"/>
        <v>0</v>
      </c>
    </row>
    <row r="8742" spans="1:8" x14ac:dyDescent="0.2">
      <c r="A8742" t="s">
        <v>7</v>
      </c>
      <c r="B8742" t="s">
        <v>27</v>
      </c>
      <c r="C8742" t="str">
        <f t="shared" si="274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si="273"/>
        <v>0</v>
      </c>
    </row>
    <row r="8743" spans="1:8" x14ac:dyDescent="0.2">
      <c r="A8743" t="s">
        <v>7</v>
      </c>
      <c r="B8743" t="s">
        <v>27</v>
      </c>
      <c r="C8743" t="str">
        <f t="shared" si="274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73"/>
        <v>0</v>
      </c>
    </row>
    <row r="8744" spans="1:8" x14ac:dyDescent="0.2">
      <c r="A8744" t="s">
        <v>7</v>
      </c>
      <c r="B8744" t="s">
        <v>27</v>
      </c>
      <c r="C8744" t="str">
        <f t="shared" si="274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73"/>
        <v>0</v>
      </c>
    </row>
    <row r="8745" spans="1:8" x14ac:dyDescent="0.2">
      <c r="A8745" t="s">
        <v>7</v>
      </c>
      <c r="B8745" t="s">
        <v>27</v>
      </c>
      <c r="C8745" t="str">
        <f t="shared" si="274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73"/>
        <v>0</v>
      </c>
    </row>
    <row r="8746" spans="1:8" x14ac:dyDescent="0.2">
      <c r="A8746" t="s">
        <v>7</v>
      </c>
      <c r="B8746" t="s">
        <v>27</v>
      </c>
      <c r="C8746" t="str">
        <f t="shared" si="274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73"/>
        <v>0</v>
      </c>
    </row>
    <row r="8747" spans="1:8" x14ac:dyDescent="0.2">
      <c r="A8747" t="s">
        <v>7</v>
      </c>
      <c r="B8747" t="s">
        <v>27</v>
      </c>
      <c r="C8747" t="str">
        <f t="shared" si="274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73"/>
        <v>0</v>
      </c>
    </row>
    <row r="8748" spans="1:8" x14ac:dyDescent="0.2">
      <c r="A8748" t="s">
        <v>7</v>
      </c>
      <c r="B8748" t="s">
        <v>27</v>
      </c>
      <c r="C8748" t="str">
        <f t="shared" si="274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73"/>
        <v>-3</v>
      </c>
    </row>
    <row r="8749" spans="1:8" x14ac:dyDescent="0.2">
      <c r="A8749" t="s">
        <v>7</v>
      </c>
      <c r="B8749" t="s">
        <v>27</v>
      </c>
      <c r="C8749" t="str">
        <f t="shared" si="274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73"/>
        <v>0</v>
      </c>
    </row>
    <row r="8750" spans="1:8" x14ac:dyDescent="0.2">
      <c r="A8750" t="s">
        <v>7</v>
      </c>
      <c r="B8750" t="s">
        <v>27</v>
      </c>
      <c r="C8750" t="str">
        <f t="shared" si="274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73"/>
        <v>0</v>
      </c>
    </row>
    <row r="8751" spans="1:8" x14ac:dyDescent="0.2">
      <c r="A8751" t="s">
        <v>7</v>
      </c>
      <c r="B8751" t="s">
        <v>27</v>
      </c>
      <c r="C8751" t="str">
        <f t="shared" si="274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73"/>
        <v>0</v>
      </c>
    </row>
    <row r="8752" spans="1:8" x14ac:dyDescent="0.2">
      <c r="A8752" t="s">
        <v>7</v>
      </c>
      <c r="B8752" t="s">
        <v>27</v>
      </c>
      <c r="C8752" t="str">
        <f t="shared" si="274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73"/>
        <v>0</v>
      </c>
    </row>
    <row r="8753" spans="1:8" x14ac:dyDescent="0.2">
      <c r="A8753" t="s">
        <v>7</v>
      </c>
      <c r="B8753" t="s">
        <v>27</v>
      </c>
      <c r="C8753" t="str">
        <f t="shared" si="274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73"/>
        <v>-1</v>
      </c>
    </row>
    <row r="8754" spans="1:8" x14ac:dyDescent="0.2">
      <c r="A8754" t="s">
        <v>7</v>
      </c>
      <c r="B8754" t="s">
        <v>27</v>
      </c>
      <c r="C8754" t="str">
        <f t="shared" si="274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73"/>
        <v>-1</v>
      </c>
    </row>
    <row r="8755" spans="1:8" x14ac:dyDescent="0.2">
      <c r="A8755" t="s">
        <v>7</v>
      </c>
      <c r="B8755" t="s">
        <v>27</v>
      </c>
      <c r="C8755" t="str">
        <f t="shared" si="274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73"/>
        <v>0</v>
      </c>
    </row>
    <row r="8756" spans="1:8" x14ac:dyDescent="0.2">
      <c r="A8756" t="s">
        <v>7</v>
      </c>
      <c r="B8756" t="s">
        <v>27</v>
      </c>
      <c r="C8756" t="str">
        <f t="shared" si="274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73"/>
        <v>-1</v>
      </c>
    </row>
    <row r="8757" spans="1:8" x14ac:dyDescent="0.2">
      <c r="A8757" t="s">
        <v>7</v>
      </c>
      <c r="B8757" t="s">
        <v>27</v>
      </c>
      <c r="C8757" t="str">
        <f t="shared" si="274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73"/>
        <v>-1</v>
      </c>
    </row>
    <row r="8758" spans="1:8" x14ac:dyDescent="0.2">
      <c r="A8758" t="s">
        <v>7</v>
      </c>
      <c r="B8758" t="s">
        <v>27</v>
      </c>
      <c r="C8758" t="str">
        <f t="shared" si="274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73"/>
        <v>-1</v>
      </c>
    </row>
    <row r="8759" spans="1:8" x14ac:dyDescent="0.2">
      <c r="A8759" t="s">
        <v>7</v>
      </c>
      <c r="B8759" t="s">
        <v>27</v>
      </c>
      <c r="C8759" t="str">
        <f t="shared" si="274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73"/>
        <v>-1</v>
      </c>
    </row>
    <row r="8760" spans="1:8" x14ac:dyDescent="0.2">
      <c r="A8760" t="s">
        <v>7</v>
      </c>
      <c r="B8760" t="s">
        <v>27</v>
      </c>
      <c r="C8760" t="str">
        <f t="shared" si="274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73"/>
        <v>-1</v>
      </c>
    </row>
    <row r="8761" spans="1:8" x14ac:dyDescent="0.2">
      <c r="A8761" t="s">
        <v>7</v>
      </c>
      <c r="B8761" t="s">
        <v>27</v>
      </c>
      <c r="C8761" t="str">
        <f t="shared" si="274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73"/>
        <v>-1</v>
      </c>
    </row>
    <row r="8762" spans="1:8" x14ac:dyDescent="0.2">
      <c r="A8762" t="s">
        <v>7</v>
      </c>
      <c r="B8762" t="s">
        <v>27</v>
      </c>
      <c r="C8762" t="str">
        <f t="shared" si="274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73"/>
        <v>0</v>
      </c>
    </row>
    <row r="8763" spans="1:8" x14ac:dyDescent="0.2">
      <c r="A8763" t="s">
        <v>7</v>
      </c>
      <c r="B8763" t="s">
        <v>27</v>
      </c>
      <c r="C8763" t="str">
        <f t="shared" si="274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73"/>
        <v>-1</v>
      </c>
    </row>
    <row r="8764" spans="1:8" x14ac:dyDescent="0.2">
      <c r="A8764" t="s">
        <v>18</v>
      </c>
      <c r="B8764" t="s">
        <v>27</v>
      </c>
      <c r="C8764" t="str">
        <f t="shared" si="274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73"/>
        <v>-1</v>
      </c>
    </row>
    <row r="8765" spans="1:8" x14ac:dyDescent="0.2">
      <c r="A8765" t="s">
        <v>7</v>
      </c>
      <c r="B8765" t="s">
        <v>27</v>
      </c>
      <c r="C8765" t="str">
        <f t="shared" si="274"/>
        <v>Cumple</v>
      </c>
      <c r="D8765">
        <v>1434</v>
      </c>
      <c r="E8765" t="s">
        <v>13</v>
      </c>
      <c r="F8765" s="9">
        <v>3</v>
      </c>
      <c r="G8765">
        <v>3</v>
      </c>
      <c r="H8765">
        <f t="shared" si="273"/>
        <v>0</v>
      </c>
    </row>
    <row r="8766" spans="1:8" x14ac:dyDescent="0.2">
      <c r="A8766" t="s">
        <v>7</v>
      </c>
      <c r="B8766" t="s">
        <v>27</v>
      </c>
      <c r="C8766" t="str">
        <f t="shared" si="274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73"/>
        <v>-1</v>
      </c>
    </row>
    <row r="8767" spans="1:8" x14ac:dyDescent="0.2">
      <c r="A8767" t="s">
        <v>7</v>
      </c>
      <c r="B8767" t="s">
        <v>27</v>
      </c>
      <c r="C8767" t="str">
        <f t="shared" si="274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73"/>
        <v>-1</v>
      </c>
    </row>
    <row r="8768" spans="1:8" x14ac:dyDescent="0.2">
      <c r="A8768" t="s">
        <v>7</v>
      </c>
      <c r="B8768" t="s">
        <v>27</v>
      </c>
      <c r="C8768" t="str">
        <f t="shared" si="274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73"/>
        <v>-1</v>
      </c>
    </row>
    <row r="8769" spans="1:8" x14ac:dyDescent="0.2">
      <c r="A8769" t="s">
        <v>7</v>
      </c>
      <c r="B8769" t="s">
        <v>27</v>
      </c>
      <c r="C8769" t="str">
        <f t="shared" si="274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73"/>
        <v>0</v>
      </c>
    </row>
    <row r="8770" spans="1:8" x14ac:dyDescent="0.2">
      <c r="A8770" t="s">
        <v>7</v>
      </c>
      <c r="B8770" t="s">
        <v>27</v>
      </c>
      <c r="C8770" t="str">
        <f t="shared" si="274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73"/>
        <v>-1</v>
      </c>
    </row>
    <row r="8771" spans="1:8" x14ac:dyDescent="0.2">
      <c r="A8771" t="s">
        <v>7</v>
      </c>
      <c r="B8771" t="s">
        <v>27</v>
      </c>
      <c r="C8771" t="str">
        <f t="shared" si="274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ref="H8771:H8834" si="275">F8771-G8771</f>
        <v>-4</v>
      </c>
    </row>
    <row r="8772" spans="1:8" x14ac:dyDescent="0.2">
      <c r="A8772" t="s">
        <v>7</v>
      </c>
      <c r="B8772" t="s">
        <v>27</v>
      </c>
      <c r="C8772" t="str">
        <f t="shared" si="274"/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75"/>
        <v>-1</v>
      </c>
    </row>
    <row r="8773" spans="1:8" x14ac:dyDescent="0.2">
      <c r="A8773" t="s">
        <v>7</v>
      </c>
      <c r="B8773" t="s">
        <v>27</v>
      </c>
      <c r="C8773" t="str">
        <f t="shared" ref="C8773:C8836" si="276">IF(H8773&gt;=0,"Cumple","No cumple")</f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75"/>
        <v>-1</v>
      </c>
    </row>
    <row r="8774" spans="1:8" x14ac:dyDescent="0.2">
      <c r="A8774" t="s">
        <v>7</v>
      </c>
      <c r="B8774" t="s">
        <v>27</v>
      </c>
      <c r="C8774" t="str">
        <f t="shared" si="276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75"/>
        <v>-1</v>
      </c>
    </row>
    <row r="8775" spans="1:8" x14ac:dyDescent="0.2">
      <c r="A8775" t="s">
        <v>7</v>
      </c>
      <c r="B8775" t="s">
        <v>27</v>
      </c>
      <c r="C8775" t="str">
        <f t="shared" si="276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75"/>
        <v>-1</v>
      </c>
    </row>
    <row r="8776" spans="1:8" x14ac:dyDescent="0.2">
      <c r="A8776" t="s">
        <v>7</v>
      </c>
      <c r="B8776" t="s">
        <v>27</v>
      </c>
      <c r="C8776" t="str">
        <f t="shared" si="276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75"/>
        <v>-1</v>
      </c>
    </row>
    <row r="8777" spans="1:8" x14ac:dyDescent="0.2">
      <c r="A8777" t="s">
        <v>7</v>
      </c>
      <c r="B8777" t="s">
        <v>27</v>
      </c>
      <c r="C8777" t="str">
        <f t="shared" si="276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75"/>
        <v>-1</v>
      </c>
    </row>
    <row r="8778" spans="1:8" x14ac:dyDescent="0.2">
      <c r="A8778" t="s">
        <v>7</v>
      </c>
      <c r="B8778" t="s">
        <v>27</v>
      </c>
      <c r="C8778" t="str">
        <f t="shared" si="276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75"/>
        <v>-1</v>
      </c>
    </row>
    <row r="8779" spans="1:8" x14ac:dyDescent="0.2">
      <c r="A8779" t="s">
        <v>7</v>
      </c>
      <c r="B8779" t="s">
        <v>27</v>
      </c>
      <c r="C8779" t="str">
        <f t="shared" si="276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75"/>
        <v>-1</v>
      </c>
    </row>
    <row r="8780" spans="1:8" x14ac:dyDescent="0.2">
      <c r="A8780" t="s">
        <v>7</v>
      </c>
      <c r="B8780" t="s">
        <v>27</v>
      </c>
      <c r="C8780" t="str">
        <f t="shared" si="276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75"/>
        <v>0</v>
      </c>
    </row>
    <row r="8781" spans="1:8" x14ac:dyDescent="0.2">
      <c r="A8781" t="s">
        <v>18</v>
      </c>
      <c r="B8781" t="s">
        <v>27</v>
      </c>
      <c r="C8781" t="str">
        <f t="shared" si="276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75"/>
        <v>0</v>
      </c>
    </row>
    <row r="8782" spans="1:8" x14ac:dyDescent="0.2">
      <c r="A8782" t="s">
        <v>7</v>
      </c>
      <c r="B8782" t="s">
        <v>27</v>
      </c>
      <c r="C8782" t="str">
        <f t="shared" si="276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75"/>
        <v>-1</v>
      </c>
    </row>
    <row r="8783" spans="1:8" x14ac:dyDescent="0.2">
      <c r="A8783" t="s">
        <v>18</v>
      </c>
      <c r="B8783" t="s">
        <v>27</v>
      </c>
      <c r="C8783" t="str">
        <f t="shared" si="276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75"/>
        <v>-1</v>
      </c>
    </row>
    <row r="8784" spans="1:8" x14ac:dyDescent="0.2">
      <c r="A8784" t="s">
        <v>7</v>
      </c>
      <c r="B8784" t="s">
        <v>27</v>
      </c>
      <c r="C8784" t="str">
        <f t="shared" si="276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75"/>
        <v>-2</v>
      </c>
    </row>
    <row r="8785" spans="1:8" x14ac:dyDescent="0.2">
      <c r="A8785" t="s">
        <v>7</v>
      </c>
      <c r="B8785" t="s">
        <v>27</v>
      </c>
      <c r="C8785" t="str">
        <f t="shared" si="276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75"/>
        <v>-2</v>
      </c>
    </row>
    <row r="8786" spans="1:8" x14ac:dyDescent="0.2">
      <c r="A8786" t="s">
        <v>7</v>
      </c>
      <c r="B8786" t="s">
        <v>27</v>
      </c>
      <c r="C8786" t="str">
        <f t="shared" si="276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75"/>
        <v>-2</v>
      </c>
    </row>
    <row r="8787" spans="1:8" x14ac:dyDescent="0.2">
      <c r="A8787" t="s">
        <v>7</v>
      </c>
      <c r="B8787" t="s">
        <v>27</v>
      </c>
      <c r="C8787" t="str">
        <f t="shared" si="276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75"/>
        <v>-2</v>
      </c>
    </row>
    <row r="8788" spans="1:8" x14ac:dyDescent="0.2">
      <c r="A8788" t="s">
        <v>7</v>
      </c>
      <c r="B8788" t="s">
        <v>27</v>
      </c>
      <c r="C8788" t="str">
        <f t="shared" si="276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75"/>
        <v>-2</v>
      </c>
    </row>
    <row r="8789" spans="1:8" x14ac:dyDescent="0.2">
      <c r="A8789" t="s">
        <v>7</v>
      </c>
      <c r="B8789" t="s">
        <v>27</v>
      </c>
      <c r="C8789" t="str">
        <f t="shared" si="276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75"/>
        <v>-2</v>
      </c>
    </row>
    <row r="8790" spans="1:8" x14ac:dyDescent="0.2">
      <c r="A8790" t="s">
        <v>7</v>
      </c>
      <c r="B8790" t="s">
        <v>27</v>
      </c>
      <c r="C8790" t="str">
        <f t="shared" si="276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75"/>
        <v>-2</v>
      </c>
    </row>
    <row r="8791" spans="1:8" x14ac:dyDescent="0.2">
      <c r="A8791" t="s">
        <v>18</v>
      </c>
      <c r="B8791" t="s">
        <v>27</v>
      </c>
      <c r="C8791" t="str">
        <f t="shared" si="276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75"/>
        <v>-2</v>
      </c>
    </row>
    <row r="8792" spans="1:8" x14ac:dyDescent="0.2">
      <c r="A8792" t="s">
        <v>7</v>
      </c>
      <c r="B8792" t="s">
        <v>27</v>
      </c>
      <c r="C8792" t="str">
        <f t="shared" si="276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75"/>
        <v>-2</v>
      </c>
    </row>
    <row r="8793" spans="1:8" x14ac:dyDescent="0.2">
      <c r="A8793" t="s">
        <v>7</v>
      </c>
      <c r="B8793" t="s">
        <v>27</v>
      </c>
      <c r="C8793" t="str">
        <f t="shared" si="276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75"/>
        <v>-2</v>
      </c>
    </row>
    <row r="8794" spans="1:8" x14ac:dyDescent="0.2">
      <c r="A8794" t="s">
        <v>7</v>
      </c>
      <c r="B8794" t="s">
        <v>27</v>
      </c>
      <c r="C8794" t="str">
        <f t="shared" si="276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75"/>
        <v>-2</v>
      </c>
    </row>
    <row r="8795" spans="1:8" x14ac:dyDescent="0.2">
      <c r="A8795" t="s">
        <v>7</v>
      </c>
      <c r="B8795" t="s">
        <v>27</v>
      </c>
      <c r="C8795" t="str">
        <f t="shared" si="276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75"/>
        <v>-2</v>
      </c>
    </row>
    <row r="8796" spans="1:8" x14ac:dyDescent="0.2">
      <c r="A8796" t="s">
        <v>7</v>
      </c>
      <c r="B8796" t="s">
        <v>27</v>
      </c>
      <c r="C8796" t="str">
        <f t="shared" si="276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75"/>
        <v>-2</v>
      </c>
    </row>
    <row r="8797" spans="1:8" x14ac:dyDescent="0.2">
      <c r="A8797" t="s">
        <v>7</v>
      </c>
      <c r="B8797" t="s">
        <v>27</v>
      </c>
      <c r="C8797" t="str">
        <f t="shared" si="276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75"/>
        <v>-2</v>
      </c>
    </row>
    <row r="8798" spans="1:8" x14ac:dyDescent="0.2">
      <c r="A8798" t="s">
        <v>7</v>
      </c>
      <c r="B8798" t="s">
        <v>27</v>
      </c>
      <c r="C8798" t="str">
        <f t="shared" si="276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75"/>
        <v>-2</v>
      </c>
    </row>
    <row r="8799" spans="1:8" x14ac:dyDescent="0.2">
      <c r="A8799" t="s">
        <v>7</v>
      </c>
      <c r="B8799" t="s">
        <v>27</v>
      </c>
      <c r="C8799" t="str">
        <f t="shared" si="276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75"/>
        <v>-2</v>
      </c>
    </row>
    <row r="8800" spans="1:8" x14ac:dyDescent="0.2">
      <c r="A8800" t="s">
        <v>7</v>
      </c>
      <c r="B8800" t="s">
        <v>27</v>
      </c>
      <c r="C8800" t="str">
        <f t="shared" si="276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75"/>
        <v>-2</v>
      </c>
    </row>
    <row r="8801" spans="1:8" x14ac:dyDescent="0.2">
      <c r="A8801" t="s">
        <v>7</v>
      </c>
      <c r="B8801" t="s">
        <v>27</v>
      </c>
      <c r="C8801" t="str">
        <f t="shared" si="276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75"/>
        <v>-2</v>
      </c>
    </row>
    <row r="8802" spans="1:8" x14ac:dyDescent="0.2">
      <c r="A8802" t="s">
        <v>7</v>
      </c>
      <c r="B8802" t="s">
        <v>27</v>
      </c>
      <c r="C8802" t="str">
        <f t="shared" si="276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75"/>
        <v>-2</v>
      </c>
    </row>
    <row r="8803" spans="1:8" x14ac:dyDescent="0.2">
      <c r="A8803" t="s">
        <v>7</v>
      </c>
      <c r="B8803" t="s">
        <v>27</v>
      </c>
      <c r="C8803" t="str">
        <f t="shared" si="276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75"/>
        <v>-2</v>
      </c>
    </row>
    <row r="8804" spans="1:8" x14ac:dyDescent="0.2">
      <c r="A8804" t="s">
        <v>7</v>
      </c>
      <c r="B8804" t="s">
        <v>27</v>
      </c>
      <c r="C8804" t="str">
        <f t="shared" si="276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75"/>
        <v>-5</v>
      </c>
    </row>
    <row r="8805" spans="1:8" x14ac:dyDescent="0.2">
      <c r="A8805" t="s">
        <v>7</v>
      </c>
      <c r="B8805" t="s">
        <v>27</v>
      </c>
      <c r="C8805" t="str">
        <f t="shared" si="276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75"/>
        <v>-5</v>
      </c>
    </row>
    <row r="8806" spans="1:8" x14ac:dyDescent="0.2">
      <c r="A8806" t="s">
        <v>7</v>
      </c>
      <c r="B8806" t="s">
        <v>27</v>
      </c>
      <c r="C8806" t="str">
        <f t="shared" si="276"/>
        <v>Cumple</v>
      </c>
      <c r="D8806">
        <v>9035</v>
      </c>
      <c r="E8806" t="s">
        <v>13</v>
      </c>
      <c r="F8806" s="9">
        <v>3</v>
      </c>
      <c r="G8806">
        <v>3</v>
      </c>
      <c r="H8806">
        <f t="shared" si="275"/>
        <v>0</v>
      </c>
    </row>
    <row r="8807" spans="1:8" x14ac:dyDescent="0.2">
      <c r="A8807" t="s">
        <v>7</v>
      </c>
      <c r="B8807" t="s">
        <v>27</v>
      </c>
      <c r="C8807" t="str">
        <f t="shared" si="276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75"/>
        <v>-2</v>
      </c>
    </row>
    <row r="8808" spans="1:8" x14ac:dyDescent="0.2">
      <c r="A8808" t="s">
        <v>19</v>
      </c>
      <c r="B8808" t="s">
        <v>27</v>
      </c>
      <c r="C8808" t="str">
        <f t="shared" si="276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75"/>
        <v>-2</v>
      </c>
    </row>
    <row r="8809" spans="1:8" x14ac:dyDescent="0.2">
      <c r="A8809" t="s">
        <v>7</v>
      </c>
      <c r="B8809" t="s">
        <v>27</v>
      </c>
      <c r="C8809" t="str">
        <f t="shared" si="276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75"/>
        <v>-2</v>
      </c>
    </row>
    <row r="8810" spans="1:8" x14ac:dyDescent="0.2">
      <c r="A8810" t="s">
        <v>7</v>
      </c>
      <c r="B8810" t="s">
        <v>27</v>
      </c>
      <c r="C8810" t="str">
        <f t="shared" si="276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75"/>
        <v>-2</v>
      </c>
    </row>
    <row r="8811" spans="1:8" x14ac:dyDescent="0.2">
      <c r="A8811" t="s">
        <v>19</v>
      </c>
      <c r="B8811" t="s">
        <v>27</v>
      </c>
      <c r="C8811" t="str">
        <f t="shared" si="276"/>
        <v>Cumple</v>
      </c>
      <c r="D8811">
        <v>9849</v>
      </c>
      <c r="E8811" t="s">
        <v>13</v>
      </c>
      <c r="F8811">
        <v>6</v>
      </c>
      <c r="G8811">
        <v>6</v>
      </c>
      <c r="H8811">
        <f t="shared" si="275"/>
        <v>0</v>
      </c>
    </row>
    <row r="8812" spans="1:8" x14ac:dyDescent="0.2">
      <c r="A8812" t="s">
        <v>7</v>
      </c>
      <c r="B8812" t="s">
        <v>27</v>
      </c>
      <c r="C8812" t="str">
        <f t="shared" si="276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75"/>
        <v>-2</v>
      </c>
    </row>
    <row r="8813" spans="1:8" x14ac:dyDescent="0.2">
      <c r="A8813" t="s">
        <v>7</v>
      </c>
      <c r="B8813" t="s">
        <v>27</v>
      </c>
      <c r="C8813" t="str">
        <f t="shared" si="276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75"/>
        <v>-2</v>
      </c>
    </row>
    <row r="8814" spans="1:8" x14ac:dyDescent="0.2">
      <c r="A8814" t="s">
        <v>7</v>
      </c>
      <c r="B8814" t="s">
        <v>27</v>
      </c>
      <c r="C8814" t="str">
        <f t="shared" si="276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75"/>
        <v>-2</v>
      </c>
    </row>
    <row r="8815" spans="1:8" x14ac:dyDescent="0.2">
      <c r="A8815" t="s">
        <v>7</v>
      </c>
      <c r="B8815" t="s">
        <v>27</v>
      </c>
      <c r="C8815" t="str">
        <f t="shared" si="276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75"/>
        <v>-2</v>
      </c>
    </row>
    <row r="8816" spans="1:8" x14ac:dyDescent="0.2">
      <c r="A8816" t="s">
        <v>21</v>
      </c>
      <c r="B8816" t="s">
        <v>27</v>
      </c>
      <c r="C8816" t="str">
        <f t="shared" si="276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75"/>
        <v>-2</v>
      </c>
    </row>
    <row r="8817" spans="1:8" x14ac:dyDescent="0.2">
      <c r="A8817" t="s">
        <v>18</v>
      </c>
      <c r="B8817" t="s">
        <v>27</v>
      </c>
      <c r="C8817" t="str">
        <f t="shared" si="276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75"/>
        <v>-3</v>
      </c>
    </row>
    <row r="8818" spans="1:8" x14ac:dyDescent="0.2">
      <c r="A8818" t="s">
        <v>7</v>
      </c>
      <c r="B8818" t="s">
        <v>27</v>
      </c>
      <c r="C8818" t="str">
        <f t="shared" si="276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75"/>
        <v>-3</v>
      </c>
    </row>
    <row r="8819" spans="1:8" x14ac:dyDescent="0.2">
      <c r="A8819" t="s">
        <v>18</v>
      </c>
      <c r="B8819" t="s">
        <v>27</v>
      </c>
      <c r="C8819" t="str">
        <f t="shared" si="276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75"/>
        <v>-3</v>
      </c>
    </row>
    <row r="8820" spans="1:8" x14ac:dyDescent="0.2">
      <c r="A8820" t="s">
        <v>18</v>
      </c>
      <c r="B8820" t="s">
        <v>27</v>
      </c>
      <c r="C8820" t="str">
        <f t="shared" si="276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75"/>
        <v>-3</v>
      </c>
    </row>
    <row r="8821" spans="1:8" x14ac:dyDescent="0.2">
      <c r="A8821" t="s">
        <v>18</v>
      </c>
      <c r="B8821" t="s">
        <v>27</v>
      </c>
      <c r="C8821" t="str">
        <f t="shared" si="276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75"/>
        <v>-3</v>
      </c>
    </row>
    <row r="8822" spans="1:8" x14ac:dyDescent="0.2">
      <c r="A8822" t="s">
        <v>7</v>
      </c>
      <c r="B8822" t="s">
        <v>27</v>
      </c>
      <c r="C8822" t="str">
        <f t="shared" si="276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75"/>
        <v>-3</v>
      </c>
    </row>
    <row r="8823" spans="1:8" x14ac:dyDescent="0.2">
      <c r="A8823" t="s">
        <v>18</v>
      </c>
      <c r="B8823" t="s">
        <v>27</v>
      </c>
      <c r="C8823" t="str">
        <f t="shared" si="276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75"/>
        <v>-3</v>
      </c>
    </row>
    <row r="8824" spans="1:8" x14ac:dyDescent="0.2">
      <c r="A8824" t="s">
        <v>18</v>
      </c>
      <c r="B8824" t="s">
        <v>27</v>
      </c>
      <c r="C8824" t="str">
        <f t="shared" si="276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75"/>
        <v>-3</v>
      </c>
    </row>
    <row r="8825" spans="1:8" x14ac:dyDescent="0.2">
      <c r="A8825" t="s">
        <v>7</v>
      </c>
      <c r="B8825" t="s">
        <v>27</v>
      </c>
      <c r="C8825" t="str">
        <f t="shared" si="276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75"/>
        <v>-6</v>
      </c>
    </row>
    <row r="8826" spans="1:8" x14ac:dyDescent="0.2">
      <c r="A8826" t="s">
        <v>18</v>
      </c>
      <c r="B8826" t="s">
        <v>27</v>
      </c>
      <c r="C8826" t="str">
        <f t="shared" si="276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75"/>
        <v>-6</v>
      </c>
    </row>
    <row r="8827" spans="1:8" x14ac:dyDescent="0.2">
      <c r="A8827" t="s">
        <v>7</v>
      </c>
      <c r="B8827" t="s">
        <v>27</v>
      </c>
      <c r="C8827" t="str">
        <f t="shared" si="276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75"/>
        <v>-3</v>
      </c>
    </row>
    <row r="8828" spans="1:8" x14ac:dyDescent="0.2">
      <c r="A8828" t="s">
        <v>18</v>
      </c>
      <c r="B8828" t="s">
        <v>27</v>
      </c>
      <c r="C8828" t="str">
        <f t="shared" si="276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75"/>
        <v>-3</v>
      </c>
    </row>
    <row r="8829" spans="1:8" x14ac:dyDescent="0.2">
      <c r="A8829" t="s">
        <v>7</v>
      </c>
      <c r="B8829" t="s">
        <v>27</v>
      </c>
      <c r="C8829" t="str">
        <f t="shared" si="276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75"/>
        <v>-3</v>
      </c>
    </row>
    <row r="8830" spans="1:8" x14ac:dyDescent="0.2">
      <c r="A8830" t="s">
        <v>7</v>
      </c>
      <c r="B8830" t="s">
        <v>27</v>
      </c>
      <c r="C8830" t="str">
        <f t="shared" si="276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75"/>
        <v>-3</v>
      </c>
    </row>
    <row r="8831" spans="1:8" x14ac:dyDescent="0.2">
      <c r="A8831" t="s">
        <v>18</v>
      </c>
      <c r="B8831" t="s">
        <v>27</v>
      </c>
      <c r="C8831" t="str">
        <f t="shared" si="276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75"/>
        <v>-3</v>
      </c>
    </row>
    <row r="8832" spans="1:8" x14ac:dyDescent="0.2">
      <c r="A8832" t="s">
        <v>7</v>
      </c>
      <c r="B8832" t="s">
        <v>27</v>
      </c>
      <c r="C8832" t="str">
        <f t="shared" si="276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75"/>
        <v>-3</v>
      </c>
    </row>
    <row r="8833" spans="1:8" x14ac:dyDescent="0.2">
      <c r="A8833" t="s">
        <v>18</v>
      </c>
      <c r="B8833" t="s">
        <v>27</v>
      </c>
      <c r="C8833" t="str">
        <f t="shared" si="276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75"/>
        <v>-3</v>
      </c>
    </row>
    <row r="8834" spans="1:8" x14ac:dyDescent="0.2">
      <c r="A8834" t="s">
        <v>7</v>
      </c>
      <c r="B8834" t="s">
        <v>27</v>
      </c>
      <c r="C8834" t="str">
        <f t="shared" si="276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75"/>
        <v>-6</v>
      </c>
    </row>
    <row r="8835" spans="1:8" x14ac:dyDescent="0.2">
      <c r="A8835" t="s">
        <v>18</v>
      </c>
      <c r="B8835" t="s">
        <v>27</v>
      </c>
      <c r="C8835" t="str">
        <f t="shared" si="276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ref="H8835:H8898" si="277">F8835-G8835</f>
        <v>-3</v>
      </c>
    </row>
    <row r="8836" spans="1:8" x14ac:dyDescent="0.2">
      <c r="A8836" t="s">
        <v>18</v>
      </c>
      <c r="B8836" t="s">
        <v>27</v>
      </c>
      <c r="C8836" t="str">
        <f t="shared" si="276"/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77"/>
        <v>-3</v>
      </c>
    </row>
    <row r="8837" spans="1:8" x14ac:dyDescent="0.2">
      <c r="A8837" t="s">
        <v>18</v>
      </c>
      <c r="B8837" t="s">
        <v>27</v>
      </c>
      <c r="C8837" t="str">
        <f t="shared" ref="C8837:C8900" si="278">IF(H8837&gt;=0,"Cumple","No cumple")</f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77"/>
        <v>-3</v>
      </c>
    </row>
    <row r="8838" spans="1:8" x14ac:dyDescent="0.2">
      <c r="A8838" t="s">
        <v>7</v>
      </c>
      <c r="B8838" t="s">
        <v>27</v>
      </c>
      <c r="C8838" t="str">
        <f t="shared" si="278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77"/>
        <v>-3</v>
      </c>
    </row>
    <row r="8839" spans="1:8" x14ac:dyDescent="0.2">
      <c r="A8839" t="s">
        <v>7</v>
      </c>
      <c r="B8839" t="s">
        <v>27</v>
      </c>
      <c r="C8839" t="str">
        <f t="shared" si="278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77"/>
        <v>-3</v>
      </c>
    </row>
    <row r="8840" spans="1:8" x14ac:dyDescent="0.2">
      <c r="A8840" t="s">
        <v>18</v>
      </c>
      <c r="B8840" t="s">
        <v>27</v>
      </c>
      <c r="C8840" t="str">
        <f t="shared" si="278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77"/>
        <v>-3</v>
      </c>
    </row>
    <row r="8841" spans="1:8" x14ac:dyDescent="0.2">
      <c r="A8841" t="s">
        <v>7</v>
      </c>
      <c r="B8841" t="s">
        <v>27</v>
      </c>
      <c r="C8841" t="str">
        <f t="shared" si="278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77"/>
        <v>-3</v>
      </c>
    </row>
    <row r="8842" spans="1:8" x14ac:dyDescent="0.2">
      <c r="A8842" t="s">
        <v>7</v>
      </c>
      <c r="B8842" t="s">
        <v>27</v>
      </c>
      <c r="C8842" t="str">
        <f t="shared" si="278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77"/>
        <v>-3</v>
      </c>
    </row>
    <row r="8843" spans="1:8" x14ac:dyDescent="0.2">
      <c r="A8843" t="s">
        <v>18</v>
      </c>
      <c r="B8843" t="s">
        <v>27</v>
      </c>
      <c r="C8843" t="str">
        <f t="shared" si="278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77"/>
        <v>-3</v>
      </c>
    </row>
    <row r="8844" spans="1:8" x14ac:dyDescent="0.2">
      <c r="A8844" t="s">
        <v>18</v>
      </c>
      <c r="B8844" t="s">
        <v>27</v>
      </c>
      <c r="C8844" t="str">
        <f t="shared" si="278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77"/>
        <v>-6</v>
      </c>
    </row>
    <row r="8845" spans="1:8" x14ac:dyDescent="0.2">
      <c r="A8845" t="s">
        <v>19</v>
      </c>
      <c r="B8845" t="s">
        <v>27</v>
      </c>
      <c r="C8845" t="str">
        <f t="shared" si="278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77"/>
        <v>-3</v>
      </c>
    </row>
    <row r="8846" spans="1:8" x14ac:dyDescent="0.2">
      <c r="A8846" t="s">
        <v>18</v>
      </c>
      <c r="B8846" t="s">
        <v>27</v>
      </c>
      <c r="C8846" t="str">
        <f t="shared" si="278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77"/>
        <v>-3</v>
      </c>
    </row>
    <row r="8847" spans="1:8" x14ac:dyDescent="0.2">
      <c r="A8847" t="s">
        <v>18</v>
      </c>
      <c r="B8847" t="s">
        <v>27</v>
      </c>
      <c r="C8847" t="str">
        <f t="shared" si="278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77"/>
        <v>-3</v>
      </c>
    </row>
    <row r="8848" spans="1:8" x14ac:dyDescent="0.2">
      <c r="A8848" t="s">
        <v>7</v>
      </c>
      <c r="B8848" t="s">
        <v>27</v>
      </c>
      <c r="C8848" t="str">
        <f t="shared" si="278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77"/>
        <v>-3</v>
      </c>
    </row>
    <row r="8849" spans="1:8" x14ac:dyDescent="0.2">
      <c r="A8849" t="s">
        <v>18</v>
      </c>
      <c r="B8849" t="s">
        <v>27</v>
      </c>
      <c r="C8849" t="str">
        <f t="shared" si="278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77"/>
        <v>-3</v>
      </c>
    </row>
    <row r="8850" spans="1:8" x14ac:dyDescent="0.2">
      <c r="A8850" t="s">
        <v>7</v>
      </c>
      <c r="B8850" t="s">
        <v>27</v>
      </c>
      <c r="C8850" t="str">
        <f t="shared" si="278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77"/>
        <v>-3</v>
      </c>
    </row>
    <row r="8851" spans="1:8" x14ac:dyDescent="0.2">
      <c r="A8851" t="s">
        <v>19</v>
      </c>
      <c r="B8851" t="s">
        <v>27</v>
      </c>
      <c r="C8851" t="str">
        <f t="shared" si="278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77"/>
        <v>-3</v>
      </c>
    </row>
    <row r="8852" spans="1:8" x14ac:dyDescent="0.2">
      <c r="A8852" t="s">
        <v>7</v>
      </c>
      <c r="B8852" t="s">
        <v>27</v>
      </c>
      <c r="C8852" t="str">
        <f t="shared" si="278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77"/>
        <v>-3</v>
      </c>
    </row>
    <row r="8853" spans="1:8" x14ac:dyDescent="0.2">
      <c r="A8853" t="s">
        <v>7</v>
      </c>
      <c r="B8853" t="s">
        <v>27</v>
      </c>
      <c r="C8853" t="str">
        <f t="shared" si="278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77"/>
        <v>-3</v>
      </c>
    </row>
    <row r="8854" spans="1:8" x14ac:dyDescent="0.2">
      <c r="A8854" t="s">
        <v>7</v>
      </c>
      <c r="B8854" t="s">
        <v>27</v>
      </c>
      <c r="C8854" t="str">
        <f t="shared" si="278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77"/>
        <v>-3</v>
      </c>
    </row>
    <row r="8855" spans="1:8" x14ac:dyDescent="0.2">
      <c r="A8855" t="s">
        <v>7</v>
      </c>
      <c r="B8855" t="s">
        <v>27</v>
      </c>
      <c r="C8855" t="str">
        <f t="shared" si="278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77"/>
        <v>-3</v>
      </c>
    </row>
    <row r="8856" spans="1:8" x14ac:dyDescent="0.2">
      <c r="A8856" t="s">
        <v>7</v>
      </c>
      <c r="B8856" t="s">
        <v>27</v>
      </c>
      <c r="C8856" t="str">
        <f t="shared" si="278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77"/>
        <v>-3</v>
      </c>
    </row>
    <row r="8857" spans="1:8" x14ac:dyDescent="0.2">
      <c r="A8857" t="s">
        <v>7</v>
      </c>
      <c r="B8857" t="s">
        <v>27</v>
      </c>
      <c r="C8857" t="str">
        <f t="shared" si="278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77"/>
        <v>-3</v>
      </c>
    </row>
    <row r="8858" spans="1:8" x14ac:dyDescent="0.2">
      <c r="A8858" t="s">
        <v>18</v>
      </c>
      <c r="B8858" t="s">
        <v>27</v>
      </c>
      <c r="C8858" t="str">
        <f t="shared" si="278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77"/>
        <v>-6</v>
      </c>
    </row>
    <row r="8859" spans="1:8" x14ac:dyDescent="0.2">
      <c r="A8859" t="s">
        <v>7</v>
      </c>
      <c r="B8859" t="s">
        <v>27</v>
      </c>
      <c r="C8859" t="str">
        <f t="shared" si="278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77"/>
        <v>-3</v>
      </c>
    </row>
    <row r="8860" spans="1:8" x14ac:dyDescent="0.2">
      <c r="A8860" t="s">
        <v>18</v>
      </c>
      <c r="B8860" t="s">
        <v>27</v>
      </c>
      <c r="C8860" t="str">
        <f t="shared" si="278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77"/>
        <v>0</v>
      </c>
    </row>
    <row r="8861" spans="1:8" x14ac:dyDescent="0.2">
      <c r="A8861" t="s">
        <v>7</v>
      </c>
      <c r="B8861" t="s">
        <v>27</v>
      </c>
      <c r="C8861" t="str">
        <f t="shared" si="278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77"/>
        <v>-3</v>
      </c>
    </row>
    <row r="8862" spans="1:8" x14ac:dyDescent="0.2">
      <c r="A8862" t="s">
        <v>7</v>
      </c>
      <c r="B8862" t="s">
        <v>27</v>
      </c>
      <c r="C8862" t="str">
        <f t="shared" si="278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77"/>
        <v>-3</v>
      </c>
    </row>
    <row r="8863" spans="1:8" x14ac:dyDescent="0.2">
      <c r="A8863" t="s">
        <v>19</v>
      </c>
      <c r="B8863" t="s">
        <v>27</v>
      </c>
      <c r="C8863" t="str">
        <f t="shared" si="278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77"/>
        <v>-3</v>
      </c>
    </row>
    <row r="8864" spans="1:8" x14ac:dyDescent="0.2">
      <c r="A8864" t="s">
        <v>18</v>
      </c>
      <c r="B8864" t="s">
        <v>27</v>
      </c>
      <c r="C8864" t="str">
        <f t="shared" si="278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77"/>
        <v>-3</v>
      </c>
    </row>
    <row r="8865" spans="1:8" x14ac:dyDescent="0.2">
      <c r="A8865" t="s">
        <v>18</v>
      </c>
      <c r="B8865" t="s">
        <v>27</v>
      </c>
      <c r="C8865" t="str">
        <f t="shared" si="278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77"/>
        <v>-3</v>
      </c>
    </row>
    <row r="8866" spans="1:8" x14ac:dyDescent="0.2">
      <c r="A8866" t="s">
        <v>18</v>
      </c>
      <c r="B8866" t="s">
        <v>27</v>
      </c>
      <c r="C8866" t="str">
        <f t="shared" si="278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77"/>
        <v>-3</v>
      </c>
    </row>
    <row r="8867" spans="1:8" x14ac:dyDescent="0.2">
      <c r="A8867" t="s">
        <v>18</v>
      </c>
      <c r="B8867" t="s">
        <v>27</v>
      </c>
      <c r="C8867" t="str">
        <f t="shared" si="278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77"/>
        <v>-6</v>
      </c>
    </row>
    <row r="8868" spans="1:8" x14ac:dyDescent="0.2">
      <c r="A8868" t="s">
        <v>7</v>
      </c>
      <c r="B8868" t="s">
        <v>27</v>
      </c>
      <c r="C8868" t="str">
        <f t="shared" si="278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77"/>
        <v>-3</v>
      </c>
    </row>
    <row r="8869" spans="1:8" x14ac:dyDescent="0.2">
      <c r="A8869" t="s">
        <v>7</v>
      </c>
      <c r="B8869" t="s">
        <v>27</v>
      </c>
      <c r="C8869" t="str">
        <f t="shared" si="278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77"/>
        <v>-3</v>
      </c>
    </row>
    <row r="8870" spans="1:8" x14ac:dyDescent="0.2">
      <c r="A8870" t="s">
        <v>19</v>
      </c>
      <c r="B8870" t="s">
        <v>27</v>
      </c>
      <c r="C8870" t="str">
        <f t="shared" si="278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si="277"/>
        <v>-3</v>
      </c>
    </row>
    <row r="8871" spans="1:8" x14ac:dyDescent="0.2">
      <c r="A8871" t="s">
        <v>7</v>
      </c>
      <c r="B8871" t="s">
        <v>27</v>
      </c>
      <c r="C8871" t="str">
        <f t="shared" si="278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77"/>
        <v>-3</v>
      </c>
    </row>
    <row r="8872" spans="1:8" x14ac:dyDescent="0.2">
      <c r="A8872" t="s">
        <v>19</v>
      </c>
      <c r="B8872" t="s">
        <v>27</v>
      </c>
      <c r="C8872" t="str">
        <f t="shared" si="278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77"/>
        <v>-3</v>
      </c>
    </row>
    <row r="8873" spans="1:8" x14ac:dyDescent="0.2">
      <c r="A8873" t="s">
        <v>18</v>
      </c>
      <c r="B8873" t="s">
        <v>27</v>
      </c>
      <c r="C8873" t="str">
        <f t="shared" si="278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77"/>
        <v>-3</v>
      </c>
    </row>
    <row r="8874" spans="1:8" x14ac:dyDescent="0.2">
      <c r="A8874" t="s">
        <v>21</v>
      </c>
      <c r="B8874" t="s">
        <v>27</v>
      </c>
      <c r="C8874" t="str">
        <f t="shared" si="278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77"/>
        <v>-3</v>
      </c>
    </row>
    <row r="8875" spans="1:8" x14ac:dyDescent="0.2">
      <c r="A8875" t="s">
        <v>21</v>
      </c>
      <c r="B8875" t="s">
        <v>27</v>
      </c>
      <c r="C8875" t="str">
        <f t="shared" si="278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77"/>
        <v>-3</v>
      </c>
    </row>
    <row r="8876" spans="1:8" x14ac:dyDescent="0.2">
      <c r="A8876" t="s">
        <v>21</v>
      </c>
      <c r="B8876" t="s">
        <v>27</v>
      </c>
      <c r="C8876" t="str">
        <f t="shared" si="278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77"/>
        <v>-3</v>
      </c>
    </row>
    <row r="8877" spans="1:8" x14ac:dyDescent="0.2">
      <c r="A8877" t="s">
        <v>21</v>
      </c>
      <c r="B8877" t="s">
        <v>27</v>
      </c>
      <c r="C8877" t="str">
        <f t="shared" si="278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77"/>
        <v>-3</v>
      </c>
    </row>
    <row r="8878" spans="1:8" x14ac:dyDescent="0.2">
      <c r="A8878" t="s">
        <v>21</v>
      </c>
      <c r="B8878" t="s">
        <v>27</v>
      </c>
      <c r="C8878" t="str">
        <f t="shared" si="278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77"/>
        <v>-3</v>
      </c>
    </row>
    <row r="8879" spans="1:8" x14ac:dyDescent="0.2">
      <c r="A8879" t="s">
        <v>21</v>
      </c>
      <c r="B8879" t="s">
        <v>27</v>
      </c>
      <c r="C8879" t="str">
        <f t="shared" si="278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77"/>
        <v>-3</v>
      </c>
    </row>
    <row r="8880" spans="1:8" x14ac:dyDescent="0.2">
      <c r="A8880" t="s">
        <v>21</v>
      </c>
      <c r="B8880" t="s">
        <v>27</v>
      </c>
      <c r="C8880" t="str">
        <f t="shared" si="278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77"/>
        <v>-3</v>
      </c>
    </row>
    <row r="8881" spans="1:8" x14ac:dyDescent="0.2">
      <c r="A8881" t="s">
        <v>21</v>
      </c>
      <c r="B8881" t="s">
        <v>27</v>
      </c>
      <c r="C8881" t="str">
        <f t="shared" si="278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77"/>
        <v>-3</v>
      </c>
    </row>
    <row r="8882" spans="1:8" x14ac:dyDescent="0.2">
      <c r="A8882" t="s">
        <v>21</v>
      </c>
      <c r="B8882" t="s">
        <v>27</v>
      </c>
      <c r="C8882" t="str">
        <f t="shared" si="278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77"/>
        <v>-3</v>
      </c>
    </row>
    <row r="8883" spans="1:8" x14ac:dyDescent="0.2">
      <c r="A8883" t="s">
        <v>21</v>
      </c>
      <c r="B8883" t="s">
        <v>27</v>
      </c>
      <c r="C8883" t="str">
        <f t="shared" si="278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77"/>
        <v>-3</v>
      </c>
    </row>
    <row r="8884" spans="1:8" x14ac:dyDescent="0.2">
      <c r="A8884" t="s">
        <v>21</v>
      </c>
      <c r="B8884" t="s">
        <v>27</v>
      </c>
      <c r="C8884" t="str">
        <f t="shared" si="278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77"/>
        <v>-3</v>
      </c>
    </row>
    <row r="8885" spans="1:8" x14ac:dyDescent="0.2">
      <c r="A8885" t="s">
        <v>21</v>
      </c>
      <c r="B8885" t="s">
        <v>27</v>
      </c>
      <c r="C8885" t="str">
        <f t="shared" si="278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77"/>
        <v>-3</v>
      </c>
    </row>
    <row r="8886" spans="1:8" x14ac:dyDescent="0.2">
      <c r="A8886" t="s">
        <v>21</v>
      </c>
      <c r="B8886" t="s">
        <v>27</v>
      </c>
      <c r="C8886" t="str">
        <f t="shared" si="278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77"/>
        <v>-3</v>
      </c>
    </row>
    <row r="8887" spans="1:8" x14ac:dyDescent="0.2">
      <c r="A8887" t="s">
        <v>21</v>
      </c>
      <c r="B8887" t="s">
        <v>27</v>
      </c>
      <c r="C8887" t="str">
        <f t="shared" si="278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77"/>
        <v>-3</v>
      </c>
    </row>
    <row r="8888" spans="1:8" x14ac:dyDescent="0.2">
      <c r="A8888" t="s">
        <v>21</v>
      </c>
      <c r="B8888" t="s">
        <v>27</v>
      </c>
      <c r="C8888" t="str">
        <f t="shared" si="278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77"/>
        <v>-3</v>
      </c>
    </row>
    <row r="8889" spans="1:8" x14ac:dyDescent="0.2">
      <c r="A8889" t="s">
        <v>21</v>
      </c>
      <c r="B8889" t="s">
        <v>27</v>
      </c>
      <c r="C8889" t="str">
        <f t="shared" si="278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77"/>
        <v>-3</v>
      </c>
    </row>
    <row r="8890" spans="1:8" x14ac:dyDescent="0.2">
      <c r="A8890" t="s">
        <v>21</v>
      </c>
      <c r="B8890" t="s">
        <v>27</v>
      </c>
      <c r="C8890" t="str">
        <f t="shared" si="278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77"/>
        <v>-3</v>
      </c>
    </row>
    <row r="8891" spans="1:8" x14ac:dyDescent="0.2">
      <c r="A8891" t="s">
        <v>21</v>
      </c>
      <c r="B8891" t="s">
        <v>27</v>
      </c>
      <c r="C8891" t="str">
        <f t="shared" si="278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77"/>
        <v>-3</v>
      </c>
    </row>
    <row r="8892" spans="1:8" x14ac:dyDescent="0.2">
      <c r="A8892" t="s">
        <v>21</v>
      </c>
      <c r="B8892" t="s">
        <v>27</v>
      </c>
      <c r="C8892" t="str">
        <f t="shared" si="278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77"/>
        <v>-3</v>
      </c>
    </row>
    <row r="8893" spans="1:8" x14ac:dyDescent="0.2">
      <c r="A8893" t="s">
        <v>21</v>
      </c>
      <c r="B8893" t="s">
        <v>27</v>
      </c>
      <c r="C8893" t="str">
        <f t="shared" si="278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77"/>
        <v>-3</v>
      </c>
    </row>
    <row r="8894" spans="1:8" x14ac:dyDescent="0.2">
      <c r="A8894" t="s">
        <v>21</v>
      </c>
      <c r="B8894" t="s">
        <v>27</v>
      </c>
      <c r="C8894" t="str">
        <f t="shared" si="278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77"/>
        <v>-3</v>
      </c>
    </row>
    <row r="8895" spans="1:8" x14ac:dyDescent="0.2">
      <c r="A8895" t="s">
        <v>21</v>
      </c>
      <c r="B8895" t="s">
        <v>27</v>
      </c>
      <c r="C8895" t="str">
        <f t="shared" si="278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77"/>
        <v>-3</v>
      </c>
    </row>
    <row r="8896" spans="1:8" x14ac:dyDescent="0.2">
      <c r="A8896" t="s">
        <v>21</v>
      </c>
      <c r="B8896" t="s">
        <v>27</v>
      </c>
      <c r="C8896" t="str">
        <f t="shared" si="278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77"/>
        <v>-3</v>
      </c>
    </row>
    <row r="8897" spans="1:8" x14ac:dyDescent="0.2">
      <c r="A8897" t="s">
        <v>21</v>
      </c>
      <c r="B8897" t="s">
        <v>27</v>
      </c>
      <c r="C8897" t="str">
        <f t="shared" si="278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77"/>
        <v>-3</v>
      </c>
    </row>
    <row r="8898" spans="1:8" x14ac:dyDescent="0.2">
      <c r="A8898" t="s">
        <v>18</v>
      </c>
      <c r="B8898" t="s">
        <v>27</v>
      </c>
      <c r="C8898" t="str">
        <f t="shared" si="278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77"/>
        <v>-3</v>
      </c>
    </row>
    <row r="8899" spans="1:8" x14ac:dyDescent="0.2">
      <c r="A8899" t="s">
        <v>18</v>
      </c>
      <c r="B8899" t="s">
        <v>27</v>
      </c>
      <c r="C8899" t="str">
        <f t="shared" si="278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ref="H8899:H8962" si="279">F8899-G8899</f>
        <v>-3</v>
      </c>
    </row>
    <row r="8900" spans="1:8" x14ac:dyDescent="0.2">
      <c r="A8900" t="s">
        <v>18</v>
      </c>
      <c r="B8900" t="s">
        <v>27</v>
      </c>
      <c r="C8900" t="str">
        <f t="shared" si="278"/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79"/>
        <v>-3</v>
      </c>
    </row>
    <row r="8901" spans="1:8" x14ac:dyDescent="0.2">
      <c r="A8901" t="s">
        <v>18</v>
      </c>
      <c r="B8901" t="s">
        <v>27</v>
      </c>
      <c r="C8901" t="str">
        <f t="shared" ref="C8901:C8964" si="280">IF(H8901&gt;=0,"Cumple","No cumple")</f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79"/>
        <v>-3</v>
      </c>
    </row>
    <row r="8902" spans="1:8" x14ac:dyDescent="0.2">
      <c r="A8902" t="s">
        <v>7</v>
      </c>
      <c r="B8902" t="s">
        <v>27</v>
      </c>
      <c r="C8902" t="str">
        <f t="shared" si="280"/>
        <v>Cumple</v>
      </c>
      <c r="D8902">
        <v>376</v>
      </c>
      <c r="E8902" t="s">
        <v>15</v>
      </c>
      <c r="F8902">
        <v>28</v>
      </c>
      <c r="G8902">
        <v>6</v>
      </c>
      <c r="H8902">
        <f t="shared" si="279"/>
        <v>22</v>
      </c>
    </row>
    <row r="8903" spans="1:8" x14ac:dyDescent="0.2">
      <c r="A8903" t="s">
        <v>7</v>
      </c>
      <c r="B8903" t="s">
        <v>27</v>
      </c>
      <c r="C8903" t="str">
        <f t="shared" si="280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si="279"/>
        <v>20</v>
      </c>
    </row>
    <row r="8904" spans="1:8" x14ac:dyDescent="0.2">
      <c r="A8904" t="s">
        <v>7</v>
      </c>
      <c r="B8904" t="s">
        <v>27</v>
      </c>
      <c r="C8904" t="str">
        <f t="shared" si="280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79"/>
        <v>12</v>
      </c>
    </row>
    <row r="8905" spans="1:8" x14ac:dyDescent="0.2">
      <c r="A8905" t="s">
        <v>7</v>
      </c>
      <c r="B8905" t="s">
        <v>27</v>
      </c>
      <c r="C8905" t="str">
        <f t="shared" si="280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79"/>
        <v>10</v>
      </c>
    </row>
    <row r="8906" spans="1:8" x14ac:dyDescent="0.2">
      <c r="A8906" t="s">
        <v>7</v>
      </c>
      <c r="B8906" t="s">
        <v>27</v>
      </c>
      <c r="C8906" t="str">
        <f t="shared" si="280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79"/>
        <v>9</v>
      </c>
    </row>
    <row r="8907" spans="1:8" x14ac:dyDescent="0.2">
      <c r="A8907" t="s">
        <v>7</v>
      </c>
      <c r="B8907" t="s">
        <v>27</v>
      </c>
      <c r="C8907" t="str">
        <f t="shared" si="280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79"/>
        <v>8</v>
      </c>
    </row>
    <row r="8908" spans="1:8" x14ac:dyDescent="0.2">
      <c r="A8908" t="s">
        <v>7</v>
      </c>
      <c r="B8908" t="s">
        <v>27</v>
      </c>
      <c r="C8908" t="str">
        <f t="shared" si="280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79"/>
        <v>8</v>
      </c>
    </row>
    <row r="8909" spans="1:8" x14ac:dyDescent="0.2">
      <c r="A8909" t="s">
        <v>7</v>
      </c>
      <c r="B8909" t="s">
        <v>27</v>
      </c>
      <c r="C8909" t="str">
        <f t="shared" si="280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79"/>
        <v>7</v>
      </c>
    </row>
    <row r="8910" spans="1:8" x14ac:dyDescent="0.2">
      <c r="A8910" t="s">
        <v>7</v>
      </c>
      <c r="B8910" t="s">
        <v>27</v>
      </c>
      <c r="C8910" t="str">
        <f t="shared" si="280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79"/>
        <v>7</v>
      </c>
    </row>
    <row r="8911" spans="1:8" x14ac:dyDescent="0.2">
      <c r="A8911" t="s">
        <v>7</v>
      </c>
      <c r="B8911" t="s">
        <v>27</v>
      </c>
      <c r="C8911" t="str">
        <f t="shared" si="280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79"/>
        <v>5</v>
      </c>
    </row>
    <row r="8912" spans="1:8" x14ac:dyDescent="0.2">
      <c r="A8912" t="s">
        <v>7</v>
      </c>
      <c r="B8912" t="s">
        <v>27</v>
      </c>
      <c r="C8912" t="str">
        <f t="shared" si="280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79"/>
        <v>4</v>
      </c>
    </row>
    <row r="8913" spans="1:8" x14ac:dyDescent="0.2">
      <c r="A8913" t="s">
        <v>7</v>
      </c>
      <c r="B8913" t="s">
        <v>27</v>
      </c>
      <c r="C8913" t="str">
        <f t="shared" si="280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79"/>
        <v>4</v>
      </c>
    </row>
    <row r="8914" spans="1:8" x14ac:dyDescent="0.2">
      <c r="A8914" t="s">
        <v>7</v>
      </c>
      <c r="B8914" t="s">
        <v>27</v>
      </c>
      <c r="C8914" t="str">
        <f t="shared" si="280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79"/>
        <v>4</v>
      </c>
    </row>
    <row r="8915" spans="1:8" x14ac:dyDescent="0.2">
      <c r="A8915" t="s">
        <v>7</v>
      </c>
      <c r="B8915" t="s">
        <v>27</v>
      </c>
      <c r="C8915" t="str">
        <f t="shared" si="280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79"/>
        <v>3</v>
      </c>
    </row>
    <row r="8916" spans="1:8" x14ac:dyDescent="0.2">
      <c r="A8916" t="s">
        <v>7</v>
      </c>
      <c r="B8916" t="s">
        <v>27</v>
      </c>
      <c r="C8916" t="str">
        <f t="shared" si="280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79"/>
        <v>3</v>
      </c>
    </row>
    <row r="8917" spans="1:8" x14ac:dyDescent="0.2">
      <c r="A8917" t="s">
        <v>7</v>
      </c>
      <c r="B8917" t="s">
        <v>27</v>
      </c>
      <c r="C8917" t="str">
        <f t="shared" si="280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79"/>
        <v>3</v>
      </c>
    </row>
    <row r="8918" spans="1:8" x14ac:dyDescent="0.2">
      <c r="A8918" t="s">
        <v>7</v>
      </c>
      <c r="B8918" t="s">
        <v>27</v>
      </c>
      <c r="C8918" t="str">
        <f t="shared" si="280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79"/>
        <v>3</v>
      </c>
    </row>
    <row r="8919" spans="1:8" x14ac:dyDescent="0.2">
      <c r="A8919" t="s">
        <v>7</v>
      </c>
      <c r="B8919" t="s">
        <v>27</v>
      </c>
      <c r="C8919" t="str">
        <f t="shared" si="280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79"/>
        <v>2</v>
      </c>
    </row>
    <row r="8920" spans="1:8" x14ac:dyDescent="0.2">
      <c r="A8920" t="s">
        <v>7</v>
      </c>
      <c r="B8920" t="s">
        <v>27</v>
      </c>
      <c r="C8920" t="str">
        <f t="shared" si="280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79"/>
        <v>2</v>
      </c>
    </row>
    <row r="8921" spans="1:8" x14ac:dyDescent="0.2">
      <c r="A8921" t="s">
        <v>7</v>
      </c>
      <c r="B8921" t="s">
        <v>27</v>
      </c>
      <c r="C8921" t="str">
        <f t="shared" si="280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79"/>
        <v>2</v>
      </c>
    </row>
    <row r="8922" spans="1:8" x14ac:dyDescent="0.2">
      <c r="A8922" t="s">
        <v>7</v>
      </c>
      <c r="B8922" t="s">
        <v>27</v>
      </c>
      <c r="C8922" t="str">
        <f t="shared" si="280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79"/>
        <v>2</v>
      </c>
    </row>
    <row r="8923" spans="1:8" x14ac:dyDescent="0.2">
      <c r="A8923" t="s">
        <v>7</v>
      </c>
      <c r="B8923" t="s">
        <v>27</v>
      </c>
      <c r="C8923" t="str">
        <f t="shared" si="280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79"/>
        <v>2</v>
      </c>
    </row>
    <row r="8924" spans="1:8" x14ac:dyDescent="0.2">
      <c r="A8924" t="s">
        <v>7</v>
      </c>
      <c r="B8924" t="s">
        <v>27</v>
      </c>
      <c r="C8924" t="str">
        <f t="shared" si="280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79"/>
        <v>2</v>
      </c>
    </row>
    <row r="8925" spans="1:8" x14ac:dyDescent="0.2">
      <c r="A8925" t="s">
        <v>7</v>
      </c>
      <c r="B8925" t="s">
        <v>27</v>
      </c>
      <c r="C8925" t="str">
        <f t="shared" si="280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79"/>
        <v>2</v>
      </c>
    </row>
    <row r="8926" spans="1:8" x14ac:dyDescent="0.2">
      <c r="A8926" t="s">
        <v>7</v>
      </c>
      <c r="B8926" t="s">
        <v>27</v>
      </c>
      <c r="C8926" t="str">
        <f t="shared" si="280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79"/>
        <v>2</v>
      </c>
    </row>
    <row r="8927" spans="1:8" x14ac:dyDescent="0.2">
      <c r="A8927" t="s">
        <v>7</v>
      </c>
      <c r="B8927" t="s">
        <v>27</v>
      </c>
      <c r="C8927" t="str">
        <f t="shared" si="280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79"/>
        <v>0</v>
      </c>
    </row>
    <row r="8928" spans="1:8" x14ac:dyDescent="0.2">
      <c r="A8928" t="s">
        <v>7</v>
      </c>
      <c r="B8928" t="s">
        <v>27</v>
      </c>
      <c r="C8928" t="str">
        <f t="shared" si="280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79"/>
        <v>0</v>
      </c>
    </row>
    <row r="8929" spans="1:8" x14ac:dyDescent="0.2">
      <c r="A8929" t="s">
        <v>7</v>
      </c>
      <c r="B8929" t="s">
        <v>27</v>
      </c>
      <c r="C8929" t="str">
        <f t="shared" si="280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79"/>
        <v>-1</v>
      </c>
    </row>
    <row r="8930" spans="1:8" x14ac:dyDescent="0.2">
      <c r="A8930" t="s">
        <v>7</v>
      </c>
      <c r="B8930" t="s">
        <v>27</v>
      </c>
      <c r="C8930" t="str">
        <f t="shared" si="280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79"/>
        <v>-1</v>
      </c>
    </row>
    <row r="8931" spans="1:8" x14ac:dyDescent="0.2">
      <c r="A8931" t="s">
        <v>7</v>
      </c>
      <c r="B8931" t="s">
        <v>27</v>
      </c>
      <c r="C8931" t="str">
        <f t="shared" si="280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79"/>
        <v>-1</v>
      </c>
    </row>
    <row r="8932" spans="1:8" x14ac:dyDescent="0.2">
      <c r="A8932" t="s">
        <v>7</v>
      </c>
      <c r="B8932" t="s">
        <v>27</v>
      </c>
      <c r="C8932" t="str">
        <f t="shared" si="280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79"/>
        <v>-1</v>
      </c>
    </row>
    <row r="8933" spans="1:8" x14ac:dyDescent="0.2">
      <c r="A8933" t="s">
        <v>7</v>
      </c>
      <c r="B8933" t="s">
        <v>27</v>
      </c>
      <c r="C8933" t="str">
        <f t="shared" si="280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79"/>
        <v>-2</v>
      </c>
    </row>
    <row r="8934" spans="1:8" x14ac:dyDescent="0.2">
      <c r="A8934" t="s">
        <v>7</v>
      </c>
      <c r="B8934" t="s">
        <v>27</v>
      </c>
      <c r="C8934" t="str">
        <f t="shared" si="280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79"/>
        <v>-2</v>
      </c>
    </row>
    <row r="8935" spans="1:8" x14ac:dyDescent="0.2">
      <c r="A8935" t="s">
        <v>7</v>
      </c>
      <c r="B8935" t="s">
        <v>27</v>
      </c>
      <c r="C8935" t="str">
        <f t="shared" si="280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79"/>
        <v>-2</v>
      </c>
    </row>
    <row r="8936" spans="1:8" x14ac:dyDescent="0.2">
      <c r="A8936" t="s">
        <v>7</v>
      </c>
      <c r="B8936" t="s">
        <v>27</v>
      </c>
      <c r="C8936" t="str">
        <f t="shared" si="280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79"/>
        <v>-2</v>
      </c>
    </row>
    <row r="8937" spans="1:8" x14ac:dyDescent="0.2">
      <c r="A8937" t="s">
        <v>7</v>
      </c>
      <c r="B8937" t="s">
        <v>27</v>
      </c>
      <c r="C8937" t="str">
        <f t="shared" si="280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79"/>
        <v>-2</v>
      </c>
    </row>
    <row r="8938" spans="1:8" x14ac:dyDescent="0.2">
      <c r="A8938" t="s">
        <v>7</v>
      </c>
      <c r="B8938" t="s">
        <v>27</v>
      </c>
      <c r="C8938" t="str">
        <f t="shared" si="280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79"/>
        <v>-2</v>
      </c>
    </row>
    <row r="8939" spans="1:8" x14ac:dyDescent="0.2">
      <c r="A8939" t="s">
        <v>7</v>
      </c>
      <c r="B8939" t="s">
        <v>27</v>
      </c>
      <c r="C8939" t="str">
        <f t="shared" si="280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79"/>
        <v>-2</v>
      </c>
    </row>
    <row r="8940" spans="1:8" x14ac:dyDescent="0.2">
      <c r="A8940" t="s">
        <v>7</v>
      </c>
      <c r="B8940" t="s">
        <v>27</v>
      </c>
      <c r="C8940" t="str">
        <f t="shared" si="280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79"/>
        <v>-2</v>
      </c>
    </row>
    <row r="8941" spans="1:8" x14ac:dyDescent="0.2">
      <c r="A8941" t="s">
        <v>7</v>
      </c>
      <c r="B8941" t="s">
        <v>27</v>
      </c>
      <c r="C8941" t="str">
        <f t="shared" si="280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79"/>
        <v>-3</v>
      </c>
    </row>
    <row r="8942" spans="1:8" x14ac:dyDescent="0.2">
      <c r="A8942" t="s">
        <v>7</v>
      </c>
      <c r="B8942" t="s">
        <v>27</v>
      </c>
      <c r="C8942" t="str">
        <f t="shared" si="280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79"/>
        <v>-3</v>
      </c>
    </row>
    <row r="8943" spans="1:8" x14ac:dyDescent="0.2">
      <c r="A8943" t="s">
        <v>7</v>
      </c>
      <c r="B8943" t="s">
        <v>27</v>
      </c>
      <c r="C8943" t="str">
        <f t="shared" si="280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79"/>
        <v>-3</v>
      </c>
    </row>
    <row r="8944" spans="1:8" x14ac:dyDescent="0.2">
      <c r="A8944" t="s">
        <v>7</v>
      </c>
      <c r="B8944" t="s">
        <v>27</v>
      </c>
      <c r="C8944" t="str">
        <f t="shared" si="280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79"/>
        <v>-3</v>
      </c>
    </row>
    <row r="8945" spans="1:8" x14ac:dyDescent="0.2">
      <c r="A8945" t="s">
        <v>7</v>
      </c>
      <c r="B8945" t="s">
        <v>27</v>
      </c>
      <c r="C8945" t="str">
        <f t="shared" si="280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79"/>
        <v>-3</v>
      </c>
    </row>
    <row r="8946" spans="1:8" x14ac:dyDescent="0.2">
      <c r="A8946" t="s">
        <v>7</v>
      </c>
      <c r="B8946" t="s">
        <v>27</v>
      </c>
      <c r="C8946" t="str">
        <f t="shared" si="280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79"/>
        <v>-3</v>
      </c>
    </row>
    <row r="8947" spans="1:8" x14ac:dyDescent="0.2">
      <c r="A8947" t="s">
        <v>7</v>
      </c>
      <c r="B8947" t="s">
        <v>27</v>
      </c>
      <c r="C8947" t="str">
        <f t="shared" si="280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79"/>
        <v>-3</v>
      </c>
    </row>
    <row r="8948" spans="1:8" x14ac:dyDescent="0.2">
      <c r="A8948" t="s">
        <v>7</v>
      </c>
      <c r="B8948" t="s">
        <v>27</v>
      </c>
      <c r="C8948" t="str">
        <f t="shared" si="280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79"/>
        <v>-4</v>
      </c>
    </row>
    <row r="8949" spans="1:8" x14ac:dyDescent="0.2">
      <c r="A8949" t="s">
        <v>7</v>
      </c>
      <c r="B8949" t="s">
        <v>27</v>
      </c>
      <c r="C8949" t="str">
        <f t="shared" si="280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79"/>
        <v>-4</v>
      </c>
    </row>
    <row r="8950" spans="1:8" x14ac:dyDescent="0.2">
      <c r="A8950" t="s">
        <v>7</v>
      </c>
      <c r="B8950" t="s">
        <v>27</v>
      </c>
      <c r="C8950" t="str">
        <f t="shared" si="280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79"/>
        <v>-4</v>
      </c>
    </row>
    <row r="8951" spans="1:8" x14ac:dyDescent="0.2">
      <c r="A8951" t="s">
        <v>7</v>
      </c>
      <c r="B8951" t="s">
        <v>27</v>
      </c>
      <c r="C8951" t="str">
        <f t="shared" si="280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79"/>
        <v>-4</v>
      </c>
    </row>
    <row r="8952" spans="1:8" x14ac:dyDescent="0.2">
      <c r="A8952" t="s">
        <v>7</v>
      </c>
      <c r="B8952" t="s">
        <v>27</v>
      </c>
      <c r="C8952" t="str">
        <f t="shared" si="280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79"/>
        <v>-4</v>
      </c>
    </row>
    <row r="8953" spans="1:8" x14ac:dyDescent="0.2">
      <c r="A8953" t="s">
        <v>7</v>
      </c>
      <c r="B8953" t="s">
        <v>27</v>
      </c>
      <c r="C8953" t="str">
        <f t="shared" si="280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79"/>
        <v>-4</v>
      </c>
    </row>
    <row r="8954" spans="1:8" x14ac:dyDescent="0.2">
      <c r="A8954" t="s">
        <v>7</v>
      </c>
      <c r="B8954" t="s">
        <v>27</v>
      </c>
      <c r="C8954" t="str">
        <f t="shared" si="280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79"/>
        <v>-5</v>
      </c>
    </row>
    <row r="8955" spans="1:8" x14ac:dyDescent="0.2">
      <c r="A8955" t="s">
        <v>7</v>
      </c>
      <c r="B8955" t="s">
        <v>27</v>
      </c>
      <c r="C8955" t="str">
        <f t="shared" si="280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79"/>
        <v>-5</v>
      </c>
    </row>
    <row r="8956" spans="1:8" x14ac:dyDescent="0.2">
      <c r="A8956" t="s">
        <v>7</v>
      </c>
      <c r="B8956" t="s">
        <v>27</v>
      </c>
      <c r="C8956" t="str">
        <f t="shared" si="280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79"/>
        <v>-5</v>
      </c>
    </row>
    <row r="8957" spans="1:8" x14ac:dyDescent="0.2">
      <c r="A8957" t="s">
        <v>7</v>
      </c>
      <c r="B8957" t="s">
        <v>27</v>
      </c>
      <c r="C8957" t="str">
        <f t="shared" si="280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79"/>
        <v>-5</v>
      </c>
    </row>
    <row r="8958" spans="1:8" x14ac:dyDescent="0.2">
      <c r="A8958" t="s">
        <v>7</v>
      </c>
      <c r="B8958" t="s">
        <v>27</v>
      </c>
      <c r="C8958" t="str">
        <f t="shared" si="280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79"/>
        <v>-5</v>
      </c>
    </row>
    <row r="8959" spans="1:8" x14ac:dyDescent="0.2">
      <c r="A8959" t="s">
        <v>7</v>
      </c>
      <c r="B8959" t="s">
        <v>27</v>
      </c>
      <c r="C8959" t="str">
        <f t="shared" si="280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79"/>
        <v>-5</v>
      </c>
    </row>
    <row r="8960" spans="1:8" x14ac:dyDescent="0.2">
      <c r="A8960" t="s">
        <v>7</v>
      </c>
      <c r="B8960" t="s">
        <v>27</v>
      </c>
      <c r="C8960" t="str">
        <f t="shared" si="280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79"/>
        <v>-5</v>
      </c>
    </row>
    <row r="8961" spans="1:8" x14ac:dyDescent="0.2">
      <c r="A8961" t="s">
        <v>7</v>
      </c>
      <c r="B8961" t="s">
        <v>27</v>
      </c>
      <c r="C8961" t="str">
        <f t="shared" si="280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79"/>
        <v>-6</v>
      </c>
    </row>
    <row r="8962" spans="1:8" x14ac:dyDescent="0.2">
      <c r="A8962" t="s">
        <v>7</v>
      </c>
      <c r="B8962" t="s">
        <v>27</v>
      </c>
      <c r="C8962" t="str">
        <f t="shared" si="280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79"/>
        <v>-6</v>
      </c>
    </row>
    <row r="8963" spans="1:8" x14ac:dyDescent="0.2">
      <c r="A8963" t="s">
        <v>7</v>
      </c>
      <c r="B8963" t="s">
        <v>27</v>
      </c>
      <c r="C8963" t="str">
        <f t="shared" si="280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ref="H8963:H9026" si="281">F8963-G8963</f>
        <v>-6</v>
      </c>
    </row>
    <row r="8964" spans="1:8" x14ac:dyDescent="0.2">
      <c r="A8964" t="s">
        <v>7</v>
      </c>
      <c r="B8964" t="s">
        <v>27</v>
      </c>
      <c r="C8964" t="str">
        <f t="shared" si="280"/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81"/>
        <v>-6</v>
      </c>
    </row>
    <row r="8965" spans="1:8" x14ac:dyDescent="0.2">
      <c r="A8965" t="s">
        <v>7</v>
      </c>
      <c r="B8965" t="s">
        <v>27</v>
      </c>
      <c r="C8965" t="str">
        <f t="shared" ref="C8965:C9028" si="282">IF(H8965&gt;=0,"Cumple","No cumple")</f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81"/>
        <v>-6</v>
      </c>
    </row>
    <row r="8966" spans="1:8" x14ac:dyDescent="0.2">
      <c r="A8966" t="s">
        <v>7</v>
      </c>
      <c r="B8966" t="s">
        <v>27</v>
      </c>
      <c r="C8966" t="str">
        <f t="shared" si="282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81"/>
        <v>-6</v>
      </c>
    </row>
    <row r="8967" spans="1:8" x14ac:dyDescent="0.2">
      <c r="A8967" t="s">
        <v>7</v>
      </c>
      <c r="B8967" t="s">
        <v>27</v>
      </c>
      <c r="C8967" t="str">
        <f t="shared" si="282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si="281"/>
        <v>-6</v>
      </c>
    </row>
    <row r="8968" spans="1:8" x14ac:dyDescent="0.2">
      <c r="A8968" t="s">
        <v>7</v>
      </c>
      <c r="B8968" t="s">
        <v>27</v>
      </c>
      <c r="C8968" t="str">
        <f t="shared" si="282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281"/>
        <v>-6</v>
      </c>
    </row>
    <row r="8969" spans="1:8" x14ac:dyDescent="0.2">
      <c r="A8969" t="s">
        <v>19</v>
      </c>
      <c r="B8969" t="s">
        <v>27</v>
      </c>
      <c r="C8969" t="str">
        <f t="shared" si="282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281"/>
        <v>-6</v>
      </c>
    </row>
    <row r="8970" spans="1:8" x14ac:dyDescent="0.2">
      <c r="A8970" t="s">
        <v>7</v>
      </c>
      <c r="B8970" t="s">
        <v>27</v>
      </c>
      <c r="C8970" t="str">
        <f t="shared" si="282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281"/>
        <v>-6</v>
      </c>
    </row>
    <row r="8971" spans="1:8" x14ac:dyDescent="0.2">
      <c r="A8971" t="s">
        <v>7</v>
      </c>
      <c r="B8971" t="s">
        <v>27</v>
      </c>
      <c r="C8971" t="str">
        <f t="shared" si="282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281"/>
        <v>-6</v>
      </c>
    </row>
    <row r="8972" spans="1:8" x14ac:dyDescent="0.2">
      <c r="A8972" t="s">
        <v>7</v>
      </c>
      <c r="B8972" t="s">
        <v>27</v>
      </c>
      <c r="C8972" t="str">
        <f t="shared" si="282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281"/>
        <v>-6</v>
      </c>
    </row>
    <row r="8973" spans="1:8" x14ac:dyDescent="0.2">
      <c r="A8973" t="s">
        <v>7</v>
      </c>
      <c r="B8973" t="s">
        <v>27</v>
      </c>
      <c r="C8973" t="str">
        <f t="shared" si="282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281"/>
        <v>-6</v>
      </c>
    </row>
    <row r="8974" spans="1:8" x14ac:dyDescent="0.2">
      <c r="A8974" t="s">
        <v>7</v>
      </c>
      <c r="B8974" t="s">
        <v>27</v>
      </c>
      <c r="C8974" t="str">
        <f t="shared" si="282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281"/>
        <v>-6</v>
      </c>
    </row>
    <row r="8975" spans="1:8" x14ac:dyDescent="0.2">
      <c r="A8975" t="s">
        <v>7</v>
      </c>
      <c r="B8975" t="s">
        <v>27</v>
      </c>
      <c r="C8975" t="str">
        <f t="shared" si="282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281"/>
        <v>-6</v>
      </c>
    </row>
    <row r="8976" spans="1:8" x14ac:dyDescent="0.2">
      <c r="A8976" t="s">
        <v>7</v>
      </c>
      <c r="B8976" t="s">
        <v>27</v>
      </c>
      <c r="C8976" t="str">
        <f t="shared" si="282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281"/>
        <v>-6</v>
      </c>
    </row>
    <row r="8977" spans="1:8" x14ac:dyDescent="0.2">
      <c r="A8977" t="s">
        <v>7</v>
      </c>
      <c r="B8977" t="s">
        <v>27</v>
      </c>
      <c r="C8977" t="str">
        <f t="shared" si="282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281"/>
        <v>-6</v>
      </c>
    </row>
    <row r="8978" spans="1:8" x14ac:dyDescent="0.2">
      <c r="A8978" t="s">
        <v>7</v>
      </c>
      <c r="B8978" t="s">
        <v>27</v>
      </c>
      <c r="C8978" t="str">
        <f t="shared" si="282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281"/>
        <v>-6</v>
      </c>
    </row>
    <row r="8979" spans="1:8" x14ac:dyDescent="0.2">
      <c r="A8979" t="s">
        <v>7</v>
      </c>
      <c r="B8979" t="s">
        <v>27</v>
      </c>
      <c r="C8979" t="str">
        <f t="shared" si="282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281"/>
        <v>-6</v>
      </c>
    </row>
    <row r="8980" spans="1:8" x14ac:dyDescent="0.2">
      <c r="A8980" t="s">
        <v>7</v>
      </c>
      <c r="B8980" t="s">
        <v>27</v>
      </c>
      <c r="C8980" t="str">
        <f t="shared" si="282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281"/>
        <v>-6</v>
      </c>
    </row>
    <row r="8981" spans="1:8" x14ac:dyDescent="0.2">
      <c r="A8981" t="s">
        <v>7</v>
      </c>
      <c r="B8981" t="s">
        <v>27</v>
      </c>
      <c r="C8981" t="str">
        <f t="shared" si="282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281"/>
        <v>-6</v>
      </c>
    </row>
    <row r="8982" spans="1:8" x14ac:dyDescent="0.2">
      <c r="A8982" t="s">
        <v>7</v>
      </c>
      <c r="B8982" t="s">
        <v>27</v>
      </c>
      <c r="C8982" t="str">
        <f t="shared" si="282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281"/>
        <v>-6</v>
      </c>
    </row>
    <row r="8983" spans="1:8" x14ac:dyDescent="0.2">
      <c r="A8983" t="s">
        <v>7</v>
      </c>
      <c r="B8983" t="s">
        <v>27</v>
      </c>
      <c r="C8983" t="str">
        <f t="shared" si="282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281"/>
        <v>-6</v>
      </c>
    </row>
    <row r="8984" spans="1:8" x14ac:dyDescent="0.2">
      <c r="A8984" t="s">
        <v>7</v>
      </c>
      <c r="B8984" t="s">
        <v>27</v>
      </c>
      <c r="C8984" t="str">
        <f t="shared" si="282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281"/>
        <v>-6</v>
      </c>
    </row>
    <row r="8985" spans="1:8" x14ac:dyDescent="0.2">
      <c r="A8985" t="s">
        <v>7</v>
      </c>
      <c r="B8985" t="s">
        <v>27</v>
      </c>
      <c r="C8985" t="str">
        <f t="shared" si="282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281"/>
        <v>-6</v>
      </c>
    </row>
    <row r="8986" spans="1:8" x14ac:dyDescent="0.2">
      <c r="A8986" t="s">
        <v>7</v>
      </c>
      <c r="B8986" t="s">
        <v>27</v>
      </c>
      <c r="C8986" t="str">
        <f t="shared" si="282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281"/>
        <v>-6</v>
      </c>
    </row>
    <row r="8987" spans="1:8" x14ac:dyDescent="0.2">
      <c r="A8987" t="s">
        <v>7</v>
      </c>
      <c r="B8987" t="s">
        <v>27</v>
      </c>
      <c r="C8987" t="str">
        <f t="shared" si="282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281"/>
        <v>-6</v>
      </c>
    </row>
    <row r="8988" spans="1:8" x14ac:dyDescent="0.2">
      <c r="A8988" t="s">
        <v>7</v>
      </c>
      <c r="B8988" t="s">
        <v>27</v>
      </c>
      <c r="C8988" t="str">
        <f t="shared" si="282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281"/>
        <v>-6</v>
      </c>
    </row>
    <row r="8989" spans="1:8" x14ac:dyDescent="0.2">
      <c r="A8989" t="s">
        <v>7</v>
      </c>
      <c r="B8989" t="s">
        <v>27</v>
      </c>
      <c r="C8989" t="str">
        <f t="shared" si="282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281"/>
        <v>-6</v>
      </c>
    </row>
    <row r="8990" spans="1:8" x14ac:dyDescent="0.2">
      <c r="A8990" t="s">
        <v>7</v>
      </c>
      <c r="B8990" t="s">
        <v>27</v>
      </c>
      <c r="C8990" t="str">
        <f t="shared" si="282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281"/>
        <v>-6</v>
      </c>
    </row>
    <row r="8991" spans="1:8" x14ac:dyDescent="0.2">
      <c r="A8991" t="s">
        <v>7</v>
      </c>
      <c r="B8991" t="s">
        <v>27</v>
      </c>
      <c r="C8991" t="str">
        <f t="shared" si="282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281"/>
        <v>-6</v>
      </c>
    </row>
    <row r="8992" spans="1:8" x14ac:dyDescent="0.2">
      <c r="A8992" t="s">
        <v>7</v>
      </c>
      <c r="B8992" t="s">
        <v>27</v>
      </c>
      <c r="C8992" t="str">
        <f t="shared" si="282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281"/>
        <v>-6</v>
      </c>
    </row>
    <row r="8993" spans="1:8" x14ac:dyDescent="0.2">
      <c r="A8993" t="s">
        <v>7</v>
      </c>
      <c r="B8993" t="s">
        <v>27</v>
      </c>
      <c r="C8993" t="str">
        <f t="shared" si="282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281"/>
        <v>-6</v>
      </c>
    </row>
    <row r="8994" spans="1:8" x14ac:dyDescent="0.2">
      <c r="A8994" t="s">
        <v>7</v>
      </c>
      <c r="B8994" t="s">
        <v>27</v>
      </c>
      <c r="C8994" t="str">
        <f t="shared" si="282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281"/>
        <v>-6</v>
      </c>
    </row>
    <row r="8995" spans="1:8" x14ac:dyDescent="0.2">
      <c r="A8995" t="s">
        <v>7</v>
      </c>
      <c r="B8995" t="s">
        <v>27</v>
      </c>
      <c r="C8995" t="str">
        <f t="shared" si="282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281"/>
        <v>-6</v>
      </c>
    </row>
    <row r="8996" spans="1:8" x14ac:dyDescent="0.2">
      <c r="A8996" t="s">
        <v>7</v>
      </c>
      <c r="B8996" t="s">
        <v>27</v>
      </c>
      <c r="C8996" t="str">
        <f t="shared" si="282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281"/>
        <v>-6</v>
      </c>
    </row>
    <row r="8997" spans="1:8" x14ac:dyDescent="0.2">
      <c r="A8997" t="s">
        <v>7</v>
      </c>
      <c r="B8997" t="s">
        <v>27</v>
      </c>
      <c r="C8997" t="str">
        <f t="shared" si="282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281"/>
        <v>-6</v>
      </c>
    </row>
    <row r="8998" spans="1:8" x14ac:dyDescent="0.2">
      <c r="A8998" t="s">
        <v>7</v>
      </c>
      <c r="B8998" t="s">
        <v>27</v>
      </c>
      <c r="C8998" t="str">
        <f t="shared" si="282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281"/>
        <v>-6</v>
      </c>
    </row>
    <row r="8999" spans="1:8" x14ac:dyDescent="0.2">
      <c r="A8999" t="s">
        <v>7</v>
      </c>
      <c r="B8999" t="s">
        <v>27</v>
      </c>
      <c r="C8999" t="str">
        <f t="shared" si="282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281"/>
        <v>-6</v>
      </c>
    </row>
    <row r="9000" spans="1:8" x14ac:dyDescent="0.2">
      <c r="A9000" t="s">
        <v>7</v>
      </c>
      <c r="B9000" t="s">
        <v>27</v>
      </c>
      <c r="C9000" t="str">
        <f t="shared" si="282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281"/>
        <v>-6</v>
      </c>
    </row>
    <row r="9001" spans="1:8" x14ac:dyDescent="0.2">
      <c r="A9001" t="s">
        <v>7</v>
      </c>
      <c r="B9001" t="s">
        <v>27</v>
      </c>
      <c r="C9001" t="str">
        <f t="shared" si="282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281"/>
        <v>-6</v>
      </c>
    </row>
    <row r="9002" spans="1:8" x14ac:dyDescent="0.2">
      <c r="A9002" t="s">
        <v>7</v>
      </c>
      <c r="B9002" t="s">
        <v>27</v>
      </c>
      <c r="C9002" t="str">
        <f t="shared" si="282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281"/>
        <v>-6</v>
      </c>
    </row>
    <row r="9003" spans="1:8" x14ac:dyDescent="0.2">
      <c r="A9003" t="s">
        <v>7</v>
      </c>
      <c r="B9003" t="s">
        <v>27</v>
      </c>
      <c r="C9003" t="str">
        <f t="shared" si="282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281"/>
        <v>-6</v>
      </c>
    </row>
    <row r="9004" spans="1:8" x14ac:dyDescent="0.2">
      <c r="A9004" t="s">
        <v>7</v>
      </c>
      <c r="B9004" t="s">
        <v>27</v>
      </c>
      <c r="C9004" t="str">
        <f t="shared" si="282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281"/>
        <v>-6</v>
      </c>
    </row>
    <row r="9005" spans="1:8" x14ac:dyDescent="0.2">
      <c r="A9005" t="s">
        <v>7</v>
      </c>
      <c r="B9005" t="s">
        <v>27</v>
      </c>
      <c r="C9005" t="str">
        <f t="shared" si="282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281"/>
        <v>-6</v>
      </c>
    </row>
    <row r="9006" spans="1:8" x14ac:dyDescent="0.2">
      <c r="A9006" t="s">
        <v>7</v>
      </c>
      <c r="B9006" t="s">
        <v>27</v>
      </c>
      <c r="C9006" t="str">
        <f t="shared" si="282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281"/>
        <v>-6</v>
      </c>
    </row>
    <row r="9007" spans="1:8" x14ac:dyDescent="0.2">
      <c r="A9007" t="s">
        <v>7</v>
      </c>
      <c r="B9007" t="s">
        <v>27</v>
      </c>
      <c r="C9007" t="str">
        <f t="shared" si="282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281"/>
        <v>-6</v>
      </c>
    </row>
    <row r="9008" spans="1:8" x14ac:dyDescent="0.2">
      <c r="A9008" t="s">
        <v>7</v>
      </c>
      <c r="B9008" t="s">
        <v>27</v>
      </c>
      <c r="C9008" t="str">
        <f t="shared" si="282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281"/>
        <v>-6</v>
      </c>
    </row>
    <row r="9009" spans="1:8" x14ac:dyDescent="0.2">
      <c r="A9009" t="s">
        <v>7</v>
      </c>
      <c r="B9009" t="s">
        <v>27</v>
      </c>
      <c r="C9009" t="str">
        <f t="shared" si="282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281"/>
        <v>-6</v>
      </c>
    </row>
    <row r="9010" spans="1:8" x14ac:dyDescent="0.2">
      <c r="A9010" t="s">
        <v>7</v>
      </c>
      <c r="B9010" t="s">
        <v>27</v>
      </c>
      <c r="C9010" t="str">
        <f t="shared" si="282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281"/>
        <v>-6</v>
      </c>
    </row>
    <row r="9011" spans="1:8" x14ac:dyDescent="0.2">
      <c r="A9011" t="s">
        <v>7</v>
      </c>
      <c r="B9011" t="s">
        <v>27</v>
      </c>
      <c r="C9011" t="str">
        <f t="shared" si="282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281"/>
        <v>-6</v>
      </c>
    </row>
    <row r="9012" spans="1:8" x14ac:dyDescent="0.2">
      <c r="A9012" t="s">
        <v>7</v>
      </c>
      <c r="B9012" t="s">
        <v>27</v>
      </c>
      <c r="C9012" t="str">
        <f t="shared" si="282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281"/>
        <v>-6</v>
      </c>
    </row>
    <row r="9013" spans="1:8" x14ac:dyDescent="0.2">
      <c r="A9013" t="s">
        <v>7</v>
      </c>
      <c r="B9013" t="s">
        <v>27</v>
      </c>
      <c r="C9013" t="str">
        <f t="shared" si="282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281"/>
        <v>-6</v>
      </c>
    </row>
    <row r="9014" spans="1:8" x14ac:dyDescent="0.2">
      <c r="A9014" t="s">
        <v>7</v>
      </c>
      <c r="B9014" t="s">
        <v>27</v>
      </c>
      <c r="C9014" t="str">
        <f t="shared" si="282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281"/>
        <v>-6</v>
      </c>
    </row>
    <row r="9015" spans="1:8" x14ac:dyDescent="0.2">
      <c r="A9015" t="s">
        <v>7</v>
      </c>
      <c r="B9015" t="s">
        <v>27</v>
      </c>
      <c r="C9015" t="str">
        <f t="shared" si="282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281"/>
        <v>-6</v>
      </c>
    </row>
    <row r="9016" spans="1:8" x14ac:dyDescent="0.2">
      <c r="A9016" t="s">
        <v>7</v>
      </c>
      <c r="B9016" t="s">
        <v>27</v>
      </c>
      <c r="C9016" t="str">
        <f t="shared" si="282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281"/>
        <v>-6</v>
      </c>
    </row>
    <row r="9017" spans="1:8" x14ac:dyDescent="0.2">
      <c r="A9017" t="s">
        <v>7</v>
      </c>
      <c r="B9017" t="s">
        <v>29</v>
      </c>
      <c r="C9017" t="str">
        <f t="shared" si="282"/>
        <v>Cumple</v>
      </c>
      <c r="D9017">
        <v>9214</v>
      </c>
      <c r="E9017" t="s">
        <v>8</v>
      </c>
      <c r="F9017">
        <v>32</v>
      </c>
      <c r="G9017">
        <v>8</v>
      </c>
      <c r="H9017">
        <f t="shared" si="281"/>
        <v>24</v>
      </c>
    </row>
    <row r="9018" spans="1:8" x14ac:dyDescent="0.2">
      <c r="A9018" t="s">
        <v>7</v>
      </c>
      <c r="B9018" t="s">
        <v>29</v>
      </c>
      <c r="C9018" t="str">
        <f t="shared" si="282"/>
        <v>Cumple</v>
      </c>
      <c r="D9018">
        <v>2349</v>
      </c>
      <c r="E9018" t="s">
        <v>8</v>
      </c>
      <c r="F9018">
        <v>24</v>
      </c>
      <c r="G9018">
        <v>8</v>
      </c>
      <c r="H9018">
        <f t="shared" si="281"/>
        <v>16</v>
      </c>
    </row>
    <row r="9019" spans="1:8" x14ac:dyDescent="0.2">
      <c r="A9019" t="s">
        <v>7</v>
      </c>
      <c r="B9019" t="s">
        <v>29</v>
      </c>
      <c r="C9019" t="str">
        <f t="shared" si="282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281"/>
        <v>12</v>
      </c>
    </row>
    <row r="9020" spans="1:8" x14ac:dyDescent="0.2">
      <c r="A9020" t="s">
        <v>7</v>
      </c>
      <c r="B9020" t="s">
        <v>29</v>
      </c>
      <c r="C9020" t="str">
        <f t="shared" si="282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281"/>
        <v>12</v>
      </c>
    </row>
    <row r="9021" spans="1:8" x14ac:dyDescent="0.2">
      <c r="A9021" t="s">
        <v>7</v>
      </c>
      <c r="B9021" t="s">
        <v>29</v>
      </c>
      <c r="C9021" t="str">
        <f t="shared" si="282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281"/>
        <v>12</v>
      </c>
    </row>
    <row r="9022" spans="1:8" x14ac:dyDescent="0.2">
      <c r="A9022" t="s">
        <v>7</v>
      </c>
      <c r="B9022" t="s">
        <v>29</v>
      </c>
      <c r="C9022" t="str">
        <f t="shared" si="282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281"/>
        <v>11</v>
      </c>
    </row>
    <row r="9023" spans="1:8" x14ac:dyDescent="0.2">
      <c r="A9023" t="s">
        <v>7</v>
      </c>
      <c r="B9023" t="s">
        <v>29</v>
      </c>
      <c r="C9023" t="str">
        <f t="shared" si="282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281"/>
        <v>10</v>
      </c>
    </row>
    <row r="9024" spans="1:8" x14ac:dyDescent="0.2">
      <c r="A9024" t="s">
        <v>7</v>
      </c>
      <c r="B9024" t="s">
        <v>29</v>
      </c>
      <c r="C9024" t="str">
        <f t="shared" si="282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281"/>
        <v>10</v>
      </c>
    </row>
    <row r="9025" spans="1:8" x14ac:dyDescent="0.2">
      <c r="A9025" t="s">
        <v>7</v>
      </c>
      <c r="B9025" t="s">
        <v>29</v>
      </c>
      <c r="C9025" t="str">
        <f t="shared" si="282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281"/>
        <v>10</v>
      </c>
    </row>
    <row r="9026" spans="1:8" x14ac:dyDescent="0.2">
      <c r="A9026" t="s">
        <v>7</v>
      </c>
      <c r="B9026" t="s">
        <v>29</v>
      </c>
      <c r="C9026" t="str">
        <f t="shared" si="282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281"/>
        <v>9</v>
      </c>
    </row>
    <row r="9027" spans="1:8" x14ac:dyDescent="0.2">
      <c r="A9027" t="s">
        <v>7</v>
      </c>
      <c r="B9027" t="s">
        <v>29</v>
      </c>
      <c r="C9027" t="str">
        <f t="shared" si="282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ref="H9027:H9090" si="283">F9027-G9027</f>
        <v>9</v>
      </c>
    </row>
    <row r="9028" spans="1:8" x14ac:dyDescent="0.2">
      <c r="A9028" t="s">
        <v>7</v>
      </c>
      <c r="B9028" t="s">
        <v>29</v>
      </c>
      <c r="C9028" t="str">
        <f t="shared" si="282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283"/>
        <v>9</v>
      </c>
    </row>
    <row r="9029" spans="1:8" x14ac:dyDescent="0.2">
      <c r="A9029" t="s">
        <v>7</v>
      </c>
      <c r="B9029" t="s">
        <v>29</v>
      </c>
      <c r="C9029" t="str">
        <f t="shared" ref="C9029:C9092" si="284">IF(H9029&gt;=0,"Cumple","No cumple")</f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283"/>
        <v>9</v>
      </c>
    </row>
    <row r="9030" spans="1:8" x14ac:dyDescent="0.2">
      <c r="A9030" t="s">
        <v>7</v>
      </c>
      <c r="B9030" t="s">
        <v>29</v>
      </c>
      <c r="C9030" t="str">
        <f t="shared" si="284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283"/>
        <v>8</v>
      </c>
    </row>
    <row r="9031" spans="1:8" x14ac:dyDescent="0.2">
      <c r="A9031" t="s">
        <v>7</v>
      </c>
      <c r="B9031" t="s">
        <v>29</v>
      </c>
      <c r="C9031" t="str">
        <f t="shared" si="284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283"/>
        <v>8</v>
      </c>
    </row>
    <row r="9032" spans="1:8" x14ac:dyDescent="0.2">
      <c r="A9032" t="s">
        <v>7</v>
      </c>
      <c r="B9032" t="s">
        <v>29</v>
      </c>
      <c r="C9032" t="str">
        <f t="shared" si="284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283"/>
        <v>8</v>
      </c>
    </row>
    <row r="9033" spans="1:8" x14ac:dyDescent="0.2">
      <c r="A9033" t="s">
        <v>7</v>
      </c>
      <c r="B9033" t="s">
        <v>29</v>
      </c>
      <c r="C9033" t="str">
        <f t="shared" si="284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283"/>
        <v>10</v>
      </c>
    </row>
    <row r="9034" spans="1:8" x14ac:dyDescent="0.2">
      <c r="A9034" t="s">
        <v>7</v>
      </c>
      <c r="B9034" t="s">
        <v>29</v>
      </c>
      <c r="C9034" t="str">
        <f t="shared" si="284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283"/>
        <v>8</v>
      </c>
    </row>
    <row r="9035" spans="1:8" x14ac:dyDescent="0.2">
      <c r="A9035" t="s">
        <v>7</v>
      </c>
      <c r="B9035" t="s">
        <v>29</v>
      </c>
      <c r="C9035" t="str">
        <f t="shared" si="284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283"/>
        <v>7</v>
      </c>
    </row>
    <row r="9036" spans="1:8" x14ac:dyDescent="0.2">
      <c r="A9036" t="s">
        <v>7</v>
      </c>
      <c r="B9036" t="s">
        <v>29</v>
      </c>
      <c r="C9036" t="str">
        <f t="shared" si="284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283"/>
        <v>9</v>
      </c>
    </row>
    <row r="9037" spans="1:8" x14ac:dyDescent="0.2">
      <c r="A9037" t="s">
        <v>7</v>
      </c>
      <c r="B9037" t="s">
        <v>29</v>
      </c>
      <c r="C9037" t="str">
        <f t="shared" si="284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283"/>
        <v>7</v>
      </c>
    </row>
    <row r="9038" spans="1:8" x14ac:dyDescent="0.2">
      <c r="A9038" t="s">
        <v>7</v>
      </c>
      <c r="B9038" t="s">
        <v>29</v>
      </c>
      <c r="C9038" t="str">
        <f t="shared" si="284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283"/>
        <v>6</v>
      </c>
    </row>
    <row r="9039" spans="1:8" x14ac:dyDescent="0.2">
      <c r="A9039" t="s">
        <v>7</v>
      </c>
      <c r="B9039" t="s">
        <v>29</v>
      </c>
      <c r="C9039" t="str">
        <f t="shared" si="284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283"/>
        <v>8</v>
      </c>
    </row>
    <row r="9040" spans="1:8" x14ac:dyDescent="0.2">
      <c r="A9040" t="s">
        <v>7</v>
      </c>
      <c r="B9040" t="s">
        <v>29</v>
      </c>
      <c r="C9040" t="str">
        <f t="shared" si="284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283"/>
        <v>6</v>
      </c>
    </row>
    <row r="9041" spans="1:8" x14ac:dyDescent="0.2">
      <c r="A9041" t="s">
        <v>7</v>
      </c>
      <c r="B9041" t="s">
        <v>29</v>
      </c>
      <c r="C9041" t="str">
        <f t="shared" si="284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283"/>
        <v>6</v>
      </c>
    </row>
    <row r="9042" spans="1:8" x14ac:dyDescent="0.2">
      <c r="A9042" t="s">
        <v>7</v>
      </c>
      <c r="B9042" t="s">
        <v>29</v>
      </c>
      <c r="C9042" t="str">
        <f t="shared" si="284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283"/>
        <v>6</v>
      </c>
    </row>
    <row r="9043" spans="1:8" x14ac:dyDescent="0.2">
      <c r="A9043" t="s">
        <v>7</v>
      </c>
      <c r="B9043" t="s">
        <v>29</v>
      </c>
      <c r="C9043" t="str">
        <f t="shared" si="284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283"/>
        <v>8</v>
      </c>
    </row>
    <row r="9044" spans="1:8" x14ac:dyDescent="0.2">
      <c r="A9044" t="s">
        <v>7</v>
      </c>
      <c r="B9044" t="s">
        <v>29</v>
      </c>
      <c r="C9044" t="str">
        <f t="shared" si="284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283"/>
        <v>6</v>
      </c>
    </row>
    <row r="9045" spans="1:8" x14ac:dyDescent="0.2">
      <c r="A9045" t="s">
        <v>7</v>
      </c>
      <c r="B9045" t="s">
        <v>29</v>
      </c>
      <c r="C9045" t="str">
        <f t="shared" si="284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283"/>
        <v>5</v>
      </c>
    </row>
    <row r="9046" spans="1:8" x14ac:dyDescent="0.2">
      <c r="A9046" t="s">
        <v>7</v>
      </c>
      <c r="B9046" t="s">
        <v>29</v>
      </c>
      <c r="C9046" t="str">
        <f t="shared" si="284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283"/>
        <v>5</v>
      </c>
    </row>
    <row r="9047" spans="1:8" x14ac:dyDescent="0.2">
      <c r="A9047" t="s">
        <v>7</v>
      </c>
      <c r="B9047" t="s">
        <v>29</v>
      </c>
      <c r="C9047" t="str">
        <f t="shared" si="284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283"/>
        <v>7</v>
      </c>
    </row>
    <row r="9048" spans="1:8" x14ac:dyDescent="0.2">
      <c r="A9048" t="s">
        <v>7</v>
      </c>
      <c r="B9048" t="s">
        <v>29</v>
      </c>
      <c r="C9048" t="str">
        <f t="shared" si="284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283"/>
        <v>7</v>
      </c>
    </row>
    <row r="9049" spans="1:8" x14ac:dyDescent="0.2">
      <c r="A9049" t="s">
        <v>7</v>
      </c>
      <c r="B9049" t="s">
        <v>29</v>
      </c>
      <c r="C9049" t="str">
        <f t="shared" si="284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283"/>
        <v>5</v>
      </c>
    </row>
    <row r="9050" spans="1:8" x14ac:dyDescent="0.2">
      <c r="A9050" t="s">
        <v>7</v>
      </c>
      <c r="B9050" t="s">
        <v>29</v>
      </c>
      <c r="C9050" t="str">
        <f t="shared" si="284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283"/>
        <v>5</v>
      </c>
    </row>
    <row r="9051" spans="1:8" x14ac:dyDescent="0.2">
      <c r="A9051" t="s">
        <v>7</v>
      </c>
      <c r="B9051" t="s">
        <v>29</v>
      </c>
      <c r="C9051" t="str">
        <f t="shared" si="284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283"/>
        <v>7</v>
      </c>
    </row>
    <row r="9052" spans="1:8" x14ac:dyDescent="0.2">
      <c r="A9052" t="s">
        <v>7</v>
      </c>
      <c r="B9052" t="s">
        <v>29</v>
      </c>
      <c r="C9052" t="str">
        <f t="shared" si="284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283"/>
        <v>5</v>
      </c>
    </row>
    <row r="9053" spans="1:8" x14ac:dyDescent="0.2">
      <c r="A9053" t="s">
        <v>7</v>
      </c>
      <c r="B9053" t="s">
        <v>29</v>
      </c>
      <c r="C9053" t="str">
        <f t="shared" si="284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283"/>
        <v>7</v>
      </c>
    </row>
    <row r="9054" spans="1:8" x14ac:dyDescent="0.2">
      <c r="A9054" t="s">
        <v>7</v>
      </c>
      <c r="B9054" t="s">
        <v>29</v>
      </c>
      <c r="C9054" t="str">
        <f t="shared" si="284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283"/>
        <v>7</v>
      </c>
    </row>
    <row r="9055" spans="1:8" x14ac:dyDescent="0.2">
      <c r="A9055" t="s">
        <v>7</v>
      </c>
      <c r="B9055" t="s">
        <v>29</v>
      </c>
      <c r="C9055" t="str">
        <f t="shared" si="284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283"/>
        <v>6</v>
      </c>
    </row>
    <row r="9056" spans="1:8" x14ac:dyDescent="0.2">
      <c r="A9056" t="s">
        <v>7</v>
      </c>
      <c r="B9056" t="s">
        <v>29</v>
      </c>
      <c r="C9056" t="str">
        <f t="shared" si="284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283"/>
        <v>4</v>
      </c>
    </row>
    <row r="9057" spans="1:8" x14ac:dyDescent="0.2">
      <c r="A9057" t="s">
        <v>7</v>
      </c>
      <c r="B9057" t="s">
        <v>29</v>
      </c>
      <c r="C9057" t="str">
        <f t="shared" si="284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283"/>
        <v>6</v>
      </c>
    </row>
    <row r="9058" spans="1:8" x14ac:dyDescent="0.2">
      <c r="A9058" t="s">
        <v>7</v>
      </c>
      <c r="B9058" t="s">
        <v>29</v>
      </c>
      <c r="C9058" t="str">
        <f t="shared" si="284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283"/>
        <v>4</v>
      </c>
    </row>
    <row r="9059" spans="1:8" x14ac:dyDescent="0.2">
      <c r="A9059" t="s">
        <v>7</v>
      </c>
      <c r="B9059" t="s">
        <v>29</v>
      </c>
      <c r="C9059" t="str">
        <f t="shared" si="284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283"/>
        <v>4</v>
      </c>
    </row>
    <row r="9060" spans="1:8" x14ac:dyDescent="0.2">
      <c r="A9060" t="s">
        <v>7</v>
      </c>
      <c r="B9060" t="s">
        <v>29</v>
      </c>
      <c r="C9060" t="str">
        <f t="shared" si="284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283"/>
        <v>4</v>
      </c>
    </row>
    <row r="9061" spans="1:8" x14ac:dyDescent="0.2">
      <c r="A9061" t="s">
        <v>7</v>
      </c>
      <c r="B9061" t="s">
        <v>29</v>
      </c>
      <c r="C9061" t="str">
        <f t="shared" si="284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283"/>
        <v>3</v>
      </c>
    </row>
    <row r="9062" spans="1:8" x14ac:dyDescent="0.2">
      <c r="A9062" t="s">
        <v>7</v>
      </c>
      <c r="B9062" t="s">
        <v>29</v>
      </c>
      <c r="C9062" t="str">
        <f t="shared" si="284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283"/>
        <v>3</v>
      </c>
    </row>
    <row r="9063" spans="1:8" x14ac:dyDescent="0.2">
      <c r="A9063" t="s">
        <v>7</v>
      </c>
      <c r="B9063" t="s">
        <v>29</v>
      </c>
      <c r="C9063" t="str">
        <f t="shared" si="284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283"/>
        <v>3</v>
      </c>
    </row>
    <row r="9064" spans="1:8" x14ac:dyDescent="0.2">
      <c r="A9064" t="s">
        <v>7</v>
      </c>
      <c r="B9064" t="s">
        <v>29</v>
      </c>
      <c r="C9064" t="str">
        <f t="shared" si="284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283"/>
        <v>5</v>
      </c>
    </row>
    <row r="9065" spans="1:8" x14ac:dyDescent="0.2">
      <c r="A9065" t="s">
        <v>7</v>
      </c>
      <c r="B9065" t="s">
        <v>29</v>
      </c>
      <c r="C9065" t="str">
        <f t="shared" si="284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283"/>
        <v>5</v>
      </c>
    </row>
    <row r="9066" spans="1:8" x14ac:dyDescent="0.2">
      <c r="A9066" t="s">
        <v>7</v>
      </c>
      <c r="B9066" t="s">
        <v>29</v>
      </c>
      <c r="C9066" t="str">
        <f t="shared" si="284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283"/>
        <v>3</v>
      </c>
    </row>
    <row r="9067" spans="1:8" x14ac:dyDescent="0.2">
      <c r="A9067" t="s">
        <v>7</v>
      </c>
      <c r="B9067" t="s">
        <v>29</v>
      </c>
      <c r="C9067" t="str">
        <f t="shared" si="284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283"/>
        <v>3</v>
      </c>
    </row>
    <row r="9068" spans="1:8" x14ac:dyDescent="0.2">
      <c r="A9068" t="s">
        <v>7</v>
      </c>
      <c r="B9068" t="s">
        <v>29</v>
      </c>
      <c r="C9068" t="str">
        <f t="shared" si="284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283"/>
        <v>5</v>
      </c>
    </row>
    <row r="9069" spans="1:8" x14ac:dyDescent="0.2">
      <c r="A9069" t="s">
        <v>7</v>
      </c>
      <c r="B9069" t="s">
        <v>29</v>
      </c>
      <c r="C9069" t="str">
        <f t="shared" si="284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283"/>
        <v>3</v>
      </c>
    </row>
    <row r="9070" spans="1:8" x14ac:dyDescent="0.2">
      <c r="A9070" t="s">
        <v>7</v>
      </c>
      <c r="B9070" t="s">
        <v>29</v>
      </c>
      <c r="C9070" t="str">
        <f t="shared" si="284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283"/>
        <v>5</v>
      </c>
    </row>
    <row r="9071" spans="1:8" x14ac:dyDescent="0.2">
      <c r="A9071" t="s">
        <v>7</v>
      </c>
      <c r="B9071" t="s">
        <v>29</v>
      </c>
      <c r="C9071" t="str">
        <f t="shared" si="284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283"/>
        <v>5</v>
      </c>
    </row>
    <row r="9072" spans="1:8" x14ac:dyDescent="0.2">
      <c r="A9072" t="s">
        <v>7</v>
      </c>
      <c r="B9072" t="s">
        <v>29</v>
      </c>
      <c r="C9072" t="str">
        <f t="shared" si="284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283"/>
        <v>3</v>
      </c>
    </row>
    <row r="9073" spans="1:8" x14ac:dyDescent="0.2">
      <c r="A9073" t="s">
        <v>7</v>
      </c>
      <c r="B9073" t="s">
        <v>29</v>
      </c>
      <c r="C9073" t="str">
        <f t="shared" si="284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283"/>
        <v>4</v>
      </c>
    </row>
    <row r="9074" spans="1:8" x14ac:dyDescent="0.2">
      <c r="A9074" t="s">
        <v>7</v>
      </c>
      <c r="B9074" t="s">
        <v>29</v>
      </c>
      <c r="C9074" t="str">
        <f t="shared" si="284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283"/>
        <v>2</v>
      </c>
    </row>
    <row r="9075" spans="1:8" x14ac:dyDescent="0.2">
      <c r="A9075" t="s">
        <v>7</v>
      </c>
      <c r="B9075" t="s">
        <v>29</v>
      </c>
      <c r="C9075" t="str">
        <f t="shared" si="284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283"/>
        <v>4</v>
      </c>
    </row>
    <row r="9076" spans="1:8" x14ac:dyDescent="0.2">
      <c r="A9076" t="s">
        <v>7</v>
      </c>
      <c r="B9076" t="s">
        <v>29</v>
      </c>
      <c r="C9076" t="str">
        <f t="shared" si="284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283"/>
        <v>2</v>
      </c>
    </row>
    <row r="9077" spans="1:8" x14ac:dyDescent="0.2">
      <c r="A9077" t="s">
        <v>7</v>
      </c>
      <c r="B9077" t="s">
        <v>29</v>
      </c>
      <c r="C9077" t="str">
        <f t="shared" si="284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283"/>
        <v>4</v>
      </c>
    </row>
    <row r="9078" spans="1:8" x14ac:dyDescent="0.2">
      <c r="A9078" t="s">
        <v>7</v>
      </c>
      <c r="B9078" t="s">
        <v>29</v>
      </c>
      <c r="C9078" t="str">
        <f t="shared" si="284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283"/>
        <v>4</v>
      </c>
    </row>
    <row r="9079" spans="1:8" x14ac:dyDescent="0.2">
      <c r="A9079" t="s">
        <v>7</v>
      </c>
      <c r="B9079" t="s">
        <v>29</v>
      </c>
      <c r="C9079" t="str">
        <f t="shared" si="284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283"/>
        <v>1</v>
      </c>
    </row>
    <row r="9080" spans="1:8" x14ac:dyDescent="0.2">
      <c r="A9080" t="s">
        <v>7</v>
      </c>
      <c r="B9080" t="s">
        <v>29</v>
      </c>
      <c r="C9080" t="str">
        <f t="shared" si="284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283"/>
        <v>1</v>
      </c>
    </row>
    <row r="9081" spans="1:8" x14ac:dyDescent="0.2">
      <c r="A9081" t="s">
        <v>7</v>
      </c>
      <c r="B9081" t="s">
        <v>29</v>
      </c>
      <c r="C9081" t="str">
        <f t="shared" si="284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283"/>
        <v>3</v>
      </c>
    </row>
    <row r="9082" spans="1:8" x14ac:dyDescent="0.2">
      <c r="A9082" t="s">
        <v>7</v>
      </c>
      <c r="B9082" t="s">
        <v>29</v>
      </c>
      <c r="C9082" t="str">
        <f t="shared" si="284"/>
        <v>Cumple</v>
      </c>
      <c r="D9082">
        <v>2720</v>
      </c>
      <c r="E9082" t="s">
        <v>8</v>
      </c>
      <c r="F9082">
        <v>9</v>
      </c>
      <c r="G9082">
        <v>8</v>
      </c>
      <c r="H9082">
        <f t="shared" si="283"/>
        <v>1</v>
      </c>
    </row>
    <row r="9083" spans="1:8" x14ac:dyDescent="0.2">
      <c r="A9083" t="s">
        <v>7</v>
      </c>
      <c r="B9083" t="s">
        <v>29</v>
      </c>
      <c r="C9083" t="str">
        <f t="shared" si="284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283"/>
        <v>1</v>
      </c>
    </row>
    <row r="9084" spans="1:8" x14ac:dyDescent="0.2">
      <c r="A9084" t="s">
        <v>7</v>
      </c>
      <c r="B9084" t="s">
        <v>29</v>
      </c>
      <c r="C9084" t="str">
        <f t="shared" si="284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283"/>
        <v>1</v>
      </c>
    </row>
    <row r="9085" spans="1:8" x14ac:dyDescent="0.2">
      <c r="A9085" t="s">
        <v>7</v>
      </c>
      <c r="B9085" t="s">
        <v>29</v>
      </c>
      <c r="C9085" t="str">
        <f t="shared" si="284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283"/>
        <v>3</v>
      </c>
    </row>
    <row r="9086" spans="1:8" x14ac:dyDescent="0.2">
      <c r="A9086" t="s">
        <v>7</v>
      </c>
      <c r="B9086" t="s">
        <v>29</v>
      </c>
      <c r="C9086" t="str">
        <f t="shared" si="284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283"/>
        <v>3</v>
      </c>
    </row>
    <row r="9087" spans="1:8" x14ac:dyDescent="0.2">
      <c r="A9087" t="s">
        <v>7</v>
      </c>
      <c r="B9087" t="s">
        <v>29</v>
      </c>
      <c r="C9087" t="str">
        <f t="shared" si="284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283"/>
        <v>3</v>
      </c>
    </row>
    <row r="9088" spans="1:8" x14ac:dyDescent="0.2">
      <c r="A9088" t="s">
        <v>7</v>
      </c>
      <c r="B9088" t="s">
        <v>29</v>
      </c>
      <c r="C9088" t="str">
        <f t="shared" si="284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283"/>
        <v>0</v>
      </c>
    </row>
    <row r="9089" spans="1:8" x14ac:dyDescent="0.2">
      <c r="A9089" t="s">
        <v>7</v>
      </c>
      <c r="B9089" t="s">
        <v>29</v>
      </c>
      <c r="C9089" t="str">
        <f t="shared" si="284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283"/>
        <v>2</v>
      </c>
    </row>
    <row r="9090" spans="1:8" x14ac:dyDescent="0.2">
      <c r="A9090" t="s">
        <v>7</v>
      </c>
      <c r="B9090" t="s">
        <v>29</v>
      </c>
      <c r="C9090" t="str">
        <f t="shared" si="284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283"/>
        <v>0</v>
      </c>
    </row>
    <row r="9091" spans="1:8" x14ac:dyDescent="0.2">
      <c r="A9091" t="s">
        <v>7</v>
      </c>
      <c r="B9091" t="s">
        <v>29</v>
      </c>
      <c r="C9091" t="str">
        <f t="shared" si="284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ref="H9091:H9154" si="285">F9091-G9091</f>
        <v>0</v>
      </c>
    </row>
    <row r="9092" spans="1:8" x14ac:dyDescent="0.2">
      <c r="A9092" t="s">
        <v>7</v>
      </c>
      <c r="B9092" t="s">
        <v>29</v>
      </c>
      <c r="C9092" t="str">
        <f t="shared" si="284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285"/>
        <v>0</v>
      </c>
    </row>
    <row r="9093" spans="1:8" x14ac:dyDescent="0.2">
      <c r="A9093" t="s">
        <v>7</v>
      </c>
      <c r="B9093" t="s">
        <v>29</v>
      </c>
      <c r="C9093" t="str">
        <f t="shared" ref="C9093:C9156" si="286">IF(H9093&gt;=0,"Cumple","No cumple")</f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285"/>
        <v>2</v>
      </c>
    </row>
    <row r="9094" spans="1:8" x14ac:dyDescent="0.2">
      <c r="A9094" t="s">
        <v>7</v>
      </c>
      <c r="B9094" t="s">
        <v>29</v>
      </c>
      <c r="C9094" t="str">
        <f t="shared" si="286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285"/>
        <v>2</v>
      </c>
    </row>
    <row r="9095" spans="1:8" x14ac:dyDescent="0.2">
      <c r="A9095" t="s">
        <v>7</v>
      </c>
      <c r="B9095" t="s">
        <v>29</v>
      </c>
      <c r="C9095" t="str">
        <f t="shared" si="286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285"/>
        <v>2</v>
      </c>
    </row>
    <row r="9096" spans="1:8" x14ac:dyDescent="0.2">
      <c r="A9096" t="s">
        <v>7</v>
      </c>
      <c r="B9096" t="s">
        <v>29</v>
      </c>
      <c r="C9096" t="str">
        <f t="shared" si="286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285"/>
        <v>2</v>
      </c>
    </row>
    <row r="9097" spans="1:8" x14ac:dyDescent="0.2">
      <c r="A9097" t="s">
        <v>7</v>
      </c>
      <c r="B9097" t="s">
        <v>29</v>
      </c>
      <c r="C9097" t="str">
        <f t="shared" si="286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285"/>
        <v>2</v>
      </c>
    </row>
    <row r="9098" spans="1:8" x14ac:dyDescent="0.2">
      <c r="A9098" t="s">
        <v>7</v>
      </c>
      <c r="B9098" t="s">
        <v>29</v>
      </c>
      <c r="C9098" t="str">
        <f t="shared" si="286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285"/>
        <v>2</v>
      </c>
    </row>
    <row r="9099" spans="1:8" x14ac:dyDescent="0.2">
      <c r="A9099" t="s">
        <v>7</v>
      </c>
      <c r="B9099" t="s">
        <v>29</v>
      </c>
      <c r="C9099" t="str">
        <f t="shared" si="286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285"/>
        <v>2</v>
      </c>
    </row>
    <row r="9100" spans="1:8" x14ac:dyDescent="0.2">
      <c r="A9100" t="s">
        <v>7</v>
      </c>
      <c r="B9100" t="s">
        <v>29</v>
      </c>
      <c r="C9100" t="str">
        <f t="shared" si="286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285"/>
        <v>1</v>
      </c>
    </row>
    <row r="9101" spans="1:8" x14ac:dyDescent="0.2">
      <c r="A9101" t="s">
        <v>7</v>
      </c>
      <c r="B9101" t="s">
        <v>29</v>
      </c>
      <c r="C9101" t="str">
        <f t="shared" si="286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285"/>
        <v>1</v>
      </c>
    </row>
    <row r="9102" spans="1:8" x14ac:dyDescent="0.2">
      <c r="A9102" t="s">
        <v>7</v>
      </c>
      <c r="B9102" t="s">
        <v>29</v>
      </c>
      <c r="C9102" t="str">
        <f t="shared" si="286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285"/>
        <v>1</v>
      </c>
    </row>
    <row r="9103" spans="1:8" x14ac:dyDescent="0.2">
      <c r="A9103" t="s">
        <v>7</v>
      </c>
      <c r="B9103" t="s">
        <v>29</v>
      </c>
      <c r="C9103" t="str">
        <f t="shared" si="286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285"/>
        <v>1</v>
      </c>
    </row>
    <row r="9104" spans="1:8" x14ac:dyDescent="0.2">
      <c r="A9104" t="s">
        <v>7</v>
      </c>
      <c r="B9104" t="s">
        <v>29</v>
      </c>
      <c r="C9104" t="str">
        <f t="shared" si="286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285"/>
        <v>1</v>
      </c>
    </row>
    <row r="9105" spans="1:8" x14ac:dyDescent="0.2">
      <c r="A9105" t="s">
        <v>7</v>
      </c>
      <c r="B9105" t="s">
        <v>29</v>
      </c>
      <c r="C9105" t="str">
        <f t="shared" si="286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285"/>
        <v>1</v>
      </c>
    </row>
    <row r="9106" spans="1:8" x14ac:dyDescent="0.2">
      <c r="A9106" t="s">
        <v>7</v>
      </c>
      <c r="B9106" t="s">
        <v>29</v>
      </c>
      <c r="C9106" t="str">
        <f t="shared" si="286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285"/>
        <v>1</v>
      </c>
    </row>
    <row r="9107" spans="1:8" x14ac:dyDescent="0.2">
      <c r="A9107" t="s">
        <v>7</v>
      </c>
      <c r="B9107" t="s">
        <v>29</v>
      </c>
      <c r="C9107" t="str">
        <f t="shared" si="286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285"/>
        <v>1</v>
      </c>
    </row>
    <row r="9108" spans="1:8" x14ac:dyDescent="0.2">
      <c r="A9108" t="s">
        <v>7</v>
      </c>
      <c r="B9108" t="s">
        <v>29</v>
      </c>
      <c r="C9108" t="str">
        <f t="shared" si="286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285"/>
        <v>1</v>
      </c>
    </row>
    <row r="9109" spans="1:8" x14ac:dyDescent="0.2">
      <c r="A9109" t="s">
        <v>7</v>
      </c>
      <c r="B9109" t="s">
        <v>29</v>
      </c>
      <c r="C9109" t="str">
        <f t="shared" si="286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285"/>
        <v>1</v>
      </c>
    </row>
    <row r="9110" spans="1:8" x14ac:dyDescent="0.2">
      <c r="A9110" t="s">
        <v>7</v>
      </c>
      <c r="B9110" t="s">
        <v>29</v>
      </c>
      <c r="C9110" t="str">
        <f t="shared" si="286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285"/>
        <v>1</v>
      </c>
    </row>
    <row r="9111" spans="1:8" x14ac:dyDescent="0.2">
      <c r="A9111" t="s">
        <v>7</v>
      </c>
      <c r="B9111" t="s">
        <v>29</v>
      </c>
      <c r="C9111" t="str">
        <f t="shared" si="286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285"/>
        <v>0</v>
      </c>
    </row>
    <row r="9112" spans="1:8" x14ac:dyDescent="0.2">
      <c r="A9112" t="s">
        <v>7</v>
      </c>
      <c r="B9112" t="s">
        <v>29</v>
      </c>
      <c r="C9112" t="str">
        <f t="shared" si="286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285"/>
        <v>0</v>
      </c>
    </row>
    <row r="9113" spans="1:8" x14ac:dyDescent="0.2">
      <c r="A9113" t="s">
        <v>7</v>
      </c>
      <c r="B9113" t="s">
        <v>29</v>
      </c>
      <c r="C9113" t="str">
        <f t="shared" si="286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285"/>
        <v>0</v>
      </c>
    </row>
    <row r="9114" spans="1:8" x14ac:dyDescent="0.2">
      <c r="A9114" t="s">
        <v>7</v>
      </c>
      <c r="B9114" t="s">
        <v>29</v>
      </c>
      <c r="C9114" t="str">
        <f t="shared" si="286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285"/>
        <v>0</v>
      </c>
    </row>
    <row r="9115" spans="1:8" x14ac:dyDescent="0.2">
      <c r="A9115" t="s">
        <v>7</v>
      </c>
      <c r="B9115" t="s">
        <v>29</v>
      </c>
      <c r="C9115" t="str">
        <f t="shared" si="286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285"/>
        <v>0</v>
      </c>
    </row>
    <row r="9116" spans="1:8" x14ac:dyDescent="0.2">
      <c r="A9116" t="s">
        <v>7</v>
      </c>
      <c r="B9116" t="s">
        <v>29</v>
      </c>
      <c r="C9116" t="str">
        <f t="shared" si="286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285"/>
        <v>0</v>
      </c>
    </row>
    <row r="9117" spans="1:8" x14ac:dyDescent="0.2">
      <c r="A9117" t="s">
        <v>7</v>
      </c>
      <c r="B9117" t="s">
        <v>29</v>
      </c>
      <c r="C9117" t="str">
        <f t="shared" si="286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285"/>
        <v>0</v>
      </c>
    </row>
    <row r="9118" spans="1:8" x14ac:dyDescent="0.2">
      <c r="A9118" t="s">
        <v>7</v>
      </c>
      <c r="B9118" t="s">
        <v>29</v>
      </c>
      <c r="C9118" t="str">
        <f t="shared" si="286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285"/>
        <v>0</v>
      </c>
    </row>
    <row r="9119" spans="1:8" x14ac:dyDescent="0.2">
      <c r="A9119" t="s">
        <v>7</v>
      </c>
      <c r="B9119" t="s">
        <v>29</v>
      </c>
      <c r="C9119" t="str">
        <f t="shared" si="286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285"/>
        <v>0</v>
      </c>
    </row>
    <row r="9120" spans="1:8" x14ac:dyDescent="0.2">
      <c r="A9120" t="s">
        <v>7</v>
      </c>
      <c r="B9120" t="s">
        <v>29</v>
      </c>
      <c r="C9120" t="str">
        <f t="shared" si="286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285"/>
        <v>0</v>
      </c>
    </row>
    <row r="9121" spans="1:8" x14ac:dyDescent="0.2">
      <c r="A9121" t="s">
        <v>7</v>
      </c>
      <c r="B9121" t="s">
        <v>29</v>
      </c>
      <c r="C9121" t="str">
        <f t="shared" si="286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285"/>
        <v>0</v>
      </c>
    </row>
    <row r="9122" spans="1:8" x14ac:dyDescent="0.2">
      <c r="A9122" t="s">
        <v>7</v>
      </c>
      <c r="B9122" t="s">
        <v>29</v>
      </c>
      <c r="C9122" t="str">
        <f t="shared" si="286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285"/>
        <v>0</v>
      </c>
    </row>
    <row r="9123" spans="1:8" x14ac:dyDescent="0.2">
      <c r="A9123" t="s">
        <v>7</v>
      </c>
      <c r="B9123" t="s">
        <v>29</v>
      </c>
      <c r="C9123" t="str">
        <f t="shared" si="286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285"/>
        <v>0</v>
      </c>
    </row>
    <row r="9124" spans="1:8" x14ac:dyDescent="0.2">
      <c r="A9124" t="s">
        <v>7</v>
      </c>
      <c r="B9124" t="s">
        <v>29</v>
      </c>
      <c r="C9124" t="str">
        <f t="shared" si="286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285"/>
        <v>0</v>
      </c>
    </row>
    <row r="9125" spans="1:8" x14ac:dyDescent="0.2">
      <c r="A9125" t="s">
        <v>7</v>
      </c>
      <c r="B9125" t="s">
        <v>29</v>
      </c>
      <c r="C9125" t="str">
        <f t="shared" si="286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285"/>
        <v>0</v>
      </c>
    </row>
    <row r="9126" spans="1:8" x14ac:dyDescent="0.2">
      <c r="A9126" t="s">
        <v>7</v>
      </c>
      <c r="B9126" t="s">
        <v>29</v>
      </c>
      <c r="C9126" t="str">
        <f t="shared" si="286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285"/>
        <v>0</v>
      </c>
    </row>
    <row r="9127" spans="1:8" x14ac:dyDescent="0.2">
      <c r="A9127" t="s">
        <v>7</v>
      </c>
      <c r="B9127" t="s">
        <v>29</v>
      </c>
      <c r="C9127" t="str">
        <f t="shared" si="286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285"/>
        <v>-1</v>
      </c>
    </row>
    <row r="9128" spans="1:8" x14ac:dyDescent="0.2">
      <c r="A9128" t="s">
        <v>7</v>
      </c>
      <c r="B9128" t="s">
        <v>29</v>
      </c>
      <c r="C9128" t="str">
        <f t="shared" si="286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285"/>
        <v>-1</v>
      </c>
    </row>
    <row r="9129" spans="1:8" x14ac:dyDescent="0.2">
      <c r="A9129" t="s">
        <v>7</v>
      </c>
      <c r="B9129" t="s">
        <v>29</v>
      </c>
      <c r="C9129" t="str">
        <f t="shared" si="286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285"/>
        <v>-1</v>
      </c>
    </row>
    <row r="9130" spans="1:8" x14ac:dyDescent="0.2">
      <c r="A9130" t="s">
        <v>7</v>
      </c>
      <c r="B9130" t="s">
        <v>29</v>
      </c>
      <c r="C9130" t="str">
        <f t="shared" si="286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285"/>
        <v>-1</v>
      </c>
    </row>
    <row r="9131" spans="1:8" x14ac:dyDescent="0.2">
      <c r="A9131" t="s">
        <v>7</v>
      </c>
      <c r="B9131" t="s">
        <v>29</v>
      </c>
      <c r="C9131" t="str">
        <f t="shared" si="286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285"/>
        <v>-3</v>
      </c>
    </row>
    <row r="9132" spans="1:8" x14ac:dyDescent="0.2">
      <c r="A9132" t="s">
        <v>7</v>
      </c>
      <c r="B9132" t="s">
        <v>29</v>
      </c>
      <c r="C9132" t="str">
        <f t="shared" si="286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285"/>
        <v>-1</v>
      </c>
    </row>
    <row r="9133" spans="1:8" x14ac:dyDescent="0.2">
      <c r="A9133" t="s">
        <v>7</v>
      </c>
      <c r="B9133" t="s">
        <v>29</v>
      </c>
      <c r="C9133" t="str">
        <f t="shared" si="286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285"/>
        <v>-1</v>
      </c>
    </row>
    <row r="9134" spans="1:8" x14ac:dyDescent="0.2">
      <c r="A9134" t="s">
        <v>7</v>
      </c>
      <c r="B9134" t="s">
        <v>29</v>
      </c>
      <c r="C9134" t="str">
        <f t="shared" si="286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285"/>
        <v>-1</v>
      </c>
    </row>
    <row r="9135" spans="1:8" x14ac:dyDescent="0.2">
      <c r="A9135" t="s">
        <v>7</v>
      </c>
      <c r="B9135" t="s">
        <v>29</v>
      </c>
      <c r="C9135" t="str">
        <f t="shared" si="286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285"/>
        <v>-1</v>
      </c>
    </row>
    <row r="9136" spans="1:8" x14ac:dyDescent="0.2">
      <c r="A9136" t="s">
        <v>7</v>
      </c>
      <c r="B9136" t="s">
        <v>29</v>
      </c>
      <c r="C9136" t="str">
        <f t="shared" si="286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285"/>
        <v>-1</v>
      </c>
    </row>
    <row r="9137" spans="1:8" x14ac:dyDescent="0.2">
      <c r="A9137" t="s">
        <v>7</v>
      </c>
      <c r="B9137" t="s">
        <v>29</v>
      </c>
      <c r="C9137" t="str">
        <f t="shared" si="286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285"/>
        <v>-1</v>
      </c>
    </row>
    <row r="9138" spans="1:8" x14ac:dyDescent="0.2">
      <c r="A9138" t="s">
        <v>7</v>
      </c>
      <c r="B9138" t="s">
        <v>29</v>
      </c>
      <c r="C9138" t="str">
        <f t="shared" si="286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285"/>
        <v>-1</v>
      </c>
    </row>
    <row r="9139" spans="1:8" x14ac:dyDescent="0.2">
      <c r="A9139" t="s">
        <v>7</v>
      </c>
      <c r="B9139" t="s">
        <v>29</v>
      </c>
      <c r="C9139" t="str">
        <f t="shared" si="286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285"/>
        <v>-3</v>
      </c>
    </row>
    <row r="9140" spans="1:8" x14ac:dyDescent="0.2">
      <c r="A9140" t="s">
        <v>7</v>
      </c>
      <c r="B9140" t="s">
        <v>29</v>
      </c>
      <c r="C9140" t="str">
        <f t="shared" si="286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285"/>
        <v>-1</v>
      </c>
    </row>
    <row r="9141" spans="1:8" x14ac:dyDescent="0.2">
      <c r="A9141" t="s">
        <v>7</v>
      </c>
      <c r="B9141" t="s">
        <v>29</v>
      </c>
      <c r="C9141" t="str">
        <f t="shared" si="286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285"/>
        <v>-1</v>
      </c>
    </row>
    <row r="9142" spans="1:8" x14ac:dyDescent="0.2">
      <c r="A9142" t="s">
        <v>7</v>
      </c>
      <c r="B9142" t="s">
        <v>29</v>
      </c>
      <c r="C9142" t="str">
        <f t="shared" si="286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285"/>
        <v>-1</v>
      </c>
    </row>
    <row r="9143" spans="1:8" x14ac:dyDescent="0.2">
      <c r="A9143" t="s">
        <v>7</v>
      </c>
      <c r="B9143" t="s">
        <v>29</v>
      </c>
      <c r="C9143" t="str">
        <f t="shared" si="286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285"/>
        <v>-1</v>
      </c>
    </row>
    <row r="9144" spans="1:8" x14ac:dyDescent="0.2">
      <c r="A9144" t="s">
        <v>7</v>
      </c>
      <c r="B9144" t="s">
        <v>29</v>
      </c>
      <c r="C9144" t="str">
        <f t="shared" si="286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285"/>
        <v>-1</v>
      </c>
    </row>
    <row r="9145" spans="1:8" x14ac:dyDescent="0.2">
      <c r="A9145" t="s">
        <v>7</v>
      </c>
      <c r="B9145" t="s">
        <v>29</v>
      </c>
      <c r="C9145" t="str">
        <f t="shared" si="286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285"/>
        <v>-1</v>
      </c>
    </row>
    <row r="9146" spans="1:8" x14ac:dyDescent="0.2">
      <c r="A9146" t="s">
        <v>7</v>
      </c>
      <c r="B9146" t="s">
        <v>29</v>
      </c>
      <c r="C9146" t="str">
        <f t="shared" si="286"/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si="285"/>
        <v>-1</v>
      </c>
    </row>
    <row r="9147" spans="1:8" x14ac:dyDescent="0.2">
      <c r="A9147" t="s">
        <v>7</v>
      </c>
      <c r="B9147" t="s">
        <v>29</v>
      </c>
      <c r="C9147" t="str">
        <f t="shared" si="286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285"/>
        <v>-1</v>
      </c>
    </row>
    <row r="9148" spans="1:8" x14ac:dyDescent="0.2">
      <c r="A9148" t="s">
        <v>7</v>
      </c>
      <c r="B9148" t="s">
        <v>29</v>
      </c>
      <c r="C9148" t="str">
        <f t="shared" si="286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285"/>
        <v>-1</v>
      </c>
    </row>
    <row r="9149" spans="1:8" x14ac:dyDescent="0.2">
      <c r="A9149" t="s">
        <v>7</v>
      </c>
      <c r="B9149" t="s">
        <v>29</v>
      </c>
      <c r="C9149" t="str">
        <f t="shared" si="286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285"/>
        <v>-2</v>
      </c>
    </row>
    <row r="9150" spans="1:8" x14ac:dyDescent="0.2">
      <c r="A9150" t="s">
        <v>7</v>
      </c>
      <c r="B9150" t="s">
        <v>29</v>
      </c>
      <c r="C9150" t="str">
        <f t="shared" si="286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285"/>
        <v>-2</v>
      </c>
    </row>
    <row r="9151" spans="1:8" x14ac:dyDescent="0.2">
      <c r="A9151" t="s">
        <v>7</v>
      </c>
      <c r="B9151" t="s">
        <v>29</v>
      </c>
      <c r="C9151" t="str">
        <f t="shared" si="286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285"/>
        <v>-2</v>
      </c>
    </row>
    <row r="9152" spans="1:8" x14ac:dyDescent="0.2">
      <c r="A9152" t="s">
        <v>7</v>
      </c>
      <c r="B9152" t="s">
        <v>29</v>
      </c>
      <c r="C9152" t="str">
        <f t="shared" si="286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285"/>
        <v>-2</v>
      </c>
    </row>
    <row r="9153" spans="1:8" x14ac:dyDescent="0.2">
      <c r="A9153" t="s">
        <v>7</v>
      </c>
      <c r="B9153" t="s">
        <v>29</v>
      </c>
      <c r="C9153" t="str">
        <f t="shared" si="286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285"/>
        <v>-2</v>
      </c>
    </row>
    <row r="9154" spans="1:8" x14ac:dyDescent="0.2">
      <c r="A9154" t="s">
        <v>7</v>
      </c>
      <c r="B9154" t="s">
        <v>29</v>
      </c>
      <c r="C9154" t="str">
        <f t="shared" si="286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285"/>
        <v>-2</v>
      </c>
    </row>
    <row r="9155" spans="1:8" x14ac:dyDescent="0.2">
      <c r="A9155" t="s">
        <v>7</v>
      </c>
      <c r="B9155" t="s">
        <v>29</v>
      </c>
      <c r="C9155" t="str">
        <f t="shared" si="286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ref="H9155:H9218" si="287">F9155-G9155</f>
        <v>-2</v>
      </c>
    </row>
    <row r="9156" spans="1:8" x14ac:dyDescent="0.2">
      <c r="A9156" t="s">
        <v>7</v>
      </c>
      <c r="B9156" t="s">
        <v>29</v>
      </c>
      <c r="C9156" t="str">
        <f t="shared" si="286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287"/>
        <v>-2</v>
      </c>
    </row>
    <row r="9157" spans="1:8" x14ac:dyDescent="0.2">
      <c r="A9157" t="s">
        <v>7</v>
      </c>
      <c r="B9157" t="s">
        <v>29</v>
      </c>
      <c r="C9157" t="str">
        <f t="shared" ref="C9157:C9220" si="288">IF(H9157&gt;=0,"Cumple","No cumple")</f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287"/>
        <v>-2</v>
      </c>
    </row>
    <row r="9158" spans="1:8" x14ac:dyDescent="0.2">
      <c r="A9158" t="s">
        <v>7</v>
      </c>
      <c r="B9158" t="s">
        <v>29</v>
      </c>
      <c r="C9158" t="str">
        <f t="shared" si="288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287"/>
        <v>-4</v>
      </c>
    </row>
    <row r="9159" spans="1:8" x14ac:dyDescent="0.2">
      <c r="A9159" t="s">
        <v>7</v>
      </c>
      <c r="B9159" t="s">
        <v>29</v>
      </c>
      <c r="C9159" t="str">
        <f t="shared" si="288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287"/>
        <v>-2</v>
      </c>
    </row>
    <row r="9160" spans="1:8" x14ac:dyDescent="0.2">
      <c r="A9160" t="s">
        <v>7</v>
      </c>
      <c r="B9160" t="s">
        <v>29</v>
      </c>
      <c r="C9160" t="str">
        <f t="shared" si="288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287"/>
        <v>-3</v>
      </c>
    </row>
    <row r="9161" spans="1:8" x14ac:dyDescent="0.2">
      <c r="A9161" t="s">
        <v>7</v>
      </c>
      <c r="B9161" t="s">
        <v>29</v>
      </c>
      <c r="C9161" t="str">
        <f t="shared" si="288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287"/>
        <v>-3</v>
      </c>
    </row>
    <row r="9162" spans="1:8" x14ac:dyDescent="0.2">
      <c r="A9162" t="s">
        <v>7</v>
      </c>
      <c r="B9162" t="s">
        <v>29</v>
      </c>
      <c r="C9162" t="str">
        <f t="shared" si="288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287"/>
        <v>-3</v>
      </c>
    </row>
    <row r="9163" spans="1:8" x14ac:dyDescent="0.2">
      <c r="A9163" t="s">
        <v>7</v>
      </c>
      <c r="B9163" t="s">
        <v>29</v>
      </c>
      <c r="C9163" t="str">
        <f t="shared" si="288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287"/>
        <v>-5</v>
      </c>
    </row>
    <row r="9164" spans="1:8" x14ac:dyDescent="0.2">
      <c r="A9164" t="s">
        <v>7</v>
      </c>
      <c r="B9164" t="s">
        <v>29</v>
      </c>
      <c r="C9164" t="str">
        <f t="shared" si="288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287"/>
        <v>-3</v>
      </c>
    </row>
    <row r="9165" spans="1:8" x14ac:dyDescent="0.2">
      <c r="A9165" t="s">
        <v>7</v>
      </c>
      <c r="B9165" t="s">
        <v>29</v>
      </c>
      <c r="C9165" t="str">
        <f t="shared" si="288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287"/>
        <v>-3</v>
      </c>
    </row>
    <row r="9166" spans="1:8" x14ac:dyDescent="0.2">
      <c r="A9166" t="s">
        <v>7</v>
      </c>
      <c r="B9166" t="s">
        <v>29</v>
      </c>
      <c r="C9166" t="str">
        <f t="shared" si="288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287"/>
        <v>-3</v>
      </c>
    </row>
    <row r="9167" spans="1:8" x14ac:dyDescent="0.2">
      <c r="A9167" t="s">
        <v>7</v>
      </c>
      <c r="B9167" t="s">
        <v>29</v>
      </c>
      <c r="C9167" t="str">
        <f t="shared" si="288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287"/>
        <v>-3</v>
      </c>
    </row>
    <row r="9168" spans="1:8" x14ac:dyDescent="0.2">
      <c r="A9168" t="s">
        <v>7</v>
      </c>
      <c r="B9168" t="s">
        <v>29</v>
      </c>
      <c r="C9168" t="str">
        <f t="shared" si="288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287"/>
        <v>-3</v>
      </c>
    </row>
    <row r="9169" spans="1:8" x14ac:dyDescent="0.2">
      <c r="A9169" t="s">
        <v>7</v>
      </c>
      <c r="B9169" t="s">
        <v>29</v>
      </c>
      <c r="C9169" t="str">
        <f t="shared" si="288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287"/>
        <v>-3</v>
      </c>
    </row>
    <row r="9170" spans="1:8" x14ac:dyDescent="0.2">
      <c r="A9170" t="s">
        <v>7</v>
      </c>
      <c r="B9170" t="s">
        <v>29</v>
      </c>
      <c r="C9170" t="str">
        <f t="shared" si="288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287"/>
        <v>-3</v>
      </c>
    </row>
    <row r="9171" spans="1:8" x14ac:dyDescent="0.2">
      <c r="A9171" t="s">
        <v>7</v>
      </c>
      <c r="B9171" t="s">
        <v>29</v>
      </c>
      <c r="C9171" t="str">
        <f t="shared" si="288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287"/>
        <v>-3</v>
      </c>
    </row>
    <row r="9172" spans="1:8" x14ac:dyDescent="0.2">
      <c r="A9172" t="s">
        <v>7</v>
      </c>
      <c r="B9172" t="s">
        <v>29</v>
      </c>
      <c r="C9172" t="str">
        <f t="shared" si="288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287"/>
        <v>-3</v>
      </c>
    </row>
    <row r="9173" spans="1:8" x14ac:dyDescent="0.2">
      <c r="A9173" t="s">
        <v>7</v>
      </c>
      <c r="B9173" t="s">
        <v>29</v>
      </c>
      <c r="C9173" t="str">
        <f t="shared" si="288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287"/>
        <v>-3</v>
      </c>
    </row>
    <row r="9174" spans="1:8" x14ac:dyDescent="0.2">
      <c r="A9174" t="s">
        <v>7</v>
      </c>
      <c r="B9174" t="s">
        <v>29</v>
      </c>
      <c r="C9174" t="str">
        <f t="shared" si="288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287"/>
        <v>-3</v>
      </c>
    </row>
    <row r="9175" spans="1:8" x14ac:dyDescent="0.2">
      <c r="A9175" t="s">
        <v>7</v>
      </c>
      <c r="B9175" t="s">
        <v>29</v>
      </c>
      <c r="C9175" t="str">
        <f t="shared" si="288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287"/>
        <v>-3</v>
      </c>
    </row>
    <row r="9176" spans="1:8" x14ac:dyDescent="0.2">
      <c r="A9176" t="s">
        <v>7</v>
      </c>
      <c r="B9176" t="s">
        <v>29</v>
      </c>
      <c r="C9176" t="str">
        <f t="shared" si="288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287"/>
        <v>-3</v>
      </c>
    </row>
    <row r="9177" spans="1:8" x14ac:dyDescent="0.2">
      <c r="A9177" t="s">
        <v>7</v>
      </c>
      <c r="B9177" t="s">
        <v>29</v>
      </c>
      <c r="C9177" t="str">
        <f t="shared" si="288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287"/>
        <v>-3</v>
      </c>
    </row>
    <row r="9178" spans="1:8" x14ac:dyDescent="0.2">
      <c r="A9178" t="s">
        <v>7</v>
      </c>
      <c r="B9178" t="s">
        <v>29</v>
      </c>
      <c r="C9178" t="str">
        <f t="shared" si="288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287"/>
        <v>-3</v>
      </c>
    </row>
    <row r="9179" spans="1:8" x14ac:dyDescent="0.2">
      <c r="A9179" t="s">
        <v>7</v>
      </c>
      <c r="B9179" t="s">
        <v>29</v>
      </c>
      <c r="C9179" t="str">
        <f t="shared" si="288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287"/>
        <v>-3</v>
      </c>
    </row>
    <row r="9180" spans="1:8" x14ac:dyDescent="0.2">
      <c r="A9180" t="s">
        <v>7</v>
      </c>
      <c r="B9180" t="s">
        <v>29</v>
      </c>
      <c r="C9180" t="str">
        <f t="shared" si="288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287"/>
        <v>-3</v>
      </c>
    </row>
    <row r="9181" spans="1:8" x14ac:dyDescent="0.2">
      <c r="A9181" t="s">
        <v>7</v>
      </c>
      <c r="B9181" t="s">
        <v>29</v>
      </c>
      <c r="C9181" t="str">
        <f t="shared" si="288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287"/>
        <v>-3</v>
      </c>
    </row>
    <row r="9182" spans="1:8" x14ac:dyDescent="0.2">
      <c r="A9182" t="s">
        <v>7</v>
      </c>
      <c r="B9182" t="s">
        <v>29</v>
      </c>
      <c r="C9182" t="str">
        <f t="shared" si="288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287"/>
        <v>-3</v>
      </c>
    </row>
    <row r="9183" spans="1:8" x14ac:dyDescent="0.2">
      <c r="A9183" t="s">
        <v>7</v>
      </c>
      <c r="B9183" t="s">
        <v>29</v>
      </c>
      <c r="C9183" t="str">
        <f t="shared" si="288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287"/>
        <v>-3</v>
      </c>
    </row>
    <row r="9184" spans="1:8" x14ac:dyDescent="0.2">
      <c r="A9184" t="s">
        <v>7</v>
      </c>
      <c r="B9184" t="s">
        <v>29</v>
      </c>
      <c r="C9184" t="str">
        <f t="shared" si="288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287"/>
        <v>-3</v>
      </c>
    </row>
    <row r="9185" spans="1:8" x14ac:dyDescent="0.2">
      <c r="A9185" t="s">
        <v>7</v>
      </c>
      <c r="B9185" t="s">
        <v>29</v>
      </c>
      <c r="C9185" t="str">
        <f t="shared" si="288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287"/>
        <v>-3</v>
      </c>
    </row>
    <row r="9186" spans="1:8" x14ac:dyDescent="0.2">
      <c r="A9186" t="s">
        <v>7</v>
      </c>
      <c r="B9186" t="s">
        <v>29</v>
      </c>
      <c r="C9186" t="str">
        <f t="shared" si="288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287"/>
        <v>-3</v>
      </c>
    </row>
    <row r="9187" spans="1:8" x14ac:dyDescent="0.2">
      <c r="A9187" t="s">
        <v>7</v>
      </c>
      <c r="B9187" t="s">
        <v>29</v>
      </c>
      <c r="C9187" t="str">
        <f t="shared" si="288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287"/>
        <v>-3</v>
      </c>
    </row>
    <row r="9188" spans="1:8" x14ac:dyDescent="0.2">
      <c r="A9188" t="s">
        <v>7</v>
      </c>
      <c r="B9188" t="s">
        <v>29</v>
      </c>
      <c r="C9188" t="str">
        <f t="shared" si="288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287"/>
        <v>-3</v>
      </c>
    </row>
    <row r="9189" spans="1:8" x14ac:dyDescent="0.2">
      <c r="A9189" t="s">
        <v>7</v>
      </c>
      <c r="B9189" t="s">
        <v>29</v>
      </c>
      <c r="C9189" t="str">
        <f t="shared" si="288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287"/>
        <v>-4</v>
      </c>
    </row>
    <row r="9190" spans="1:8" x14ac:dyDescent="0.2">
      <c r="A9190" t="s">
        <v>7</v>
      </c>
      <c r="B9190" t="s">
        <v>29</v>
      </c>
      <c r="C9190" t="str">
        <f t="shared" si="288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287"/>
        <v>-4</v>
      </c>
    </row>
    <row r="9191" spans="1:8" x14ac:dyDescent="0.2">
      <c r="A9191" t="s">
        <v>7</v>
      </c>
      <c r="B9191" t="s">
        <v>29</v>
      </c>
      <c r="C9191" t="str">
        <f t="shared" si="288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287"/>
        <v>-4</v>
      </c>
    </row>
    <row r="9192" spans="1:8" x14ac:dyDescent="0.2">
      <c r="A9192" t="s">
        <v>7</v>
      </c>
      <c r="B9192" t="s">
        <v>29</v>
      </c>
      <c r="C9192" t="str">
        <f t="shared" si="288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287"/>
        <v>-4</v>
      </c>
    </row>
    <row r="9193" spans="1:8" x14ac:dyDescent="0.2">
      <c r="A9193" t="s">
        <v>7</v>
      </c>
      <c r="B9193" t="s">
        <v>29</v>
      </c>
      <c r="C9193" t="str">
        <f t="shared" si="288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287"/>
        <v>-4</v>
      </c>
    </row>
    <row r="9194" spans="1:8" x14ac:dyDescent="0.2">
      <c r="A9194" t="s">
        <v>7</v>
      </c>
      <c r="B9194" t="s">
        <v>29</v>
      </c>
      <c r="C9194" t="str">
        <f t="shared" si="288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287"/>
        <v>-6</v>
      </c>
    </row>
    <row r="9195" spans="1:8" x14ac:dyDescent="0.2">
      <c r="A9195" t="s">
        <v>7</v>
      </c>
      <c r="B9195" t="s">
        <v>29</v>
      </c>
      <c r="C9195" t="str">
        <f t="shared" si="288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287"/>
        <v>-4</v>
      </c>
    </row>
    <row r="9196" spans="1:8" x14ac:dyDescent="0.2">
      <c r="A9196" t="s">
        <v>7</v>
      </c>
      <c r="B9196" t="s">
        <v>29</v>
      </c>
      <c r="C9196" t="str">
        <f t="shared" si="288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287"/>
        <v>-4</v>
      </c>
    </row>
    <row r="9197" spans="1:8" x14ac:dyDescent="0.2">
      <c r="A9197" t="s">
        <v>7</v>
      </c>
      <c r="B9197" t="s">
        <v>29</v>
      </c>
      <c r="C9197" t="str">
        <f t="shared" si="288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287"/>
        <v>-4</v>
      </c>
    </row>
    <row r="9198" spans="1:8" x14ac:dyDescent="0.2">
      <c r="A9198" t="s">
        <v>7</v>
      </c>
      <c r="B9198" t="s">
        <v>29</v>
      </c>
      <c r="C9198" t="str">
        <f t="shared" si="288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287"/>
        <v>-4</v>
      </c>
    </row>
    <row r="9199" spans="1:8" x14ac:dyDescent="0.2">
      <c r="A9199" t="s">
        <v>7</v>
      </c>
      <c r="B9199" t="s">
        <v>29</v>
      </c>
      <c r="C9199" t="str">
        <f t="shared" si="288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287"/>
        <v>-4</v>
      </c>
    </row>
    <row r="9200" spans="1:8" x14ac:dyDescent="0.2">
      <c r="A9200" t="s">
        <v>7</v>
      </c>
      <c r="B9200" t="s">
        <v>29</v>
      </c>
      <c r="C9200" t="str">
        <f t="shared" si="288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287"/>
        <v>-4</v>
      </c>
    </row>
    <row r="9201" spans="1:8" x14ac:dyDescent="0.2">
      <c r="A9201" t="s">
        <v>7</v>
      </c>
      <c r="B9201" t="s">
        <v>29</v>
      </c>
      <c r="C9201" t="str">
        <f t="shared" si="288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287"/>
        <v>-4</v>
      </c>
    </row>
    <row r="9202" spans="1:8" x14ac:dyDescent="0.2">
      <c r="A9202" t="s">
        <v>7</v>
      </c>
      <c r="B9202" t="s">
        <v>29</v>
      </c>
      <c r="C9202" t="str">
        <f t="shared" si="288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287"/>
        <v>-4</v>
      </c>
    </row>
    <row r="9203" spans="1:8" x14ac:dyDescent="0.2">
      <c r="A9203" t="s">
        <v>7</v>
      </c>
      <c r="B9203" t="s">
        <v>29</v>
      </c>
      <c r="C9203" t="str">
        <f t="shared" si="288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287"/>
        <v>-4</v>
      </c>
    </row>
    <row r="9204" spans="1:8" x14ac:dyDescent="0.2">
      <c r="A9204" t="s">
        <v>7</v>
      </c>
      <c r="B9204" t="s">
        <v>29</v>
      </c>
      <c r="C9204" t="str">
        <f t="shared" si="288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287"/>
        <v>-4</v>
      </c>
    </row>
    <row r="9205" spans="1:8" x14ac:dyDescent="0.2">
      <c r="A9205" t="s">
        <v>7</v>
      </c>
      <c r="B9205" t="s">
        <v>29</v>
      </c>
      <c r="C9205" t="str">
        <f t="shared" si="288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287"/>
        <v>-4</v>
      </c>
    </row>
    <row r="9206" spans="1:8" x14ac:dyDescent="0.2">
      <c r="A9206" t="s">
        <v>7</v>
      </c>
      <c r="B9206" t="s">
        <v>29</v>
      </c>
      <c r="C9206" t="str">
        <f t="shared" si="288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287"/>
        <v>-4</v>
      </c>
    </row>
    <row r="9207" spans="1:8" x14ac:dyDescent="0.2">
      <c r="A9207" t="s">
        <v>7</v>
      </c>
      <c r="B9207" t="s">
        <v>29</v>
      </c>
      <c r="C9207" t="str">
        <f t="shared" si="288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287"/>
        <v>-4</v>
      </c>
    </row>
    <row r="9208" spans="1:8" x14ac:dyDescent="0.2">
      <c r="A9208" t="s">
        <v>7</v>
      </c>
      <c r="B9208" t="s">
        <v>29</v>
      </c>
      <c r="C9208" t="str">
        <f t="shared" si="288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287"/>
        <v>-4</v>
      </c>
    </row>
    <row r="9209" spans="1:8" x14ac:dyDescent="0.2">
      <c r="A9209" t="s">
        <v>7</v>
      </c>
      <c r="B9209" t="s">
        <v>29</v>
      </c>
      <c r="C9209" t="str">
        <f t="shared" si="288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287"/>
        <v>-4</v>
      </c>
    </row>
    <row r="9210" spans="1:8" x14ac:dyDescent="0.2">
      <c r="A9210" t="s">
        <v>7</v>
      </c>
      <c r="B9210" t="s">
        <v>29</v>
      </c>
      <c r="C9210" t="str">
        <f t="shared" si="288"/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si="287"/>
        <v>-4</v>
      </c>
    </row>
    <row r="9211" spans="1:8" x14ac:dyDescent="0.2">
      <c r="A9211" t="s">
        <v>7</v>
      </c>
      <c r="B9211" t="s">
        <v>29</v>
      </c>
      <c r="C9211" t="str">
        <f t="shared" si="288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287"/>
        <v>-4</v>
      </c>
    </row>
    <row r="9212" spans="1:8" x14ac:dyDescent="0.2">
      <c r="A9212" t="s">
        <v>7</v>
      </c>
      <c r="B9212" t="s">
        <v>29</v>
      </c>
      <c r="C9212" t="str">
        <f t="shared" si="288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287"/>
        <v>-4</v>
      </c>
    </row>
    <row r="9213" spans="1:8" x14ac:dyDescent="0.2">
      <c r="A9213" t="s">
        <v>7</v>
      </c>
      <c r="B9213" t="s">
        <v>29</v>
      </c>
      <c r="C9213" t="str">
        <f t="shared" si="288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287"/>
        <v>-4</v>
      </c>
    </row>
    <row r="9214" spans="1:8" x14ac:dyDescent="0.2">
      <c r="A9214" t="s">
        <v>7</v>
      </c>
      <c r="B9214" t="s">
        <v>29</v>
      </c>
      <c r="C9214" t="str">
        <f t="shared" si="288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287"/>
        <v>-4</v>
      </c>
    </row>
    <row r="9215" spans="1:8" x14ac:dyDescent="0.2">
      <c r="A9215" t="s">
        <v>7</v>
      </c>
      <c r="B9215" t="s">
        <v>29</v>
      </c>
      <c r="C9215" t="str">
        <f t="shared" si="288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287"/>
        <v>-4</v>
      </c>
    </row>
    <row r="9216" spans="1:8" x14ac:dyDescent="0.2">
      <c r="A9216" t="s">
        <v>7</v>
      </c>
      <c r="B9216" t="s">
        <v>29</v>
      </c>
      <c r="C9216" t="str">
        <f t="shared" si="288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287"/>
        <v>-4</v>
      </c>
    </row>
    <row r="9217" spans="1:8" x14ac:dyDescent="0.2">
      <c r="A9217" t="s">
        <v>7</v>
      </c>
      <c r="B9217" t="s">
        <v>29</v>
      </c>
      <c r="C9217" t="str">
        <f t="shared" si="288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287"/>
        <v>-4</v>
      </c>
    </row>
    <row r="9218" spans="1:8" x14ac:dyDescent="0.2">
      <c r="A9218" t="s">
        <v>7</v>
      </c>
      <c r="B9218" t="s">
        <v>29</v>
      </c>
      <c r="C9218" t="str">
        <f t="shared" si="288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287"/>
        <v>-4</v>
      </c>
    </row>
    <row r="9219" spans="1:8" x14ac:dyDescent="0.2">
      <c r="A9219" t="s">
        <v>7</v>
      </c>
      <c r="B9219" t="s">
        <v>29</v>
      </c>
      <c r="C9219" t="str">
        <f t="shared" si="288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ref="H9219:H9282" si="289">F9219-G9219</f>
        <v>-5</v>
      </c>
    </row>
    <row r="9220" spans="1:8" x14ac:dyDescent="0.2">
      <c r="A9220" t="s">
        <v>7</v>
      </c>
      <c r="B9220" t="s">
        <v>29</v>
      </c>
      <c r="C9220" t="str">
        <f t="shared" si="288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289"/>
        <v>-5</v>
      </c>
    </row>
    <row r="9221" spans="1:8" x14ac:dyDescent="0.2">
      <c r="A9221" t="s">
        <v>7</v>
      </c>
      <c r="B9221" t="s">
        <v>29</v>
      </c>
      <c r="C9221" t="str">
        <f t="shared" ref="C9221:C9284" si="290">IF(H9221&gt;=0,"Cumple","No cumple")</f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289"/>
        <v>-5</v>
      </c>
    </row>
    <row r="9222" spans="1:8" x14ac:dyDescent="0.2">
      <c r="A9222" t="s">
        <v>7</v>
      </c>
      <c r="B9222" t="s">
        <v>29</v>
      </c>
      <c r="C9222" t="str">
        <f t="shared" si="290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289"/>
        <v>-5</v>
      </c>
    </row>
    <row r="9223" spans="1:8" x14ac:dyDescent="0.2">
      <c r="A9223" t="s">
        <v>7</v>
      </c>
      <c r="B9223" t="s">
        <v>29</v>
      </c>
      <c r="C9223" t="str">
        <f t="shared" si="290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289"/>
        <v>-5</v>
      </c>
    </row>
    <row r="9224" spans="1:8" x14ac:dyDescent="0.2">
      <c r="A9224" t="s">
        <v>7</v>
      </c>
      <c r="B9224" t="s">
        <v>29</v>
      </c>
      <c r="C9224" t="str">
        <f t="shared" si="290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289"/>
        <v>-5</v>
      </c>
    </row>
    <row r="9225" spans="1:8" x14ac:dyDescent="0.2">
      <c r="A9225" t="s">
        <v>7</v>
      </c>
      <c r="B9225" t="s">
        <v>29</v>
      </c>
      <c r="C9225" t="str">
        <f t="shared" si="290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289"/>
        <v>-5</v>
      </c>
    </row>
    <row r="9226" spans="1:8" x14ac:dyDescent="0.2">
      <c r="A9226" t="s">
        <v>7</v>
      </c>
      <c r="B9226" t="s">
        <v>29</v>
      </c>
      <c r="C9226" t="str">
        <f t="shared" si="290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289"/>
        <v>-5</v>
      </c>
    </row>
    <row r="9227" spans="1:8" x14ac:dyDescent="0.2">
      <c r="A9227" t="s">
        <v>7</v>
      </c>
      <c r="B9227" t="s">
        <v>29</v>
      </c>
      <c r="C9227" t="str">
        <f t="shared" si="290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289"/>
        <v>-5</v>
      </c>
    </row>
    <row r="9228" spans="1:8" x14ac:dyDescent="0.2">
      <c r="A9228" t="s">
        <v>7</v>
      </c>
      <c r="B9228" t="s">
        <v>29</v>
      </c>
      <c r="C9228" t="str">
        <f t="shared" si="290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289"/>
        <v>-5</v>
      </c>
    </row>
    <row r="9229" spans="1:8" x14ac:dyDescent="0.2">
      <c r="A9229" t="s">
        <v>7</v>
      </c>
      <c r="B9229" t="s">
        <v>29</v>
      </c>
      <c r="C9229" t="str">
        <f t="shared" si="290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289"/>
        <v>-5</v>
      </c>
    </row>
    <row r="9230" spans="1:8" x14ac:dyDescent="0.2">
      <c r="A9230" t="s">
        <v>7</v>
      </c>
      <c r="B9230" t="s">
        <v>29</v>
      </c>
      <c r="C9230" t="str">
        <f t="shared" si="290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289"/>
        <v>-5</v>
      </c>
    </row>
    <row r="9231" spans="1:8" x14ac:dyDescent="0.2">
      <c r="A9231" t="s">
        <v>7</v>
      </c>
      <c r="B9231" t="s">
        <v>29</v>
      </c>
      <c r="C9231" t="str">
        <f t="shared" si="290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289"/>
        <v>-5</v>
      </c>
    </row>
    <row r="9232" spans="1:8" x14ac:dyDescent="0.2">
      <c r="A9232" t="s">
        <v>7</v>
      </c>
      <c r="B9232" t="s">
        <v>29</v>
      </c>
      <c r="C9232" t="str">
        <f t="shared" si="290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289"/>
        <v>-5</v>
      </c>
    </row>
    <row r="9233" spans="1:8" x14ac:dyDescent="0.2">
      <c r="A9233" t="s">
        <v>7</v>
      </c>
      <c r="B9233" t="s">
        <v>29</v>
      </c>
      <c r="C9233" t="str">
        <f t="shared" si="290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289"/>
        <v>-5</v>
      </c>
    </row>
    <row r="9234" spans="1:8" x14ac:dyDescent="0.2">
      <c r="A9234" t="s">
        <v>7</v>
      </c>
      <c r="B9234" t="s">
        <v>29</v>
      </c>
      <c r="C9234" t="str">
        <f t="shared" si="290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289"/>
        <v>-5</v>
      </c>
    </row>
    <row r="9235" spans="1:8" x14ac:dyDescent="0.2">
      <c r="A9235" t="s">
        <v>7</v>
      </c>
      <c r="B9235" t="s">
        <v>29</v>
      </c>
      <c r="C9235" t="str">
        <f t="shared" si="290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289"/>
        <v>-5</v>
      </c>
    </row>
    <row r="9236" spans="1:8" x14ac:dyDescent="0.2">
      <c r="A9236" t="s">
        <v>7</v>
      </c>
      <c r="B9236" t="s">
        <v>29</v>
      </c>
      <c r="C9236" t="str">
        <f t="shared" si="290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289"/>
        <v>-5</v>
      </c>
    </row>
    <row r="9237" spans="1:8" x14ac:dyDescent="0.2">
      <c r="A9237" t="s">
        <v>7</v>
      </c>
      <c r="B9237" t="s">
        <v>29</v>
      </c>
      <c r="C9237" t="str">
        <f t="shared" si="290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289"/>
        <v>-5</v>
      </c>
    </row>
    <row r="9238" spans="1:8" x14ac:dyDescent="0.2">
      <c r="A9238" t="s">
        <v>7</v>
      </c>
      <c r="B9238" t="s">
        <v>29</v>
      </c>
      <c r="C9238" t="str">
        <f t="shared" si="290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289"/>
        <v>-5</v>
      </c>
    </row>
    <row r="9239" spans="1:8" x14ac:dyDescent="0.2">
      <c r="A9239" t="s">
        <v>7</v>
      </c>
      <c r="B9239" t="s">
        <v>29</v>
      </c>
      <c r="C9239" t="str">
        <f t="shared" si="290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289"/>
        <v>-5</v>
      </c>
    </row>
    <row r="9240" spans="1:8" x14ac:dyDescent="0.2">
      <c r="A9240" t="s">
        <v>7</v>
      </c>
      <c r="B9240" t="s">
        <v>29</v>
      </c>
      <c r="C9240" t="str">
        <f t="shared" si="290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289"/>
        <v>-5</v>
      </c>
    </row>
    <row r="9241" spans="1:8" x14ac:dyDescent="0.2">
      <c r="A9241" t="s">
        <v>7</v>
      </c>
      <c r="B9241" t="s">
        <v>29</v>
      </c>
      <c r="C9241" t="str">
        <f t="shared" si="290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289"/>
        <v>-5</v>
      </c>
    </row>
    <row r="9242" spans="1:8" x14ac:dyDescent="0.2">
      <c r="A9242" t="s">
        <v>7</v>
      </c>
      <c r="B9242" t="s">
        <v>29</v>
      </c>
      <c r="C9242" t="str">
        <f t="shared" si="290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289"/>
        <v>-5</v>
      </c>
    </row>
    <row r="9243" spans="1:8" x14ac:dyDescent="0.2">
      <c r="A9243" t="s">
        <v>7</v>
      </c>
      <c r="B9243" t="s">
        <v>29</v>
      </c>
      <c r="C9243" t="str">
        <f t="shared" si="290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289"/>
        <v>-5</v>
      </c>
    </row>
    <row r="9244" spans="1:8" x14ac:dyDescent="0.2">
      <c r="A9244" t="s">
        <v>7</v>
      </c>
      <c r="B9244" t="s">
        <v>29</v>
      </c>
      <c r="C9244" t="str">
        <f t="shared" si="290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289"/>
        <v>-5</v>
      </c>
    </row>
    <row r="9245" spans="1:8" x14ac:dyDescent="0.2">
      <c r="A9245" t="s">
        <v>7</v>
      </c>
      <c r="B9245" t="s">
        <v>29</v>
      </c>
      <c r="C9245" t="str">
        <f t="shared" si="290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289"/>
        <v>-5</v>
      </c>
    </row>
    <row r="9246" spans="1:8" x14ac:dyDescent="0.2">
      <c r="A9246" t="s">
        <v>7</v>
      </c>
      <c r="B9246" t="s">
        <v>29</v>
      </c>
      <c r="C9246" t="str">
        <f t="shared" si="290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289"/>
        <v>-5</v>
      </c>
    </row>
    <row r="9247" spans="1:8" x14ac:dyDescent="0.2">
      <c r="A9247" t="s">
        <v>7</v>
      </c>
      <c r="B9247" t="s">
        <v>29</v>
      </c>
      <c r="C9247" t="str">
        <f t="shared" si="290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289"/>
        <v>-5</v>
      </c>
    </row>
    <row r="9248" spans="1:8" x14ac:dyDescent="0.2">
      <c r="A9248" t="s">
        <v>7</v>
      </c>
      <c r="B9248" t="s">
        <v>29</v>
      </c>
      <c r="C9248" t="str">
        <f t="shared" si="290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289"/>
        <v>-5</v>
      </c>
    </row>
    <row r="9249" spans="1:8" x14ac:dyDescent="0.2">
      <c r="A9249" t="s">
        <v>7</v>
      </c>
      <c r="B9249" t="s">
        <v>29</v>
      </c>
      <c r="C9249" t="str">
        <f t="shared" si="290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289"/>
        <v>-5</v>
      </c>
    </row>
    <row r="9250" spans="1:8" x14ac:dyDescent="0.2">
      <c r="A9250" t="s">
        <v>7</v>
      </c>
      <c r="B9250" t="s">
        <v>29</v>
      </c>
      <c r="C9250" t="str">
        <f t="shared" si="290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289"/>
        <v>-5</v>
      </c>
    </row>
    <row r="9251" spans="1:8" x14ac:dyDescent="0.2">
      <c r="A9251" t="s">
        <v>7</v>
      </c>
      <c r="B9251" t="s">
        <v>29</v>
      </c>
      <c r="C9251" t="str">
        <f t="shared" si="290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289"/>
        <v>-5</v>
      </c>
    </row>
    <row r="9252" spans="1:8" x14ac:dyDescent="0.2">
      <c r="A9252" t="s">
        <v>7</v>
      </c>
      <c r="B9252" t="s">
        <v>29</v>
      </c>
      <c r="C9252" t="str">
        <f t="shared" si="290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289"/>
        <v>-5</v>
      </c>
    </row>
    <row r="9253" spans="1:8" x14ac:dyDescent="0.2">
      <c r="A9253" t="s">
        <v>7</v>
      </c>
      <c r="B9253" t="s">
        <v>29</v>
      </c>
      <c r="C9253" t="str">
        <f t="shared" si="290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289"/>
        <v>-5</v>
      </c>
    </row>
    <row r="9254" spans="1:8" x14ac:dyDescent="0.2">
      <c r="A9254" t="s">
        <v>7</v>
      </c>
      <c r="B9254" t="s">
        <v>29</v>
      </c>
      <c r="C9254" t="str">
        <f t="shared" si="290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289"/>
        <v>-5</v>
      </c>
    </row>
    <row r="9255" spans="1:8" x14ac:dyDescent="0.2">
      <c r="A9255" t="s">
        <v>7</v>
      </c>
      <c r="B9255" t="s">
        <v>29</v>
      </c>
      <c r="C9255" t="str">
        <f t="shared" si="290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289"/>
        <v>-5</v>
      </c>
    </row>
    <row r="9256" spans="1:8" x14ac:dyDescent="0.2">
      <c r="A9256" t="s">
        <v>7</v>
      </c>
      <c r="B9256" t="s">
        <v>29</v>
      </c>
      <c r="C9256" t="str">
        <f t="shared" si="290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289"/>
        <v>-5</v>
      </c>
    </row>
    <row r="9257" spans="1:8" x14ac:dyDescent="0.2">
      <c r="A9257" t="s">
        <v>7</v>
      </c>
      <c r="B9257" t="s">
        <v>29</v>
      </c>
      <c r="C9257" t="str">
        <f t="shared" si="290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289"/>
        <v>-5</v>
      </c>
    </row>
    <row r="9258" spans="1:8" x14ac:dyDescent="0.2">
      <c r="A9258" t="s">
        <v>7</v>
      </c>
      <c r="B9258" t="s">
        <v>29</v>
      </c>
      <c r="C9258" t="str">
        <f t="shared" si="290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289"/>
        <v>-5</v>
      </c>
    </row>
    <row r="9259" spans="1:8" x14ac:dyDescent="0.2">
      <c r="A9259" t="s">
        <v>7</v>
      </c>
      <c r="B9259" t="s">
        <v>29</v>
      </c>
      <c r="C9259" t="str">
        <f t="shared" si="290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289"/>
        <v>-5</v>
      </c>
    </row>
    <row r="9260" spans="1:8" x14ac:dyDescent="0.2">
      <c r="A9260" t="s">
        <v>7</v>
      </c>
      <c r="B9260" t="s">
        <v>29</v>
      </c>
      <c r="C9260" t="str">
        <f t="shared" si="290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289"/>
        <v>0</v>
      </c>
    </row>
    <row r="9261" spans="1:8" x14ac:dyDescent="0.2">
      <c r="A9261" t="s">
        <v>7</v>
      </c>
      <c r="B9261" t="s">
        <v>29</v>
      </c>
      <c r="C9261" t="str">
        <f t="shared" si="290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289"/>
        <v>-5</v>
      </c>
    </row>
    <row r="9262" spans="1:8" x14ac:dyDescent="0.2">
      <c r="A9262" t="s">
        <v>7</v>
      </c>
      <c r="B9262" t="s">
        <v>29</v>
      </c>
      <c r="C9262" t="str">
        <f t="shared" si="290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289"/>
        <v>-5</v>
      </c>
    </row>
    <row r="9263" spans="1:8" x14ac:dyDescent="0.2">
      <c r="A9263" t="s">
        <v>7</v>
      </c>
      <c r="B9263" t="s">
        <v>29</v>
      </c>
      <c r="C9263" t="str">
        <f t="shared" si="290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289"/>
        <v>-5</v>
      </c>
    </row>
    <row r="9264" spans="1:8" x14ac:dyDescent="0.2">
      <c r="A9264" t="s">
        <v>7</v>
      </c>
      <c r="B9264" t="s">
        <v>29</v>
      </c>
      <c r="C9264" t="str">
        <f t="shared" si="290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289"/>
        <v>-5</v>
      </c>
    </row>
    <row r="9265" spans="1:8" x14ac:dyDescent="0.2">
      <c r="A9265" t="s">
        <v>18</v>
      </c>
      <c r="B9265" t="s">
        <v>29</v>
      </c>
      <c r="C9265" t="str">
        <f t="shared" si="290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289"/>
        <v>-6</v>
      </c>
    </row>
    <row r="9266" spans="1:8" x14ac:dyDescent="0.2">
      <c r="A9266" t="s">
        <v>7</v>
      </c>
      <c r="B9266" t="s">
        <v>29</v>
      </c>
      <c r="C9266" t="str">
        <f t="shared" si="290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289"/>
        <v>-6</v>
      </c>
    </row>
    <row r="9267" spans="1:8" x14ac:dyDescent="0.2">
      <c r="A9267" t="s">
        <v>19</v>
      </c>
      <c r="B9267" t="s">
        <v>29</v>
      </c>
      <c r="C9267" t="str">
        <f t="shared" si="290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289"/>
        <v>-6</v>
      </c>
    </row>
    <row r="9268" spans="1:8" x14ac:dyDescent="0.2">
      <c r="A9268" t="s">
        <v>7</v>
      </c>
      <c r="B9268" t="s">
        <v>29</v>
      </c>
      <c r="C9268" t="str">
        <f t="shared" si="290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289"/>
        <v>-6</v>
      </c>
    </row>
    <row r="9269" spans="1:8" x14ac:dyDescent="0.2">
      <c r="A9269" t="s">
        <v>7</v>
      </c>
      <c r="B9269" t="s">
        <v>29</v>
      </c>
      <c r="C9269" t="str">
        <f t="shared" si="290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289"/>
        <v>-6</v>
      </c>
    </row>
    <row r="9270" spans="1:8" x14ac:dyDescent="0.2">
      <c r="A9270" t="s">
        <v>18</v>
      </c>
      <c r="B9270" t="s">
        <v>29</v>
      </c>
      <c r="C9270" t="str">
        <f t="shared" si="290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289"/>
        <v>-8</v>
      </c>
    </row>
    <row r="9271" spans="1:8" x14ac:dyDescent="0.2">
      <c r="A9271" t="s">
        <v>7</v>
      </c>
      <c r="B9271" t="s">
        <v>29</v>
      </c>
      <c r="C9271" t="str">
        <f t="shared" si="290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289"/>
        <v>-6</v>
      </c>
    </row>
    <row r="9272" spans="1:8" x14ac:dyDescent="0.2">
      <c r="A9272" t="s">
        <v>7</v>
      </c>
      <c r="B9272" t="s">
        <v>29</v>
      </c>
      <c r="C9272" t="str">
        <f t="shared" si="290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289"/>
        <v>-6</v>
      </c>
    </row>
    <row r="9273" spans="1:8" x14ac:dyDescent="0.2">
      <c r="A9273" t="s">
        <v>18</v>
      </c>
      <c r="B9273" t="s">
        <v>29</v>
      </c>
      <c r="C9273" t="str">
        <f t="shared" si="290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289"/>
        <v>-6</v>
      </c>
    </row>
    <row r="9274" spans="1:8" x14ac:dyDescent="0.2">
      <c r="A9274" t="s">
        <v>7</v>
      </c>
      <c r="B9274" t="s">
        <v>29</v>
      </c>
      <c r="C9274" t="str">
        <f t="shared" si="290"/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si="289"/>
        <v>-6</v>
      </c>
    </row>
    <row r="9275" spans="1:8" x14ac:dyDescent="0.2">
      <c r="A9275" t="s">
        <v>7</v>
      </c>
      <c r="B9275" t="s">
        <v>29</v>
      </c>
      <c r="C9275" t="str">
        <f t="shared" si="290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289"/>
        <v>-6</v>
      </c>
    </row>
    <row r="9276" spans="1:8" x14ac:dyDescent="0.2">
      <c r="A9276" t="s">
        <v>7</v>
      </c>
      <c r="B9276" t="s">
        <v>29</v>
      </c>
      <c r="C9276" t="str">
        <f t="shared" si="290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289"/>
        <v>-6</v>
      </c>
    </row>
    <row r="9277" spans="1:8" x14ac:dyDescent="0.2">
      <c r="A9277" t="s">
        <v>18</v>
      </c>
      <c r="B9277" t="s">
        <v>29</v>
      </c>
      <c r="C9277" t="str">
        <f t="shared" si="290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289"/>
        <v>-6</v>
      </c>
    </row>
    <row r="9278" spans="1:8" x14ac:dyDescent="0.2">
      <c r="A9278" t="s">
        <v>18</v>
      </c>
      <c r="B9278" t="s">
        <v>29</v>
      </c>
      <c r="C9278" t="str">
        <f t="shared" si="290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289"/>
        <v>-6</v>
      </c>
    </row>
    <row r="9279" spans="1:8" x14ac:dyDescent="0.2">
      <c r="A9279" t="s">
        <v>18</v>
      </c>
      <c r="B9279" t="s">
        <v>29</v>
      </c>
      <c r="C9279" t="str">
        <f t="shared" si="290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289"/>
        <v>-6</v>
      </c>
    </row>
    <row r="9280" spans="1:8" x14ac:dyDescent="0.2">
      <c r="A9280" t="s">
        <v>18</v>
      </c>
      <c r="B9280" t="s">
        <v>29</v>
      </c>
      <c r="C9280" t="str">
        <f t="shared" si="290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289"/>
        <v>-6</v>
      </c>
    </row>
    <row r="9281" spans="1:8" x14ac:dyDescent="0.2">
      <c r="A9281" t="s">
        <v>7</v>
      </c>
      <c r="B9281" t="s">
        <v>29</v>
      </c>
      <c r="C9281" t="str">
        <f t="shared" si="290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289"/>
        <v>-6</v>
      </c>
    </row>
    <row r="9282" spans="1:8" x14ac:dyDescent="0.2">
      <c r="A9282" t="s">
        <v>18</v>
      </c>
      <c r="B9282" t="s">
        <v>29</v>
      </c>
      <c r="C9282" t="str">
        <f t="shared" si="290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289"/>
        <v>-6</v>
      </c>
    </row>
    <row r="9283" spans="1:8" x14ac:dyDescent="0.2">
      <c r="A9283" t="s">
        <v>7</v>
      </c>
      <c r="B9283" t="s">
        <v>29</v>
      </c>
      <c r="C9283" t="str">
        <f t="shared" si="290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ref="H9283:H9346" si="291">F9283-G9283</f>
        <v>-6</v>
      </c>
    </row>
    <row r="9284" spans="1:8" x14ac:dyDescent="0.2">
      <c r="A9284" t="s">
        <v>18</v>
      </c>
      <c r="B9284" t="s">
        <v>29</v>
      </c>
      <c r="C9284" t="str">
        <f t="shared" si="290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291"/>
        <v>-6</v>
      </c>
    </row>
    <row r="9285" spans="1:8" x14ac:dyDescent="0.2">
      <c r="A9285" t="s">
        <v>7</v>
      </c>
      <c r="B9285" t="s">
        <v>29</v>
      </c>
      <c r="C9285" t="str">
        <f t="shared" ref="C9285:C9348" si="292">IF(H9285&gt;=0,"Cumple","No cumple")</f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291"/>
        <v>-6</v>
      </c>
    </row>
    <row r="9286" spans="1:8" x14ac:dyDescent="0.2">
      <c r="A9286" t="s">
        <v>18</v>
      </c>
      <c r="B9286" t="s">
        <v>29</v>
      </c>
      <c r="C9286" t="str">
        <f t="shared" si="292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291"/>
        <v>-6</v>
      </c>
    </row>
    <row r="9287" spans="1:8" x14ac:dyDescent="0.2">
      <c r="A9287" t="s">
        <v>7</v>
      </c>
      <c r="B9287" t="s">
        <v>29</v>
      </c>
      <c r="C9287" t="str">
        <f t="shared" si="292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291"/>
        <v>-6</v>
      </c>
    </row>
    <row r="9288" spans="1:8" x14ac:dyDescent="0.2">
      <c r="A9288" t="s">
        <v>7</v>
      </c>
      <c r="B9288" t="s">
        <v>29</v>
      </c>
      <c r="C9288" t="str">
        <f t="shared" si="292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291"/>
        <v>-6</v>
      </c>
    </row>
    <row r="9289" spans="1:8" x14ac:dyDescent="0.2">
      <c r="A9289" t="s">
        <v>19</v>
      </c>
      <c r="B9289" t="s">
        <v>29</v>
      </c>
      <c r="C9289" t="str">
        <f t="shared" si="292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291"/>
        <v>-6</v>
      </c>
    </row>
    <row r="9290" spans="1:8" x14ac:dyDescent="0.2">
      <c r="A9290" t="s">
        <v>7</v>
      </c>
      <c r="B9290" t="s">
        <v>29</v>
      </c>
      <c r="C9290" t="str">
        <f t="shared" si="292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291"/>
        <v>-6</v>
      </c>
    </row>
    <row r="9291" spans="1:8" x14ac:dyDescent="0.2">
      <c r="A9291" t="s">
        <v>7</v>
      </c>
      <c r="B9291" t="s">
        <v>29</v>
      </c>
      <c r="C9291" t="str">
        <f t="shared" si="292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291"/>
        <v>-6</v>
      </c>
    </row>
    <row r="9292" spans="1:8" x14ac:dyDescent="0.2">
      <c r="A9292" t="s">
        <v>18</v>
      </c>
      <c r="B9292" t="s">
        <v>29</v>
      </c>
      <c r="C9292" t="str">
        <f t="shared" si="292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291"/>
        <v>-8</v>
      </c>
    </row>
    <row r="9293" spans="1:8" x14ac:dyDescent="0.2">
      <c r="A9293" t="s">
        <v>18</v>
      </c>
      <c r="B9293" t="s">
        <v>29</v>
      </c>
      <c r="C9293" t="str">
        <f t="shared" si="292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291"/>
        <v>-6</v>
      </c>
    </row>
    <row r="9294" spans="1:8" x14ac:dyDescent="0.2">
      <c r="A9294" t="s">
        <v>18</v>
      </c>
      <c r="B9294" t="s">
        <v>29</v>
      </c>
      <c r="C9294" t="str">
        <f t="shared" si="292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291"/>
        <v>-6</v>
      </c>
    </row>
    <row r="9295" spans="1:8" x14ac:dyDescent="0.2">
      <c r="A9295" t="s">
        <v>18</v>
      </c>
      <c r="B9295" t="s">
        <v>29</v>
      </c>
      <c r="C9295" t="str">
        <f t="shared" si="292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291"/>
        <v>-6</v>
      </c>
    </row>
    <row r="9296" spans="1:8" x14ac:dyDescent="0.2">
      <c r="A9296" t="s">
        <v>7</v>
      </c>
      <c r="B9296" t="s">
        <v>29</v>
      </c>
      <c r="C9296" t="str">
        <f t="shared" si="292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291"/>
        <v>-6</v>
      </c>
    </row>
    <row r="9297" spans="1:8" x14ac:dyDescent="0.2">
      <c r="A9297" t="s">
        <v>18</v>
      </c>
      <c r="B9297" t="s">
        <v>29</v>
      </c>
      <c r="C9297" t="str">
        <f t="shared" si="292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291"/>
        <v>-6</v>
      </c>
    </row>
    <row r="9298" spans="1:8" x14ac:dyDescent="0.2">
      <c r="A9298" t="s">
        <v>7</v>
      </c>
      <c r="B9298" t="s">
        <v>29</v>
      </c>
      <c r="C9298" t="str">
        <f t="shared" si="292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291"/>
        <v>-6</v>
      </c>
    </row>
    <row r="9299" spans="1:8" x14ac:dyDescent="0.2">
      <c r="A9299" t="s">
        <v>7</v>
      </c>
      <c r="B9299" t="s">
        <v>29</v>
      </c>
      <c r="C9299" t="str">
        <f t="shared" si="292"/>
        <v>Cumple</v>
      </c>
      <c r="D9299">
        <v>2672</v>
      </c>
      <c r="E9299" t="s">
        <v>8</v>
      </c>
      <c r="F9299" s="9">
        <v>6</v>
      </c>
      <c r="G9299">
        <v>6</v>
      </c>
      <c r="H9299">
        <f t="shared" si="291"/>
        <v>0</v>
      </c>
    </row>
    <row r="9300" spans="1:8" x14ac:dyDescent="0.2">
      <c r="A9300" t="s">
        <v>7</v>
      </c>
      <c r="B9300" t="s">
        <v>29</v>
      </c>
      <c r="C9300" t="str">
        <f t="shared" si="292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291"/>
        <v>-6</v>
      </c>
    </row>
    <row r="9301" spans="1:8" x14ac:dyDescent="0.2">
      <c r="A9301" t="s">
        <v>18</v>
      </c>
      <c r="B9301" t="s">
        <v>29</v>
      </c>
      <c r="C9301" t="str">
        <f t="shared" si="292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291"/>
        <v>-6</v>
      </c>
    </row>
    <row r="9302" spans="1:8" x14ac:dyDescent="0.2">
      <c r="A9302" t="s">
        <v>7</v>
      </c>
      <c r="B9302" t="s">
        <v>29</v>
      </c>
      <c r="C9302" t="str">
        <f t="shared" si="292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291"/>
        <v>-6</v>
      </c>
    </row>
    <row r="9303" spans="1:8" x14ac:dyDescent="0.2">
      <c r="A9303" t="s">
        <v>7</v>
      </c>
      <c r="B9303" t="s">
        <v>29</v>
      </c>
      <c r="C9303" t="str">
        <f t="shared" si="292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291"/>
        <v>-6</v>
      </c>
    </row>
    <row r="9304" spans="1:8" x14ac:dyDescent="0.2">
      <c r="A9304" t="s">
        <v>7</v>
      </c>
      <c r="B9304" t="s">
        <v>29</v>
      </c>
      <c r="C9304" t="str">
        <f t="shared" si="292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291"/>
        <v>-6</v>
      </c>
    </row>
    <row r="9305" spans="1:8" x14ac:dyDescent="0.2">
      <c r="A9305" t="s">
        <v>7</v>
      </c>
      <c r="B9305" t="s">
        <v>29</v>
      </c>
      <c r="C9305" t="str">
        <f t="shared" si="292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291"/>
        <v>-6</v>
      </c>
    </row>
    <row r="9306" spans="1:8" x14ac:dyDescent="0.2">
      <c r="A9306" t="s">
        <v>7</v>
      </c>
      <c r="B9306" t="s">
        <v>29</v>
      </c>
      <c r="C9306" t="str">
        <f t="shared" si="292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291"/>
        <v>-6</v>
      </c>
    </row>
    <row r="9307" spans="1:8" x14ac:dyDescent="0.2">
      <c r="A9307" t="s">
        <v>18</v>
      </c>
      <c r="B9307" t="s">
        <v>29</v>
      </c>
      <c r="C9307" t="str">
        <f t="shared" si="292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291"/>
        <v>-6</v>
      </c>
    </row>
    <row r="9308" spans="1:8" x14ac:dyDescent="0.2">
      <c r="A9308" t="s">
        <v>18</v>
      </c>
      <c r="B9308" t="s">
        <v>29</v>
      </c>
      <c r="C9308" t="str">
        <f t="shared" si="292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291"/>
        <v>-6</v>
      </c>
    </row>
    <row r="9309" spans="1:8" x14ac:dyDescent="0.2">
      <c r="A9309" t="s">
        <v>18</v>
      </c>
      <c r="B9309" t="s">
        <v>29</v>
      </c>
      <c r="C9309" t="str">
        <f t="shared" si="292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291"/>
        <v>-6</v>
      </c>
    </row>
    <row r="9310" spans="1:8" x14ac:dyDescent="0.2">
      <c r="A9310" t="s">
        <v>18</v>
      </c>
      <c r="B9310" t="s">
        <v>29</v>
      </c>
      <c r="C9310" t="str">
        <f t="shared" si="292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291"/>
        <v>-6</v>
      </c>
    </row>
    <row r="9311" spans="1:8" x14ac:dyDescent="0.2">
      <c r="A9311" t="s">
        <v>18</v>
      </c>
      <c r="B9311" t="s">
        <v>29</v>
      </c>
      <c r="C9311" t="str">
        <f t="shared" si="292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291"/>
        <v>-6</v>
      </c>
    </row>
    <row r="9312" spans="1:8" x14ac:dyDescent="0.2">
      <c r="A9312" t="s">
        <v>18</v>
      </c>
      <c r="B9312" t="s">
        <v>29</v>
      </c>
      <c r="C9312" t="str">
        <f t="shared" si="292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291"/>
        <v>-6</v>
      </c>
    </row>
    <row r="9313" spans="1:8" x14ac:dyDescent="0.2">
      <c r="A9313" t="s">
        <v>18</v>
      </c>
      <c r="B9313" t="s">
        <v>29</v>
      </c>
      <c r="C9313" t="str">
        <f t="shared" si="292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291"/>
        <v>-6</v>
      </c>
    </row>
    <row r="9314" spans="1:8" x14ac:dyDescent="0.2">
      <c r="A9314" t="s">
        <v>7</v>
      </c>
      <c r="B9314" t="s">
        <v>29</v>
      </c>
      <c r="C9314" t="str">
        <f t="shared" si="292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291"/>
        <v>-6</v>
      </c>
    </row>
    <row r="9315" spans="1:8" x14ac:dyDescent="0.2">
      <c r="A9315" t="s">
        <v>7</v>
      </c>
      <c r="B9315" t="s">
        <v>29</v>
      </c>
      <c r="C9315" t="str">
        <f t="shared" si="292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291"/>
        <v>-6</v>
      </c>
    </row>
    <row r="9316" spans="1:8" x14ac:dyDescent="0.2">
      <c r="A9316" t="s">
        <v>7</v>
      </c>
      <c r="B9316" t="s">
        <v>29</v>
      </c>
      <c r="C9316" t="str">
        <f t="shared" si="292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291"/>
        <v>0</v>
      </c>
    </row>
    <row r="9317" spans="1:8" x14ac:dyDescent="0.2">
      <c r="A9317" t="s">
        <v>7</v>
      </c>
      <c r="B9317" t="s">
        <v>29</v>
      </c>
      <c r="C9317" t="str">
        <f t="shared" si="292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291"/>
        <v>-6</v>
      </c>
    </row>
    <row r="9318" spans="1:8" x14ac:dyDescent="0.2">
      <c r="A9318" t="s">
        <v>7</v>
      </c>
      <c r="B9318" t="s">
        <v>29</v>
      </c>
      <c r="C9318" t="str">
        <f t="shared" si="292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291"/>
        <v>-6</v>
      </c>
    </row>
    <row r="9319" spans="1:8" x14ac:dyDescent="0.2">
      <c r="A9319" t="s">
        <v>18</v>
      </c>
      <c r="B9319" t="s">
        <v>29</v>
      </c>
      <c r="C9319" t="str">
        <f t="shared" si="292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291"/>
        <v>-6</v>
      </c>
    </row>
    <row r="9320" spans="1:8" x14ac:dyDescent="0.2">
      <c r="A9320" t="s">
        <v>18</v>
      </c>
      <c r="B9320" t="s">
        <v>29</v>
      </c>
      <c r="C9320" t="str">
        <f t="shared" si="292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291"/>
        <v>-6</v>
      </c>
    </row>
    <row r="9321" spans="1:8" x14ac:dyDescent="0.2">
      <c r="A9321" t="s">
        <v>18</v>
      </c>
      <c r="B9321" t="s">
        <v>29</v>
      </c>
      <c r="C9321" t="str">
        <f t="shared" si="292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291"/>
        <v>-6</v>
      </c>
    </row>
    <row r="9322" spans="1:8" x14ac:dyDescent="0.2">
      <c r="A9322" t="s">
        <v>18</v>
      </c>
      <c r="B9322" t="s">
        <v>29</v>
      </c>
      <c r="C9322" t="str">
        <f t="shared" si="292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291"/>
        <v>-6</v>
      </c>
    </row>
    <row r="9323" spans="1:8" x14ac:dyDescent="0.2">
      <c r="A9323" t="s">
        <v>7</v>
      </c>
      <c r="B9323" t="s">
        <v>29</v>
      </c>
      <c r="C9323" t="str">
        <f t="shared" si="292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291"/>
        <v>-6</v>
      </c>
    </row>
    <row r="9324" spans="1:8" x14ac:dyDescent="0.2">
      <c r="A9324" t="s">
        <v>7</v>
      </c>
      <c r="B9324" t="s">
        <v>29</v>
      </c>
      <c r="C9324" t="str">
        <f t="shared" si="292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291"/>
        <v>-6</v>
      </c>
    </row>
    <row r="9325" spans="1:8" x14ac:dyDescent="0.2">
      <c r="A9325" t="s">
        <v>18</v>
      </c>
      <c r="B9325" t="s">
        <v>29</v>
      </c>
      <c r="C9325" t="str">
        <f t="shared" si="292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291"/>
        <v>-6</v>
      </c>
    </row>
    <row r="9326" spans="1:8" x14ac:dyDescent="0.2">
      <c r="A9326" t="s">
        <v>7</v>
      </c>
      <c r="B9326" t="s">
        <v>29</v>
      </c>
      <c r="C9326" t="str">
        <f t="shared" si="292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291"/>
        <v>-6</v>
      </c>
    </row>
    <row r="9327" spans="1:8" x14ac:dyDescent="0.2">
      <c r="A9327" t="s">
        <v>19</v>
      </c>
      <c r="B9327" t="s">
        <v>29</v>
      </c>
      <c r="C9327" t="str">
        <f t="shared" si="292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291"/>
        <v>-6</v>
      </c>
    </row>
    <row r="9328" spans="1:8" x14ac:dyDescent="0.2">
      <c r="A9328" t="s">
        <v>7</v>
      </c>
      <c r="B9328" t="s">
        <v>29</v>
      </c>
      <c r="C9328" t="str">
        <f t="shared" si="292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291"/>
        <v>-6</v>
      </c>
    </row>
    <row r="9329" spans="1:8" x14ac:dyDescent="0.2">
      <c r="A9329" t="s">
        <v>18</v>
      </c>
      <c r="B9329" t="s">
        <v>29</v>
      </c>
      <c r="C9329" t="str">
        <f t="shared" si="292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291"/>
        <v>-6</v>
      </c>
    </row>
    <row r="9330" spans="1:8" x14ac:dyDescent="0.2">
      <c r="A9330" t="s">
        <v>18</v>
      </c>
      <c r="B9330" t="s">
        <v>29</v>
      </c>
      <c r="C9330" t="str">
        <f t="shared" si="292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291"/>
        <v>-6</v>
      </c>
    </row>
    <row r="9331" spans="1:8" x14ac:dyDescent="0.2">
      <c r="A9331" t="s">
        <v>7</v>
      </c>
      <c r="B9331" t="s">
        <v>29</v>
      </c>
      <c r="C9331" t="str">
        <f t="shared" si="292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291"/>
        <v>-6</v>
      </c>
    </row>
    <row r="9332" spans="1:8" x14ac:dyDescent="0.2">
      <c r="A9332" t="s">
        <v>19</v>
      </c>
      <c r="B9332" t="s">
        <v>29</v>
      </c>
      <c r="C9332" t="str">
        <f t="shared" si="292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291"/>
        <v>-6</v>
      </c>
    </row>
    <row r="9333" spans="1:8" x14ac:dyDescent="0.2">
      <c r="A9333" t="s">
        <v>18</v>
      </c>
      <c r="B9333" t="s">
        <v>29</v>
      </c>
      <c r="C9333" t="str">
        <f t="shared" si="292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291"/>
        <v>-6</v>
      </c>
    </row>
    <row r="9334" spans="1:8" x14ac:dyDescent="0.2">
      <c r="A9334" t="s">
        <v>7</v>
      </c>
      <c r="B9334" t="s">
        <v>29</v>
      </c>
      <c r="C9334" t="str">
        <f t="shared" si="292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291"/>
        <v>-6</v>
      </c>
    </row>
    <row r="9335" spans="1:8" x14ac:dyDescent="0.2">
      <c r="A9335" t="s">
        <v>18</v>
      </c>
      <c r="B9335" t="s">
        <v>29</v>
      </c>
      <c r="C9335" t="str">
        <f t="shared" si="292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291"/>
        <v>-6</v>
      </c>
    </row>
    <row r="9336" spans="1:8" x14ac:dyDescent="0.2">
      <c r="A9336" t="s">
        <v>19</v>
      </c>
      <c r="B9336" t="s">
        <v>29</v>
      </c>
      <c r="C9336" t="str">
        <f t="shared" si="292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291"/>
        <v>-6</v>
      </c>
    </row>
    <row r="9337" spans="1:8" x14ac:dyDescent="0.2">
      <c r="A9337" t="s">
        <v>7</v>
      </c>
      <c r="B9337" t="s">
        <v>29</v>
      </c>
      <c r="C9337" t="str">
        <f t="shared" si="292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291"/>
        <v>-6</v>
      </c>
    </row>
    <row r="9338" spans="1:8" x14ac:dyDescent="0.2">
      <c r="A9338" t="s">
        <v>7</v>
      </c>
      <c r="B9338" t="s">
        <v>29</v>
      </c>
      <c r="C9338" t="str">
        <f t="shared" si="292"/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si="291"/>
        <v>-6</v>
      </c>
    </row>
    <row r="9339" spans="1:8" x14ac:dyDescent="0.2">
      <c r="A9339" t="s">
        <v>18</v>
      </c>
      <c r="B9339" t="s">
        <v>29</v>
      </c>
      <c r="C9339" t="str">
        <f t="shared" si="292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291"/>
        <v>-6</v>
      </c>
    </row>
    <row r="9340" spans="1:8" x14ac:dyDescent="0.2">
      <c r="A9340" t="s">
        <v>18</v>
      </c>
      <c r="B9340" t="s">
        <v>29</v>
      </c>
      <c r="C9340" t="str">
        <f t="shared" si="292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291"/>
        <v>-6</v>
      </c>
    </row>
    <row r="9341" spans="1:8" x14ac:dyDescent="0.2">
      <c r="A9341" t="s">
        <v>7</v>
      </c>
      <c r="B9341" t="s">
        <v>29</v>
      </c>
      <c r="C9341" t="str">
        <f t="shared" si="292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291"/>
        <v>-6</v>
      </c>
    </row>
    <row r="9342" spans="1:8" x14ac:dyDescent="0.2">
      <c r="A9342" t="s">
        <v>18</v>
      </c>
      <c r="B9342" t="s">
        <v>29</v>
      </c>
      <c r="C9342" t="str">
        <f t="shared" si="292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291"/>
        <v>-6</v>
      </c>
    </row>
    <row r="9343" spans="1:8" x14ac:dyDescent="0.2">
      <c r="A9343" t="s">
        <v>7</v>
      </c>
      <c r="B9343" t="s">
        <v>29</v>
      </c>
      <c r="C9343" t="str">
        <f t="shared" si="292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291"/>
        <v>-6</v>
      </c>
    </row>
    <row r="9344" spans="1:8" x14ac:dyDescent="0.2">
      <c r="A9344" t="s">
        <v>7</v>
      </c>
      <c r="B9344" t="s">
        <v>29</v>
      </c>
      <c r="C9344" t="str">
        <f t="shared" si="292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291"/>
        <v>-6</v>
      </c>
    </row>
    <row r="9345" spans="1:8" x14ac:dyDescent="0.2">
      <c r="A9345" t="s">
        <v>18</v>
      </c>
      <c r="B9345" t="s">
        <v>29</v>
      </c>
      <c r="C9345" t="str">
        <f t="shared" si="292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291"/>
        <v>-6</v>
      </c>
    </row>
    <row r="9346" spans="1:8" x14ac:dyDescent="0.2">
      <c r="A9346" t="s">
        <v>18</v>
      </c>
      <c r="B9346" t="s">
        <v>29</v>
      </c>
      <c r="C9346" t="str">
        <f t="shared" si="292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291"/>
        <v>-6</v>
      </c>
    </row>
    <row r="9347" spans="1:8" x14ac:dyDescent="0.2">
      <c r="A9347" t="s">
        <v>7</v>
      </c>
      <c r="B9347" t="s">
        <v>29</v>
      </c>
      <c r="C9347" t="str">
        <f t="shared" si="292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ref="H9347:H9410" si="293">F9347-G9347</f>
        <v>-6</v>
      </c>
    </row>
    <row r="9348" spans="1:8" x14ac:dyDescent="0.2">
      <c r="A9348" t="s">
        <v>7</v>
      </c>
      <c r="B9348" t="s">
        <v>29</v>
      </c>
      <c r="C9348" t="str">
        <f t="shared" si="292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293"/>
        <v>-6</v>
      </c>
    </row>
    <row r="9349" spans="1:8" x14ac:dyDescent="0.2">
      <c r="A9349" t="s">
        <v>7</v>
      </c>
      <c r="B9349" t="s">
        <v>29</v>
      </c>
      <c r="C9349" t="str">
        <f t="shared" ref="C9349:C9412" si="294">IF(H9349&gt;=0,"Cumple","No cumple")</f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293"/>
        <v>-6</v>
      </c>
    </row>
    <row r="9350" spans="1:8" x14ac:dyDescent="0.2">
      <c r="A9350" t="s">
        <v>7</v>
      </c>
      <c r="B9350" t="s">
        <v>29</v>
      </c>
      <c r="C9350" t="str">
        <f t="shared" si="294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293"/>
        <v>-6</v>
      </c>
    </row>
    <row r="9351" spans="1:8" x14ac:dyDescent="0.2">
      <c r="A9351" t="s">
        <v>19</v>
      </c>
      <c r="B9351" t="s">
        <v>29</v>
      </c>
      <c r="C9351" t="str">
        <f t="shared" si="294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293"/>
        <v>-6</v>
      </c>
    </row>
    <row r="9352" spans="1:8" x14ac:dyDescent="0.2">
      <c r="A9352" t="s">
        <v>7</v>
      </c>
      <c r="B9352" t="s">
        <v>29</v>
      </c>
      <c r="C9352" t="str">
        <f t="shared" si="294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293"/>
        <v>-6</v>
      </c>
    </row>
    <row r="9353" spans="1:8" x14ac:dyDescent="0.2">
      <c r="A9353" t="s">
        <v>7</v>
      </c>
      <c r="B9353" t="s">
        <v>29</v>
      </c>
      <c r="C9353" t="str">
        <f t="shared" si="294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293"/>
        <v>-6</v>
      </c>
    </row>
    <row r="9354" spans="1:8" x14ac:dyDescent="0.2">
      <c r="A9354" t="s">
        <v>19</v>
      </c>
      <c r="B9354" t="s">
        <v>29</v>
      </c>
      <c r="C9354" t="str">
        <f t="shared" si="294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293"/>
        <v>-6</v>
      </c>
    </row>
    <row r="9355" spans="1:8" x14ac:dyDescent="0.2">
      <c r="A9355" t="s">
        <v>18</v>
      </c>
      <c r="B9355" t="s">
        <v>29</v>
      </c>
      <c r="C9355" t="str">
        <f t="shared" si="294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293"/>
        <v>-6</v>
      </c>
    </row>
    <row r="9356" spans="1:8" x14ac:dyDescent="0.2">
      <c r="A9356" t="s">
        <v>7</v>
      </c>
      <c r="B9356" t="s">
        <v>29</v>
      </c>
      <c r="C9356" t="str">
        <f t="shared" si="294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293"/>
        <v>-6</v>
      </c>
    </row>
    <row r="9357" spans="1:8" x14ac:dyDescent="0.2">
      <c r="A9357" t="s">
        <v>18</v>
      </c>
      <c r="B9357" t="s">
        <v>29</v>
      </c>
      <c r="C9357" t="str">
        <f t="shared" si="294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293"/>
        <v>-6</v>
      </c>
    </row>
    <row r="9358" spans="1:8" x14ac:dyDescent="0.2">
      <c r="A9358" t="s">
        <v>18</v>
      </c>
      <c r="B9358" t="s">
        <v>29</v>
      </c>
      <c r="C9358" t="str">
        <f t="shared" si="294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293"/>
        <v>-6</v>
      </c>
    </row>
    <row r="9359" spans="1:8" x14ac:dyDescent="0.2">
      <c r="A9359" t="s">
        <v>18</v>
      </c>
      <c r="B9359" t="s">
        <v>29</v>
      </c>
      <c r="C9359" t="str">
        <f t="shared" si="294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293"/>
        <v>-6</v>
      </c>
    </row>
    <row r="9360" spans="1:8" x14ac:dyDescent="0.2">
      <c r="A9360" t="s">
        <v>18</v>
      </c>
      <c r="B9360" t="s">
        <v>29</v>
      </c>
      <c r="C9360" t="str">
        <f t="shared" si="294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293"/>
        <v>-6</v>
      </c>
    </row>
    <row r="9361" spans="1:8" x14ac:dyDescent="0.2">
      <c r="A9361" t="s">
        <v>18</v>
      </c>
      <c r="B9361" t="s">
        <v>29</v>
      </c>
      <c r="C9361" t="str">
        <f t="shared" si="294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293"/>
        <v>-6</v>
      </c>
    </row>
    <row r="9362" spans="1:8" x14ac:dyDescent="0.2">
      <c r="A9362" t="s">
        <v>18</v>
      </c>
      <c r="B9362" t="s">
        <v>29</v>
      </c>
      <c r="C9362" t="str">
        <f t="shared" si="294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293"/>
        <v>-6</v>
      </c>
    </row>
    <row r="9363" spans="1:8" x14ac:dyDescent="0.2">
      <c r="A9363" t="s">
        <v>18</v>
      </c>
      <c r="B9363" t="s">
        <v>29</v>
      </c>
      <c r="C9363" t="str">
        <f t="shared" si="294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293"/>
        <v>-6</v>
      </c>
    </row>
    <row r="9364" spans="1:8" x14ac:dyDescent="0.2">
      <c r="A9364" t="s">
        <v>7</v>
      </c>
      <c r="B9364" t="s">
        <v>29</v>
      </c>
      <c r="C9364" t="str">
        <f t="shared" si="294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293"/>
        <v>-6</v>
      </c>
    </row>
    <row r="9365" spans="1:8" x14ac:dyDescent="0.2">
      <c r="A9365" t="s">
        <v>7</v>
      </c>
      <c r="B9365" t="s">
        <v>29</v>
      </c>
      <c r="C9365" t="str">
        <f t="shared" si="294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293"/>
        <v>-6</v>
      </c>
    </row>
    <row r="9366" spans="1:8" x14ac:dyDescent="0.2">
      <c r="A9366" t="s">
        <v>18</v>
      </c>
      <c r="B9366" t="s">
        <v>29</v>
      </c>
      <c r="C9366" t="str">
        <f t="shared" si="294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293"/>
        <v>-6</v>
      </c>
    </row>
    <row r="9367" spans="1:8" x14ac:dyDescent="0.2">
      <c r="A9367" t="s">
        <v>7</v>
      </c>
      <c r="B9367" t="s">
        <v>29</v>
      </c>
      <c r="C9367" t="str">
        <f t="shared" si="294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293"/>
        <v>-6</v>
      </c>
    </row>
    <row r="9368" spans="1:8" x14ac:dyDescent="0.2">
      <c r="A9368" t="s">
        <v>18</v>
      </c>
      <c r="B9368" t="s">
        <v>29</v>
      </c>
      <c r="C9368" t="str">
        <f t="shared" si="294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293"/>
        <v>-6</v>
      </c>
    </row>
    <row r="9369" spans="1:8" x14ac:dyDescent="0.2">
      <c r="A9369" t="s">
        <v>18</v>
      </c>
      <c r="B9369" t="s">
        <v>29</v>
      </c>
      <c r="C9369" t="str">
        <f t="shared" si="294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293"/>
        <v>-6</v>
      </c>
    </row>
    <row r="9370" spans="1:8" x14ac:dyDescent="0.2">
      <c r="A9370" t="s">
        <v>7</v>
      </c>
      <c r="B9370" t="s">
        <v>29</v>
      </c>
      <c r="C9370" t="str">
        <f t="shared" si="294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293"/>
        <v>-6</v>
      </c>
    </row>
    <row r="9371" spans="1:8" x14ac:dyDescent="0.2">
      <c r="A9371" t="s">
        <v>18</v>
      </c>
      <c r="B9371" t="s">
        <v>29</v>
      </c>
      <c r="C9371" t="str">
        <f t="shared" si="294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293"/>
        <v>-6</v>
      </c>
    </row>
    <row r="9372" spans="1:8" x14ac:dyDescent="0.2">
      <c r="A9372" t="s">
        <v>7</v>
      </c>
      <c r="B9372" t="s">
        <v>29</v>
      </c>
      <c r="C9372" t="str">
        <f t="shared" si="294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293"/>
        <v>-6</v>
      </c>
    </row>
    <row r="9373" spans="1:8" x14ac:dyDescent="0.2">
      <c r="A9373" t="s">
        <v>7</v>
      </c>
      <c r="B9373" t="s">
        <v>29</v>
      </c>
      <c r="C9373" t="str">
        <f t="shared" si="294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293"/>
        <v>-6</v>
      </c>
    </row>
    <row r="9374" spans="1:8" x14ac:dyDescent="0.2">
      <c r="A9374" t="s">
        <v>7</v>
      </c>
      <c r="B9374" t="s">
        <v>29</v>
      </c>
      <c r="C9374" t="str">
        <f t="shared" si="294"/>
        <v>Cumple</v>
      </c>
      <c r="D9374">
        <v>1875</v>
      </c>
      <c r="E9374" t="s">
        <v>10</v>
      </c>
      <c r="F9374">
        <v>49</v>
      </c>
      <c r="G9374">
        <v>20</v>
      </c>
      <c r="H9374">
        <f t="shared" si="293"/>
        <v>29</v>
      </c>
    </row>
    <row r="9375" spans="1:8" x14ac:dyDescent="0.2">
      <c r="A9375" t="s">
        <v>7</v>
      </c>
      <c r="B9375" t="s">
        <v>29</v>
      </c>
      <c r="C9375" t="str">
        <f t="shared" si="294"/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si="293"/>
        <v>32</v>
      </c>
    </row>
    <row r="9376" spans="1:8" x14ac:dyDescent="0.2">
      <c r="A9376" t="s">
        <v>7</v>
      </c>
      <c r="B9376" t="s">
        <v>29</v>
      </c>
      <c r="C9376" t="str">
        <f t="shared" si="294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293"/>
        <v>25</v>
      </c>
    </row>
    <row r="9377" spans="1:8" x14ac:dyDescent="0.2">
      <c r="A9377" t="s">
        <v>7</v>
      </c>
      <c r="B9377" t="s">
        <v>29</v>
      </c>
      <c r="C9377" t="str">
        <f t="shared" si="294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293"/>
        <v>24</v>
      </c>
    </row>
    <row r="9378" spans="1:8" x14ac:dyDescent="0.2">
      <c r="A9378" t="s">
        <v>7</v>
      </c>
      <c r="B9378" t="s">
        <v>29</v>
      </c>
      <c r="C9378" t="str">
        <f t="shared" si="294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293"/>
        <v>24</v>
      </c>
    </row>
    <row r="9379" spans="1:8" x14ac:dyDescent="0.2">
      <c r="A9379" t="s">
        <v>7</v>
      </c>
      <c r="B9379" t="s">
        <v>29</v>
      </c>
      <c r="C9379" t="str">
        <f t="shared" si="294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293"/>
        <v>23</v>
      </c>
    </row>
    <row r="9380" spans="1:8" x14ac:dyDescent="0.2">
      <c r="A9380" t="s">
        <v>7</v>
      </c>
      <c r="B9380" t="s">
        <v>29</v>
      </c>
      <c r="C9380" t="str">
        <f t="shared" si="294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293"/>
        <v>22</v>
      </c>
    </row>
    <row r="9381" spans="1:8" x14ac:dyDescent="0.2">
      <c r="A9381" t="s">
        <v>7</v>
      </c>
      <c r="B9381" t="s">
        <v>29</v>
      </c>
      <c r="C9381" t="str">
        <f t="shared" si="294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293"/>
        <v>20</v>
      </c>
    </row>
    <row r="9382" spans="1:8" x14ac:dyDescent="0.2">
      <c r="A9382" t="s">
        <v>7</v>
      </c>
      <c r="B9382" t="s">
        <v>29</v>
      </c>
      <c r="C9382" t="str">
        <f t="shared" si="294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293"/>
        <v>20</v>
      </c>
    </row>
    <row r="9383" spans="1:8" x14ac:dyDescent="0.2">
      <c r="A9383" t="s">
        <v>7</v>
      </c>
      <c r="B9383" t="s">
        <v>29</v>
      </c>
      <c r="C9383" t="str">
        <f t="shared" si="294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293"/>
        <v>20</v>
      </c>
    </row>
    <row r="9384" spans="1:8" x14ac:dyDescent="0.2">
      <c r="A9384" t="s">
        <v>7</v>
      </c>
      <c r="B9384" t="s">
        <v>29</v>
      </c>
      <c r="C9384" t="str">
        <f t="shared" si="294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293"/>
        <v>20</v>
      </c>
    </row>
    <row r="9385" spans="1:8" x14ac:dyDescent="0.2">
      <c r="A9385" t="s">
        <v>7</v>
      </c>
      <c r="B9385" t="s">
        <v>29</v>
      </c>
      <c r="C9385" t="str">
        <f t="shared" si="294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293"/>
        <v>20</v>
      </c>
    </row>
    <row r="9386" spans="1:8" x14ac:dyDescent="0.2">
      <c r="A9386" t="s">
        <v>7</v>
      </c>
      <c r="B9386" t="s">
        <v>29</v>
      </c>
      <c r="C9386" t="str">
        <f t="shared" si="294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293"/>
        <v>19</v>
      </c>
    </row>
    <row r="9387" spans="1:8" x14ac:dyDescent="0.2">
      <c r="A9387" t="s">
        <v>7</v>
      </c>
      <c r="B9387" t="s">
        <v>29</v>
      </c>
      <c r="C9387" t="str">
        <f t="shared" si="294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293"/>
        <v>19</v>
      </c>
    </row>
    <row r="9388" spans="1:8" x14ac:dyDescent="0.2">
      <c r="A9388" t="s">
        <v>7</v>
      </c>
      <c r="B9388" t="s">
        <v>29</v>
      </c>
      <c r="C9388" t="str">
        <f t="shared" si="294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293"/>
        <v>19</v>
      </c>
    </row>
    <row r="9389" spans="1:8" x14ac:dyDescent="0.2">
      <c r="A9389" t="s">
        <v>7</v>
      </c>
      <c r="B9389" t="s">
        <v>29</v>
      </c>
      <c r="C9389" t="str">
        <f t="shared" si="294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293"/>
        <v>18</v>
      </c>
    </row>
    <row r="9390" spans="1:8" x14ac:dyDescent="0.2">
      <c r="A9390" t="s">
        <v>7</v>
      </c>
      <c r="B9390" t="s">
        <v>29</v>
      </c>
      <c r="C9390" t="str">
        <f t="shared" si="294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293"/>
        <v>18</v>
      </c>
    </row>
    <row r="9391" spans="1:8" x14ac:dyDescent="0.2">
      <c r="A9391" t="s">
        <v>7</v>
      </c>
      <c r="B9391" t="s">
        <v>29</v>
      </c>
      <c r="C9391" t="str">
        <f t="shared" si="294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293"/>
        <v>18</v>
      </c>
    </row>
    <row r="9392" spans="1:8" x14ac:dyDescent="0.2">
      <c r="A9392" t="s">
        <v>7</v>
      </c>
      <c r="B9392" t="s">
        <v>29</v>
      </c>
      <c r="C9392" t="str">
        <f t="shared" si="294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293"/>
        <v>18</v>
      </c>
    </row>
    <row r="9393" spans="1:8" x14ac:dyDescent="0.2">
      <c r="A9393" t="s">
        <v>7</v>
      </c>
      <c r="B9393" t="s">
        <v>29</v>
      </c>
      <c r="C9393" t="str">
        <f t="shared" si="294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293"/>
        <v>17</v>
      </c>
    </row>
    <row r="9394" spans="1:8" x14ac:dyDescent="0.2">
      <c r="A9394" t="s">
        <v>7</v>
      </c>
      <c r="B9394" t="s">
        <v>29</v>
      </c>
      <c r="C9394" t="str">
        <f t="shared" si="294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293"/>
        <v>17</v>
      </c>
    </row>
    <row r="9395" spans="1:8" x14ac:dyDescent="0.2">
      <c r="A9395" t="s">
        <v>7</v>
      </c>
      <c r="B9395" t="s">
        <v>29</v>
      </c>
      <c r="C9395" t="str">
        <f t="shared" si="294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293"/>
        <v>16</v>
      </c>
    </row>
    <row r="9396" spans="1:8" x14ac:dyDescent="0.2">
      <c r="A9396" t="s">
        <v>7</v>
      </c>
      <c r="B9396" t="s">
        <v>29</v>
      </c>
      <c r="C9396" t="str">
        <f t="shared" si="294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293"/>
        <v>16</v>
      </c>
    </row>
    <row r="9397" spans="1:8" x14ac:dyDescent="0.2">
      <c r="A9397" t="s">
        <v>7</v>
      </c>
      <c r="B9397" t="s">
        <v>29</v>
      </c>
      <c r="C9397" t="str">
        <f t="shared" si="294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293"/>
        <v>16</v>
      </c>
    </row>
    <row r="9398" spans="1:8" x14ac:dyDescent="0.2">
      <c r="A9398" t="s">
        <v>7</v>
      </c>
      <c r="B9398" t="s">
        <v>29</v>
      </c>
      <c r="C9398" t="str">
        <f t="shared" si="294"/>
        <v>Cumple</v>
      </c>
      <c r="D9398">
        <v>3924</v>
      </c>
      <c r="E9398" s="19" t="s">
        <v>12</v>
      </c>
      <c r="F9398">
        <v>36</v>
      </c>
      <c r="G9398">
        <v>20</v>
      </c>
      <c r="H9398">
        <f t="shared" si="293"/>
        <v>16</v>
      </c>
    </row>
    <row r="9399" spans="1:8" x14ac:dyDescent="0.2">
      <c r="A9399" t="s">
        <v>7</v>
      </c>
      <c r="B9399" t="s">
        <v>29</v>
      </c>
      <c r="C9399" t="str">
        <f t="shared" si="294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293"/>
        <v>15</v>
      </c>
    </row>
    <row r="9400" spans="1:8" x14ac:dyDescent="0.2">
      <c r="A9400" t="s">
        <v>7</v>
      </c>
      <c r="B9400" t="s">
        <v>29</v>
      </c>
      <c r="C9400" t="str">
        <f t="shared" si="294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293"/>
        <v>15</v>
      </c>
    </row>
    <row r="9401" spans="1:8" x14ac:dyDescent="0.2">
      <c r="A9401" t="s">
        <v>7</v>
      </c>
      <c r="B9401" t="s">
        <v>29</v>
      </c>
      <c r="C9401" t="str">
        <f t="shared" si="294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293"/>
        <v>14</v>
      </c>
    </row>
    <row r="9402" spans="1:8" x14ac:dyDescent="0.2">
      <c r="A9402" t="s">
        <v>7</v>
      </c>
      <c r="B9402" t="s">
        <v>29</v>
      </c>
      <c r="C9402" t="str">
        <f t="shared" si="294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293"/>
        <v>14</v>
      </c>
    </row>
    <row r="9403" spans="1:8" x14ac:dyDescent="0.2">
      <c r="A9403" t="s">
        <v>7</v>
      </c>
      <c r="B9403" t="s">
        <v>29</v>
      </c>
      <c r="C9403" t="str">
        <f t="shared" si="294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293"/>
        <v>14</v>
      </c>
    </row>
    <row r="9404" spans="1:8" x14ac:dyDescent="0.2">
      <c r="A9404" t="s">
        <v>7</v>
      </c>
      <c r="B9404" t="s">
        <v>29</v>
      </c>
      <c r="C9404" t="str">
        <f t="shared" si="294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293"/>
        <v>14</v>
      </c>
    </row>
    <row r="9405" spans="1:8" x14ac:dyDescent="0.2">
      <c r="A9405" t="s">
        <v>7</v>
      </c>
      <c r="B9405" t="s">
        <v>29</v>
      </c>
      <c r="C9405" t="str">
        <f t="shared" si="294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293"/>
        <v>14</v>
      </c>
    </row>
    <row r="9406" spans="1:8" x14ac:dyDescent="0.2">
      <c r="A9406" t="s">
        <v>7</v>
      </c>
      <c r="B9406" t="s">
        <v>29</v>
      </c>
      <c r="C9406" t="str">
        <f t="shared" si="294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293"/>
        <v>14</v>
      </c>
    </row>
    <row r="9407" spans="1:8" x14ac:dyDescent="0.2">
      <c r="A9407" t="s">
        <v>7</v>
      </c>
      <c r="B9407" t="s">
        <v>29</v>
      </c>
      <c r="C9407" t="str">
        <f t="shared" si="294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293"/>
        <v>14</v>
      </c>
    </row>
    <row r="9408" spans="1:8" x14ac:dyDescent="0.2">
      <c r="A9408" t="s">
        <v>7</v>
      </c>
      <c r="B9408" t="s">
        <v>29</v>
      </c>
      <c r="C9408" t="str">
        <f t="shared" si="294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293"/>
        <v>14</v>
      </c>
    </row>
    <row r="9409" spans="1:8" x14ac:dyDescent="0.2">
      <c r="A9409" t="s">
        <v>7</v>
      </c>
      <c r="B9409" t="s">
        <v>29</v>
      </c>
      <c r="C9409" t="str">
        <f t="shared" si="294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293"/>
        <v>13</v>
      </c>
    </row>
    <row r="9410" spans="1:8" x14ac:dyDescent="0.2">
      <c r="A9410" t="s">
        <v>7</v>
      </c>
      <c r="B9410" t="s">
        <v>29</v>
      </c>
      <c r="C9410" t="str">
        <f t="shared" si="294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293"/>
        <v>18</v>
      </c>
    </row>
    <row r="9411" spans="1:8" x14ac:dyDescent="0.2">
      <c r="A9411" t="s">
        <v>7</v>
      </c>
      <c r="B9411" t="s">
        <v>29</v>
      </c>
      <c r="C9411" t="str">
        <f t="shared" si="294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ref="H9411:H9474" si="295">F9411-G9411</f>
        <v>13</v>
      </c>
    </row>
    <row r="9412" spans="1:8" x14ac:dyDescent="0.2">
      <c r="A9412" t="s">
        <v>7</v>
      </c>
      <c r="B9412" t="s">
        <v>29</v>
      </c>
      <c r="C9412" t="str">
        <f t="shared" si="294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295"/>
        <v>12</v>
      </c>
    </row>
    <row r="9413" spans="1:8" x14ac:dyDescent="0.2">
      <c r="A9413" t="s">
        <v>7</v>
      </c>
      <c r="B9413" t="s">
        <v>29</v>
      </c>
      <c r="C9413" t="str">
        <f t="shared" ref="C9413:C9476" si="296">IF(H9413&gt;=0,"Cumple","No cumple")</f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295"/>
        <v>12</v>
      </c>
    </row>
    <row r="9414" spans="1:8" x14ac:dyDescent="0.2">
      <c r="A9414" t="s">
        <v>7</v>
      </c>
      <c r="B9414" t="s">
        <v>29</v>
      </c>
      <c r="C9414" t="str">
        <f t="shared" si="296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295"/>
        <v>12</v>
      </c>
    </row>
    <row r="9415" spans="1:8" x14ac:dyDescent="0.2">
      <c r="A9415" t="s">
        <v>7</v>
      </c>
      <c r="B9415" t="s">
        <v>29</v>
      </c>
      <c r="C9415" t="str">
        <f t="shared" si="296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295"/>
        <v>17</v>
      </c>
    </row>
    <row r="9416" spans="1:8" x14ac:dyDescent="0.2">
      <c r="A9416" t="s">
        <v>7</v>
      </c>
      <c r="B9416" t="s">
        <v>29</v>
      </c>
      <c r="C9416" t="str">
        <f t="shared" si="296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295"/>
        <v>17</v>
      </c>
    </row>
    <row r="9417" spans="1:8" x14ac:dyDescent="0.2">
      <c r="A9417" t="s">
        <v>7</v>
      </c>
      <c r="B9417" t="s">
        <v>29</v>
      </c>
      <c r="C9417" t="str">
        <f t="shared" si="296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295"/>
        <v>12</v>
      </c>
    </row>
    <row r="9418" spans="1:8" x14ac:dyDescent="0.2">
      <c r="A9418" t="s">
        <v>7</v>
      </c>
      <c r="B9418" t="s">
        <v>29</v>
      </c>
      <c r="C9418" t="str">
        <f t="shared" si="296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295"/>
        <v>16</v>
      </c>
    </row>
    <row r="9419" spans="1:8" x14ac:dyDescent="0.2">
      <c r="A9419" t="s">
        <v>7</v>
      </c>
      <c r="B9419" t="s">
        <v>29</v>
      </c>
      <c r="C9419" t="str">
        <f t="shared" si="296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295"/>
        <v>11</v>
      </c>
    </row>
    <row r="9420" spans="1:8" x14ac:dyDescent="0.2">
      <c r="A9420" t="s">
        <v>7</v>
      </c>
      <c r="B9420" t="s">
        <v>29</v>
      </c>
      <c r="C9420" t="str">
        <f t="shared" si="296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295"/>
        <v>11</v>
      </c>
    </row>
    <row r="9421" spans="1:8" x14ac:dyDescent="0.2">
      <c r="A9421" t="s">
        <v>7</v>
      </c>
      <c r="B9421" t="s">
        <v>29</v>
      </c>
      <c r="C9421" t="str">
        <f t="shared" si="296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295"/>
        <v>15</v>
      </c>
    </row>
    <row r="9422" spans="1:8" x14ac:dyDescent="0.2">
      <c r="A9422" t="s">
        <v>7</v>
      </c>
      <c r="B9422" t="s">
        <v>29</v>
      </c>
      <c r="C9422" t="str">
        <f t="shared" si="296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295"/>
        <v>10</v>
      </c>
    </row>
    <row r="9423" spans="1:8" x14ac:dyDescent="0.2">
      <c r="A9423" t="s">
        <v>7</v>
      </c>
      <c r="B9423" t="s">
        <v>29</v>
      </c>
      <c r="C9423" t="str">
        <f t="shared" si="296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295"/>
        <v>10</v>
      </c>
    </row>
    <row r="9424" spans="1:8" x14ac:dyDescent="0.2">
      <c r="A9424" t="s">
        <v>7</v>
      </c>
      <c r="B9424" t="s">
        <v>29</v>
      </c>
      <c r="C9424" t="str">
        <f t="shared" si="296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295"/>
        <v>10</v>
      </c>
    </row>
    <row r="9425" spans="1:8" x14ac:dyDescent="0.2">
      <c r="A9425" t="s">
        <v>7</v>
      </c>
      <c r="B9425" t="s">
        <v>29</v>
      </c>
      <c r="C9425" t="str">
        <f t="shared" si="296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295"/>
        <v>10</v>
      </c>
    </row>
    <row r="9426" spans="1:8" x14ac:dyDescent="0.2">
      <c r="A9426" t="s">
        <v>7</v>
      </c>
      <c r="B9426" t="s">
        <v>29</v>
      </c>
      <c r="C9426" t="str">
        <f t="shared" si="296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295"/>
        <v>10</v>
      </c>
    </row>
    <row r="9427" spans="1:8" x14ac:dyDescent="0.2">
      <c r="A9427" t="s">
        <v>7</v>
      </c>
      <c r="B9427" t="s">
        <v>29</v>
      </c>
      <c r="C9427" t="str">
        <f t="shared" si="296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295"/>
        <v>9</v>
      </c>
    </row>
    <row r="9428" spans="1:8" x14ac:dyDescent="0.2">
      <c r="A9428" t="s">
        <v>7</v>
      </c>
      <c r="B9428" t="s">
        <v>29</v>
      </c>
      <c r="C9428" t="str">
        <f t="shared" si="296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295"/>
        <v>9</v>
      </c>
    </row>
    <row r="9429" spans="1:8" x14ac:dyDescent="0.2">
      <c r="A9429" t="s">
        <v>7</v>
      </c>
      <c r="B9429" t="s">
        <v>29</v>
      </c>
      <c r="C9429" t="str">
        <f t="shared" si="296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295"/>
        <v>9</v>
      </c>
    </row>
    <row r="9430" spans="1:8" x14ac:dyDescent="0.2">
      <c r="A9430" t="s">
        <v>7</v>
      </c>
      <c r="B9430" t="s">
        <v>29</v>
      </c>
      <c r="C9430" t="str">
        <f t="shared" si="296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295"/>
        <v>9</v>
      </c>
    </row>
    <row r="9431" spans="1:8" x14ac:dyDescent="0.2">
      <c r="A9431" t="s">
        <v>7</v>
      </c>
      <c r="B9431" t="s">
        <v>29</v>
      </c>
      <c r="C9431" t="str">
        <f t="shared" si="296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295"/>
        <v>9</v>
      </c>
    </row>
    <row r="9432" spans="1:8" x14ac:dyDescent="0.2">
      <c r="A9432" t="s">
        <v>7</v>
      </c>
      <c r="B9432" t="s">
        <v>29</v>
      </c>
      <c r="C9432" t="str">
        <f t="shared" si="296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295"/>
        <v>9</v>
      </c>
    </row>
    <row r="9433" spans="1:8" x14ac:dyDescent="0.2">
      <c r="A9433" t="s">
        <v>7</v>
      </c>
      <c r="B9433" t="s">
        <v>29</v>
      </c>
      <c r="C9433" t="str">
        <f t="shared" si="296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295"/>
        <v>14</v>
      </c>
    </row>
    <row r="9434" spans="1:8" x14ac:dyDescent="0.2">
      <c r="A9434" t="s">
        <v>7</v>
      </c>
      <c r="B9434" t="s">
        <v>29</v>
      </c>
      <c r="C9434" t="str">
        <f t="shared" si="296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295"/>
        <v>14</v>
      </c>
    </row>
    <row r="9435" spans="1:8" x14ac:dyDescent="0.2">
      <c r="A9435" t="s">
        <v>7</v>
      </c>
      <c r="B9435" t="s">
        <v>29</v>
      </c>
      <c r="C9435" t="str">
        <f t="shared" si="296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295"/>
        <v>14</v>
      </c>
    </row>
    <row r="9436" spans="1:8" x14ac:dyDescent="0.2">
      <c r="A9436" t="s">
        <v>7</v>
      </c>
      <c r="B9436" t="s">
        <v>29</v>
      </c>
      <c r="C9436" t="str">
        <f t="shared" si="296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295"/>
        <v>9</v>
      </c>
    </row>
    <row r="9437" spans="1:8" x14ac:dyDescent="0.2">
      <c r="A9437" t="s">
        <v>7</v>
      </c>
      <c r="B9437" t="s">
        <v>29</v>
      </c>
      <c r="C9437" t="str">
        <f t="shared" si="296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295"/>
        <v>8</v>
      </c>
    </row>
    <row r="9438" spans="1:8" x14ac:dyDescent="0.2">
      <c r="A9438" t="s">
        <v>7</v>
      </c>
      <c r="B9438" t="s">
        <v>29</v>
      </c>
      <c r="C9438" t="str">
        <f t="shared" si="296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295"/>
        <v>8</v>
      </c>
    </row>
    <row r="9439" spans="1:8" x14ac:dyDescent="0.2">
      <c r="A9439" t="s">
        <v>7</v>
      </c>
      <c r="B9439" t="s">
        <v>29</v>
      </c>
      <c r="C9439" t="str">
        <f t="shared" si="296"/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si="295"/>
        <v>8</v>
      </c>
    </row>
    <row r="9440" spans="1:8" x14ac:dyDescent="0.2">
      <c r="A9440" t="s">
        <v>7</v>
      </c>
      <c r="B9440" t="s">
        <v>29</v>
      </c>
      <c r="C9440" t="str">
        <f t="shared" si="296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295"/>
        <v>13</v>
      </c>
    </row>
    <row r="9441" spans="1:8" x14ac:dyDescent="0.2">
      <c r="A9441" t="s">
        <v>7</v>
      </c>
      <c r="B9441" t="s">
        <v>29</v>
      </c>
      <c r="C9441" t="str">
        <f t="shared" si="296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295"/>
        <v>13</v>
      </c>
    </row>
    <row r="9442" spans="1:8" x14ac:dyDescent="0.2">
      <c r="A9442" t="s">
        <v>7</v>
      </c>
      <c r="B9442" t="s">
        <v>29</v>
      </c>
      <c r="C9442" t="str">
        <f t="shared" si="296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295"/>
        <v>8</v>
      </c>
    </row>
    <row r="9443" spans="1:8" x14ac:dyDescent="0.2">
      <c r="A9443" t="s">
        <v>7</v>
      </c>
      <c r="B9443" t="s">
        <v>29</v>
      </c>
      <c r="C9443" t="str">
        <f t="shared" si="296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295"/>
        <v>7</v>
      </c>
    </row>
    <row r="9444" spans="1:8" x14ac:dyDescent="0.2">
      <c r="A9444" t="s">
        <v>7</v>
      </c>
      <c r="B9444" t="s">
        <v>29</v>
      </c>
      <c r="C9444" t="str">
        <f t="shared" si="296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295"/>
        <v>7</v>
      </c>
    </row>
    <row r="9445" spans="1:8" x14ac:dyDescent="0.2">
      <c r="A9445" t="s">
        <v>7</v>
      </c>
      <c r="B9445" t="s">
        <v>29</v>
      </c>
      <c r="C9445" t="str">
        <f t="shared" si="296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295"/>
        <v>7</v>
      </c>
    </row>
    <row r="9446" spans="1:8" x14ac:dyDescent="0.2">
      <c r="A9446" t="s">
        <v>7</v>
      </c>
      <c r="B9446" t="s">
        <v>29</v>
      </c>
      <c r="C9446" t="str">
        <f t="shared" si="296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295"/>
        <v>7</v>
      </c>
    </row>
    <row r="9447" spans="1:8" x14ac:dyDescent="0.2">
      <c r="A9447" t="s">
        <v>7</v>
      </c>
      <c r="B9447" t="s">
        <v>29</v>
      </c>
      <c r="C9447" t="str">
        <f t="shared" si="296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295"/>
        <v>12</v>
      </c>
    </row>
    <row r="9448" spans="1:8" x14ac:dyDescent="0.2">
      <c r="A9448" t="s">
        <v>7</v>
      </c>
      <c r="B9448" t="s">
        <v>29</v>
      </c>
      <c r="C9448" t="str">
        <f t="shared" si="296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295"/>
        <v>7</v>
      </c>
    </row>
    <row r="9449" spans="1:8" x14ac:dyDescent="0.2">
      <c r="A9449" t="s">
        <v>7</v>
      </c>
      <c r="B9449" t="s">
        <v>29</v>
      </c>
      <c r="C9449" t="str">
        <f t="shared" si="296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295"/>
        <v>6</v>
      </c>
    </row>
    <row r="9450" spans="1:8" x14ac:dyDescent="0.2">
      <c r="A9450" t="s">
        <v>7</v>
      </c>
      <c r="B9450" t="s">
        <v>29</v>
      </c>
      <c r="C9450" t="str">
        <f t="shared" si="296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295"/>
        <v>6</v>
      </c>
    </row>
    <row r="9451" spans="1:8" x14ac:dyDescent="0.2">
      <c r="A9451" t="s">
        <v>7</v>
      </c>
      <c r="B9451" t="s">
        <v>29</v>
      </c>
      <c r="C9451" t="str">
        <f t="shared" si="296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295"/>
        <v>5</v>
      </c>
    </row>
    <row r="9452" spans="1:8" x14ac:dyDescent="0.2">
      <c r="A9452" t="s">
        <v>7</v>
      </c>
      <c r="B9452" t="s">
        <v>29</v>
      </c>
      <c r="C9452" t="str">
        <f t="shared" si="296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295"/>
        <v>5</v>
      </c>
    </row>
    <row r="9453" spans="1:8" x14ac:dyDescent="0.2">
      <c r="A9453" t="s">
        <v>7</v>
      </c>
      <c r="B9453" t="s">
        <v>29</v>
      </c>
      <c r="C9453" t="str">
        <f t="shared" si="296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295"/>
        <v>10</v>
      </c>
    </row>
    <row r="9454" spans="1:8" x14ac:dyDescent="0.2">
      <c r="A9454" t="s">
        <v>7</v>
      </c>
      <c r="B9454" t="s">
        <v>29</v>
      </c>
      <c r="C9454" t="str">
        <f t="shared" si="296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295"/>
        <v>5</v>
      </c>
    </row>
    <row r="9455" spans="1:8" x14ac:dyDescent="0.2">
      <c r="A9455" t="s">
        <v>7</v>
      </c>
      <c r="B9455" t="s">
        <v>29</v>
      </c>
      <c r="C9455" t="str">
        <f t="shared" si="296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295"/>
        <v>5</v>
      </c>
    </row>
    <row r="9456" spans="1:8" x14ac:dyDescent="0.2">
      <c r="A9456" t="s">
        <v>7</v>
      </c>
      <c r="B9456" t="s">
        <v>29</v>
      </c>
      <c r="C9456" t="str">
        <f t="shared" si="296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295"/>
        <v>5</v>
      </c>
    </row>
    <row r="9457" spans="1:8" x14ac:dyDescent="0.2">
      <c r="A9457" t="s">
        <v>7</v>
      </c>
      <c r="B9457" t="s">
        <v>29</v>
      </c>
      <c r="C9457" t="str">
        <f t="shared" si="296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295"/>
        <v>10</v>
      </c>
    </row>
    <row r="9458" spans="1:8" x14ac:dyDescent="0.2">
      <c r="A9458" t="s">
        <v>7</v>
      </c>
      <c r="B9458" t="s">
        <v>29</v>
      </c>
      <c r="C9458" t="str">
        <f t="shared" si="296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295"/>
        <v>5</v>
      </c>
    </row>
    <row r="9459" spans="1:8" x14ac:dyDescent="0.2">
      <c r="A9459" t="s">
        <v>7</v>
      </c>
      <c r="B9459" t="s">
        <v>29</v>
      </c>
      <c r="C9459" t="str">
        <f t="shared" si="296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295"/>
        <v>10</v>
      </c>
    </row>
    <row r="9460" spans="1:8" x14ac:dyDescent="0.2">
      <c r="A9460" t="s">
        <v>7</v>
      </c>
      <c r="B9460" t="s">
        <v>29</v>
      </c>
      <c r="C9460" t="str">
        <f t="shared" si="296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295"/>
        <v>5</v>
      </c>
    </row>
    <row r="9461" spans="1:8" x14ac:dyDescent="0.2">
      <c r="A9461" t="s">
        <v>7</v>
      </c>
      <c r="B9461" t="s">
        <v>29</v>
      </c>
      <c r="C9461" t="str">
        <f t="shared" si="296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295"/>
        <v>9</v>
      </c>
    </row>
    <row r="9462" spans="1:8" x14ac:dyDescent="0.2">
      <c r="A9462" t="s">
        <v>7</v>
      </c>
      <c r="B9462" t="s">
        <v>29</v>
      </c>
      <c r="C9462" t="str">
        <f t="shared" si="296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295"/>
        <v>4</v>
      </c>
    </row>
    <row r="9463" spans="1:8" x14ac:dyDescent="0.2">
      <c r="A9463" t="s">
        <v>7</v>
      </c>
      <c r="B9463" t="s">
        <v>29</v>
      </c>
      <c r="C9463" t="str">
        <f t="shared" si="296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295"/>
        <v>4</v>
      </c>
    </row>
    <row r="9464" spans="1:8" x14ac:dyDescent="0.2">
      <c r="A9464" t="s">
        <v>7</v>
      </c>
      <c r="B9464" t="s">
        <v>29</v>
      </c>
      <c r="C9464" t="str">
        <f t="shared" si="296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295"/>
        <v>4</v>
      </c>
    </row>
    <row r="9465" spans="1:8" x14ac:dyDescent="0.2">
      <c r="A9465" t="s">
        <v>7</v>
      </c>
      <c r="B9465" t="s">
        <v>29</v>
      </c>
      <c r="C9465" t="str">
        <f t="shared" si="296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295"/>
        <v>4</v>
      </c>
    </row>
    <row r="9466" spans="1:8" x14ac:dyDescent="0.2">
      <c r="A9466" t="s">
        <v>7</v>
      </c>
      <c r="B9466" t="s">
        <v>29</v>
      </c>
      <c r="C9466" t="str">
        <f t="shared" si="296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295"/>
        <v>4</v>
      </c>
    </row>
    <row r="9467" spans="1:8" x14ac:dyDescent="0.2">
      <c r="A9467" t="s">
        <v>7</v>
      </c>
      <c r="B9467" t="s">
        <v>29</v>
      </c>
      <c r="C9467" t="str">
        <f t="shared" si="296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295"/>
        <v>4</v>
      </c>
    </row>
    <row r="9468" spans="1:8" x14ac:dyDescent="0.2">
      <c r="A9468" t="s">
        <v>7</v>
      </c>
      <c r="B9468" t="s">
        <v>29</v>
      </c>
      <c r="C9468" t="str">
        <f t="shared" si="296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295"/>
        <v>3</v>
      </c>
    </row>
    <row r="9469" spans="1:8" x14ac:dyDescent="0.2">
      <c r="A9469" t="s">
        <v>7</v>
      </c>
      <c r="B9469" t="s">
        <v>29</v>
      </c>
      <c r="C9469" t="str">
        <f t="shared" si="296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295"/>
        <v>8</v>
      </c>
    </row>
    <row r="9470" spans="1:8" x14ac:dyDescent="0.2">
      <c r="A9470" t="s">
        <v>7</v>
      </c>
      <c r="B9470" t="s">
        <v>29</v>
      </c>
      <c r="C9470" t="str">
        <f t="shared" si="296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295"/>
        <v>3</v>
      </c>
    </row>
    <row r="9471" spans="1:8" x14ac:dyDescent="0.2">
      <c r="A9471" t="s">
        <v>7</v>
      </c>
      <c r="B9471" t="s">
        <v>29</v>
      </c>
      <c r="C9471" t="str">
        <f t="shared" si="296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295"/>
        <v>8</v>
      </c>
    </row>
    <row r="9472" spans="1:8" x14ac:dyDescent="0.2">
      <c r="A9472" t="s">
        <v>7</v>
      </c>
      <c r="B9472" t="s">
        <v>29</v>
      </c>
      <c r="C9472" t="str">
        <f t="shared" si="296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295"/>
        <v>8</v>
      </c>
    </row>
    <row r="9473" spans="1:8" x14ac:dyDescent="0.2">
      <c r="A9473" t="s">
        <v>7</v>
      </c>
      <c r="B9473" t="s">
        <v>29</v>
      </c>
      <c r="C9473" t="str">
        <f t="shared" si="296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295"/>
        <v>3</v>
      </c>
    </row>
    <row r="9474" spans="1:8" x14ac:dyDescent="0.2">
      <c r="A9474" t="s">
        <v>7</v>
      </c>
      <c r="B9474" t="s">
        <v>29</v>
      </c>
      <c r="C9474" t="str">
        <f t="shared" si="296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295"/>
        <v>3</v>
      </c>
    </row>
    <row r="9475" spans="1:8" x14ac:dyDescent="0.2">
      <c r="A9475" t="s">
        <v>7</v>
      </c>
      <c r="B9475" t="s">
        <v>29</v>
      </c>
      <c r="C9475" t="str">
        <f t="shared" si="296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ref="H9475:H9538" si="297">F9475-G9475</f>
        <v>8</v>
      </c>
    </row>
    <row r="9476" spans="1:8" x14ac:dyDescent="0.2">
      <c r="A9476" t="s">
        <v>7</v>
      </c>
      <c r="B9476" t="s">
        <v>29</v>
      </c>
      <c r="C9476" t="str">
        <f t="shared" si="296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297"/>
        <v>7</v>
      </c>
    </row>
    <row r="9477" spans="1:8" x14ac:dyDescent="0.2">
      <c r="A9477" t="s">
        <v>7</v>
      </c>
      <c r="B9477" t="s">
        <v>29</v>
      </c>
      <c r="C9477" t="str">
        <f t="shared" ref="C9477:C9540" si="298">IF(H9477&gt;=0,"Cumple","No cumple")</f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297"/>
        <v>7</v>
      </c>
    </row>
    <row r="9478" spans="1:8" x14ac:dyDescent="0.2">
      <c r="A9478" t="s">
        <v>7</v>
      </c>
      <c r="B9478" t="s">
        <v>29</v>
      </c>
      <c r="C9478" t="str">
        <f t="shared" si="298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297"/>
        <v>7</v>
      </c>
    </row>
    <row r="9479" spans="1:8" x14ac:dyDescent="0.2">
      <c r="A9479" t="s">
        <v>7</v>
      </c>
      <c r="B9479" t="s">
        <v>29</v>
      </c>
      <c r="C9479" t="str">
        <f t="shared" si="298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297"/>
        <v>7</v>
      </c>
    </row>
    <row r="9480" spans="1:8" x14ac:dyDescent="0.2">
      <c r="A9480" t="s">
        <v>7</v>
      </c>
      <c r="B9480" t="s">
        <v>29</v>
      </c>
      <c r="C9480" t="str">
        <f t="shared" si="298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297"/>
        <v>7</v>
      </c>
    </row>
    <row r="9481" spans="1:8" x14ac:dyDescent="0.2">
      <c r="A9481" t="s">
        <v>7</v>
      </c>
      <c r="B9481" t="s">
        <v>29</v>
      </c>
      <c r="C9481" t="str">
        <f t="shared" si="298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297"/>
        <v>2</v>
      </c>
    </row>
    <row r="9482" spans="1:8" x14ac:dyDescent="0.2">
      <c r="A9482" t="s">
        <v>7</v>
      </c>
      <c r="B9482" t="s">
        <v>29</v>
      </c>
      <c r="C9482" t="str">
        <f t="shared" si="298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297"/>
        <v>1</v>
      </c>
    </row>
    <row r="9483" spans="1:8" x14ac:dyDescent="0.2">
      <c r="A9483" t="s">
        <v>7</v>
      </c>
      <c r="B9483" t="s">
        <v>29</v>
      </c>
      <c r="C9483" t="str">
        <f t="shared" si="298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297"/>
        <v>1</v>
      </c>
    </row>
    <row r="9484" spans="1:8" x14ac:dyDescent="0.2">
      <c r="A9484" t="s">
        <v>7</v>
      </c>
      <c r="B9484" t="s">
        <v>29</v>
      </c>
      <c r="C9484" t="str">
        <f t="shared" si="298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297"/>
        <v>1</v>
      </c>
    </row>
    <row r="9485" spans="1:8" x14ac:dyDescent="0.2">
      <c r="A9485" t="s">
        <v>7</v>
      </c>
      <c r="B9485" t="s">
        <v>29</v>
      </c>
      <c r="C9485" t="str">
        <f t="shared" si="298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297"/>
        <v>6</v>
      </c>
    </row>
    <row r="9486" spans="1:8" x14ac:dyDescent="0.2">
      <c r="A9486" t="s">
        <v>7</v>
      </c>
      <c r="B9486" t="s">
        <v>29</v>
      </c>
      <c r="C9486" t="str">
        <f t="shared" si="298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297"/>
        <v>1</v>
      </c>
    </row>
    <row r="9487" spans="1:8" x14ac:dyDescent="0.2">
      <c r="A9487" t="s">
        <v>7</v>
      </c>
      <c r="B9487" t="s">
        <v>29</v>
      </c>
      <c r="C9487" t="str">
        <f t="shared" si="298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297"/>
        <v>0</v>
      </c>
    </row>
    <row r="9488" spans="1:8" x14ac:dyDescent="0.2">
      <c r="A9488" t="s">
        <v>7</v>
      </c>
      <c r="B9488" t="s">
        <v>29</v>
      </c>
      <c r="C9488" t="str">
        <f t="shared" si="298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297"/>
        <v>0</v>
      </c>
    </row>
    <row r="9489" spans="1:8" x14ac:dyDescent="0.2">
      <c r="A9489" t="s">
        <v>7</v>
      </c>
      <c r="B9489" t="s">
        <v>29</v>
      </c>
      <c r="C9489" t="str">
        <f t="shared" si="298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297"/>
        <v>5</v>
      </c>
    </row>
    <row r="9490" spans="1:8" x14ac:dyDescent="0.2">
      <c r="A9490" t="s">
        <v>7</v>
      </c>
      <c r="B9490" t="s">
        <v>29</v>
      </c>
      <c r="C9490" t="str">
        <f t="shared" si="298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297"/>
        <v>5</v>
      </c>
    </row>
    <row r="9491" spans="1:8" x14ac:dyDescent="0.2">
      <c r="A9491" t="s">
        <v>7</v>
      </c>
      <c r="B9491" t="s">
        <v>29</v>
      </c>
      <c r="C9491" t="str">
        <f t="shared" si="298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297"/>
        <v>4</v>
      </c>
    </row>
    <row r="9492" spans="1:8" x14ac:dyDescent="0.2">
      <c r="A9492" t="s">
        <v>7</v>
      </c>
      <c r="B9492" t="s">
        <v>29</v>
      </c>
      <c r="C9492" t="str">
        <f t="shared" si="298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297"/>
        <v>4</v>
      </c>
    </row>
    <row r="9493" spans="1:8" x14ac:dyDescent="0.2">
      <c r="A9493" t="s">
        <v>7</v>
      </c>
      <c r="B9493" t="s">
        <v>29</v>
      </c>
      <c r="C9493" t="str">
        <f t="shared" si="298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297"/>
        <v>-1</v>
      </c>
    </row>
    <row r="9494" spans="1:8" x14ac:dyDescent="0.2">
      <c r="A9494" t="s">
        <v>7</v>
      </c>
      <c r="B9494" t="s">
        <v>29</v>
      </c>
      <c r="C9494" t="str">
        <f t="shared" si="298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297"/>
        <v>4</v>
      </c>
    </row>
    <row r="9495" spans="1:8" x14ac:dyDescent="0.2">
      <c r="A9495" t="s">
        <v>7</v>
      </c>
      <c r="B9495" t="s">
        <v>29</v>
      </c>
      <c r="C9495" t="str">
        <f t="shared" si="298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297"/>
        <v>-1</v>
      </c>
    </row>
    <row r="9496" spans="1:8" x14ac:dyDescent="0.2">
      <c r="A9496" t="s">
        <v>7</v>
      </c>
      <c r="B9496" t="s">
        <v>29</v>
      </c>
      <c r="C9496" t="str">
        <f t="shared" si="298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297"/>
        <v>4</v>
      </c>
    </row>
    <row r="9497" spans="1:8" x14ac:dyDescent="0.2">
      <c r="A9497" t="s">
        <v>7</v>
      </c>
      <c r="B9497" t="s">
        <v>29</v>
      </c>
      <c r="C9497" t="str">
        <f t="shared" si="298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297"/>
        <v>-2</v>
      </c>
    </row>
    <row r="9498" spans="1:8" x14ac:dyDescent="0.2">
      <c r="A9498" t="s">
        <v>7</v>
      </c>
      <c r="B9498" t="s">
        <v>29</v>
      </c>
      <c r="C9498" t="str">
        <f t="shared" si="298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297"/>
        <v>3</v>
      </c>
    </row>
    <row r="9499" spans="1:8" x14ac:dyDescent="0.2">
      <c r="A9499" t="s">
        <v>7</v>
      </c>
      <c r="B9499" t="s">
        <v>29</v>
      </c>
      <c r="C9499" t="str">
        <f t="shared" si="298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297"/>
        <v>-2</v>
      </c>
    </row>
    <row r="9500" spans="1:8" x14ac:dyDescent="0.2">
      <c r="A9500" t="s">
        <v>7</v>
      </c>
      <c r="B9500" t="s">
        <v>29</v>
      </c>
      <c r="C9500" t="str">
        <f t="shared" si="298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297"/>
        <v>3</v>
      </c>
    </row>
    <row r="9501" spans="1:8" x14ac:dyDescent="0.2">
      <c r="A9501" t="s">
        <v>7</v>
      </c>
      <c r="B9501" t="s">
        <v>29</v>
      </c>
      <c r="C9501" t="str">
        <f t="shared" si="298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297"/>
        <v>2</v>
      </c>
    </row>
    <row r="9502" spans="1:8" x14ac:dyDescent="0.2">
      <c r="A9502" t="s">
        <v>7</v>
      </c>
      <c r="B9502" t="s">
        <v>29</v>
      </c>
      <c r="C9502" t="str">
        <f t="shared" si="298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297"/>
        <v>2</v>
      </c>
    </row>
    <row r="9503" spans="1:8" x14ac:dyDescent="0.2">
      <c r="A9503" t="s">
        <v>7</v>
      </c>
      <c r="B9503" t="s">
        <v>29</v>
      </c>
      <c r="C9503" t="str">
        <f t="shared" si="298"/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si="297"/>
        <v>2</v>
      </c>
    </row>
    <row r="9504" spans="1:8" x14ac:dyDescent="0.2">
      <c r="A9504" t="s">
        <v>7</v>
      </c>
      <c r="B9504" t="s">
        <v>29</v>
      </c>
      <c r="C9504" t="str">
        <f t="shared" si="298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297"/>
        <v>2</v>
      </c>
    </row>
    <row r="9505" spans="1:8" x14ac:dyDescent="0.2">
      <c r="A9505" t="s">
        <v>7</v>
      </c>
      <c r="B9505" t="s">
        <v>29</v>
      </c>
      <c r="C9505" t="str">
        <f t="shared" si="298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297"/>
        <v>1</v>
      </c>
    </row>
    <row r="9506" spans="1:8" x14ac:dyDescent="0.2">
      <c r="A9506" t="s">
        <v>7</v>
      </c>
      <c r="B9506" t="s">
        <v>29</v>
      </c>
      <c r="C9506" t="str">
        <f t="shared" si="298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297"/>
        <v>-4</v>
      </c>
    </row>
    <row r="9507" spans="1:8" x14ac:dyDescent="0.2">
      <c r="A9507" t="s">
        <v>7</v>
      </c>
      <c r="B9507" t="s">
        <v>29</v>
      </c>
      <c r="C9507" t="str">
        <f t="shared" si="298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297"/>
        <v>1</v>
      </c>
    </row>
    <row r="9508" spans="1:8" x14ac:dyDescent="0.2">
      <c r="A9508" t="s">
        <v>7</v>
      </c>
      <c r="B9508" t="s">
        <v>29</v>
      </c>
      <c r="C9508" t="str">
        <f t="shared" si="298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297"/>
        <v>1</v>
      </c>
    </row>
    <row r="9509" spans="1:8" x14ac:dyDescent="0.2">
      <c r="A9509" t="s">
        <v>7</v>
      </c>
      <c r="B9509" t="s">
        <v>29</v>
      </c>
      <c r="C9509" t="str">
        <f t="shared" si="298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297"/>
        <v>0</v>
      </c>
    </row>
    <row r="9510" spans="1:8" x14ac:dyDescent="0.2">
      <c r="A9510" t="s">
        <v>7</v>
      </c>
      <c r="B9510" t="s">
        <v>29</v>
      </c>
      <c r="C9510" t="str">
        <f t="shared" si="298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297"/>
        <v>0</v>
      </c>
    </row>
    <row r="9511" spans="1:8" x14ac:dyDescent="0.2">
      <c r="A9511" t="s">
        <v>7</v>
      </c>
      <c r="B9511" t="s">
        <v>29</v>
      </c>
      <c r="C9511" t="str">
        <f t="shared" si="298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297"/>
        <v>0</v>
      </c>
    </row>
    <row r="9512" spans="1:8" x14ac:dyDescent="0.2">
      <c r="A9512" t="s">
        <v>7</v>
      </c>
      <c r="B9512" t="s">
        <v>29</v>
      </c>
      <c r="C9512" t="str">
        <f t="shared" si="298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297"/>
        <v>0</v>
      </c>
    </row>
    <row r="9513" spans="1:8" x14ac:dyDescent="0.2">
      <c r="A9513" t="s">
        <v>7</v>
      </c>
      <c r="B9513" t="s">
        <v>29</v>
      </c>
      <c r="C9513" t="str">
        <f t="shared" si="298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297"/>
        <v>-1</v>
      </c>
    </row>
    <row r="9514" spans="1:8" x14ac:dyDescent="0.2">
      <c r="A9514" t="s">
        <v>7</v>
      </c>
      <c r="B9514" t="s">
        <v>29</v>
      </c>
      <c r="C9514" t="str">
        <f t="shared" si="298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297"/>
        <v>-1</v>
      </c>
    </row>
    <row r="9515" spans="1:8" x14ac:dyDescent="0.2">
      <c r="A9515" t="s">
        <v>7</v>
      </c>
      <c r="B9515" t="s">
        <v>29</v>
      </c>
      <c r="C9515" t="str">
        <f t="shared" si="298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297"/>
        <v>-1</v>
      </c>
    </row>
    <row r="9516" spans="1:8" x14ac:dyDescent="0.2">
      <c r="A9516" t="s">
        <v>7</v>
      </c>
      <c r="B9516" t="s">
        <v>29</v>
      </c>
      <c r="C9516" t="str">
        <f t="shared" si="298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297"/>
        <v>-2</v>
      </c>
    </row>
    <row r="9517" spans="1:8" x14ac:dyDescent="0.2">
      <c r="A9517" t="s">
        <v>7</v>
      </c>
      <c r="B9517" t="s">
        <v>29</v>
      </c>
      <c r="C9517" t="str">
        <f t="shared" si="298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297"/>
        <v>-2</v>
      </c>
    </row>
    <row r="9518" spans="1:8" x14ac:dyDescent="0.2">
      <c r="A9518" t="s">
        <v>7</v>
      </c>
      <c r="B9518" t="s">
        <v>29</v>
      </c>
      <c r="C9518" t="str">
        <f t="shared" si="298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297"/>
        <v>-2</v>
      </c>
    </row>
    <row r="9519" spans="1:8" x14ac:dyDescent="0.2">
      <c r="A9519" t="s">
        <v>7</v>
      </c>
      <c r="B9519" t="s">
        <v>29</v>
      </c>
      <c r="C9519" t="str">
        <f t="shared" si="298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297"/>
        <v>-2</v>
      </c>
    </row>
    <row r="9520" spans="1:8" x14ac:dyDescent="0.2">
      <c r="A9520" t="s">
        <v>7</v>
      </c>
      <c r="B9520" t="s">
        <v>29</v>
      </c>
      <c r="C9520" t="str">
        <f t="shared" si="298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297"/>
        <v>-2</v>
      </c>
    </row>
    <row r="9521" spans="1:8" x14ac:dyDescent="0.2">
      <c r="A9521" t="s">
        <v>7</v>
      </c>
      <c r="B9521" t="s">
        <v>29</v>
      </c>
      <c r="C9521" t="str">
        <f t="shared" si="298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297"/>
        <v>-2</v>
      </c>
    </row>
    <row r="9522" spans="1:8" x14ac:dyDescent="0.2">
      <c r="A9522" t="s">
        <v>7</v>
      </c>
      <c r="B9522" t="s">
        <v>29</v>
      </c>
      <c r="C9522" t="str">
        <f t="shared" si="298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297"/>
        <v>-3</v>
      </c>
    </row>
    <row r="9523" spans="1:8" x14ac:dyDescent="0.2">
      <c r="A9523" t="s">
        <v>7</v>
      </c>
      <c r="B9523" t="s">
        <v>29</v>
      </c>
      <c r="C9523" t="str">
        <f t="shared" si="298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297"/>
        <v>-8</v>
      </c>
    </row>
    <row r="9524" spans="1:8" x14ac:dyDescent="0.2">
      <c r="A9524" t="s">
        <v>7</v>
      </c>
      <c r="B9524" t="s">
        <v>29</v>
      </c>
      <c r="C9524" t="str">
        <f t="shared" si="298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297"/>
        <v>-3</v>
      </c>
    </row>
    <row r="9525" spans="1:8" x14ac:dyDescent="0.2">
      <c r="A9525" t="s">
        <v>7</v>
      </c>
      <c r="B9525" t="s">
        <v>29</v>
      </c>
      <c r="C9525" t="str">
        <f t="shared" si="298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297"/>
        <v>-4</v>
      </c>
    </row>
    <row r="9526" spans="1:8" x14ac:dyDescent="0.2">
      <c r="A9526" t="s">
        <v>7</v>
      </c>
      <c r="B9526" t="s">
        <v>29</v>
      </c>
      <c r="C9526" t="str">
        <f t="shared" si="298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297"/>
        <v>-4</v>
      </c>
    </row>
    <row r="9527" spans="1:8" x14ac:dyDescent="0.2">
      <c r="A9527" t="s">
        <v>7</v>
      </c>
      <c r="B9527" t="s">
        <v>29</v>
      </c>
      <c r="C9527" t="str">
        <f t="shared" si="298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297"/>
        <v>-4</v>
      </c>
    </row>
    <row r="9528" spans="1:8" x14ac:dyDescent="0.2">
      <c r="A9528" t="s">
        <v>7</v>
      </c>
      <c r="B9528" t="s">
        <v>29</v>
      </c>
      <c r="C9528" t="str">
        <f t="shared" si="298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297"/>
        <v>-5</v>
      </c>
    </row>
    <row r="9529" spans="1:8" x14ac:dyDescent="0.2">
      <c r="A9529" t="s">
        <v>7</v>
      </c>
      <c r="B9529" t="s">
        <v>29</v>
      </c>
      <c r="C9529" t="str">
        <f t="shared" si="298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297"/>
        <v>-10</v>
      </c>
    </row>
    <row r="9530" spans="1:8" x14ac:dyDescent="0.2">
      <c r="A9530" t="s">
        <v>7</v>
      </c>
      <c r="B9530" t="s">
        <v>29</v>
      </c>
      <c r="C9530" t="str">
        <f t="shared" si="298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297"/>
        <v>-5</v>
      </c>
    </row>
    <row r="9531" spans="1:8" x14ac:dyDescent="0.2">
      <c r="A9531" t="s">
        <v>7</v>
      </c>
      <c r="B9531" t="s">
        <v>29</v>
      </c>
      <c r="C9531" t="str">
        <f t="shared" si="298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297"/>
        <v>-5</v>
      </c>
    </row>
    <row r="9532" spans="1:8" x14ac:dyDescent="0.2">
      <c r="A9532" t="s">
        <v>7</v>
      </c>
      <c r="B9532" t="s">
        <v>29</v>
      </c>
      <c r="C9532" t="str">
        <f t="shared" si="298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297"/>
        <v>-5</v>
      </c>
    </row>
    <row r="9533" spans="1:8" x14ac:dyDescent="0.2">
      <c r="A9533" t="s">
        <v>7</v>
      </c>
      <c r="B9533" t="s">
        <v>29</v>
      </c>
      <c r="C9533" t="str">
        <f t="shared" si="298"/>
        <v>Cumple</v>
      </c>
      <c r="D9533">
        <v>3518</v>
      </c>
      <c r="E9533" t="s">
        <v>12</v>
      </c>
      <c r="F9533" s="9">
        <v>20</v>
      </c>
      <c r="G9533">
        <v>20</v>
      </c>
      <c r="H9533">
        <f t="shared" si="297"/>
        <v>0</v>
      </c>
    </row>
    <row r="9534" spans="1:8" x14ac:dyDescent="0.2">
      <c r="A9534" t="s">
        <v>7</v>
      </c>
      <c r="B9534" t="s">
        <v>29</v>
      </c>
      <c r="C9534" t="str">
        <f t="shared" si="298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297"/>
        <v>-10</v>
      </c>
    </row>
    <row r="9535" spans="1:8" x14ac:dyDescent="0.2">
      <c r="A9535" t="s">
        <v>7</v>
      </c>
      <c r="B9535" t="s">
        <v>29</v>
      </c>
      <c r="C9535" t="str">
        <f t="shared" si="298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297"/>
        <v>-5</v>
      </c>
    </row>
    <row r="9536" spans="1:8" x14ac:dyDescent="0.2">
      <c r="A9536" t="s">
        <v>7</v>
      </c>
      <c r="B9536" t="s">
        <v>29</v>
      </c>
      <c r="C9536" t="str">
        <f t="shared" si="298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297"/>
        <v>-6</v>
      </c>
    </row>
    <row r="9537" spans="1:8" x14ac:dyDescent="0.2">
      <c r="A9537" t="s">
        <v>7</v>
      </c>
      <c r="B9537" t="s">
        <v>29</v>
      </c>
      <c r="C9537" t="str">
        <f t="shared" si="298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297"/>
        <v>-6</v>
      </c>
    </row>
    <row r="9538" spans="1:8" x14ac:dyDescent="0.2">
      <c r="A9538" t="s">
        <v>7</v>
      </c>
      <c r="B9538" t="s">
        <v>29</v>
      </c>
      <c r="C9538" t="str">
        <f t="shared" si="298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297"/>
        <v>-6</v>
      </c>
    </row>
    <row r="9539" spans="1:8" x14ac:dyDescent="0.2">
      <c r="A9539" t="s">
        <v>7</v>
      </c>
      <c r="B9539" t="s">
        <v>29</v>
      </c>
      <c r="C9539" t="str">
        <f t="shared" si="298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ref="H9539:H9602" si="299">F9539-G9539</f>
        <v>-7</v>
      </c>
    </row>
    <row r="9540" spans="1:8" x14ac:dyDescent="0.2">
      <c r="A9540" t="s">
        <v>7</v>
      </c>
      <c r="B9540" t="s">
        <v>29</v>
      </c>
      <c r="C9540" t="str">
        <f t="shared" si="298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299"/>
        <v>-12</v>
      </c>
    </row>
    <row r="9541" spans="1:8" x14ac:dyDescent="0.2">
      <c r="A9541" t="s">
        <v>7</v>
      </c>
      <c r="B9541" t="s">
        <v>29</v>
      </c>
      <c r="C9541" t="str">
        <f t="shared" ref="C9541:C9604" si="300">IF(H9541&gt;=0,"Cumple","No cumple")</f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299"/>
        <v>-7</v>
      </c>
    </row>
    <row r="9542" spans="1:8" x14ac:dyDescent="0.2">
      <c r="A9542" t="s">
        <v>7</v>
      </c>
      <c r="B9542" t="s">
        <v>29</v>
      </c>
      <c r="C9542" t="str">
        <f t="shared" si="300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299"/>
        <v>-7</v>
      </c>
    </row>
    <row r="9543" spans="1:8" x14ac:dyDescent="0.2">
      <c r="A9543" t="s">
        <v>7</v>
      </c>
      <c r="B9543" t="s">
        <v>29</v>
      </c>
      <c r="C9543" t="str">
        <f t="shared" si="300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299"/>
        <v>-13</v>
      </c>
    </row>
    <row r="9544" spans="1:8" x14ac:dyDescent="0.2">
      <c r="A9544" t="s">
        <v>7</v>
      </c>
      <c r="B9544" t="s">
        <v>29</v>
      </c>
      <c r="C9544" t="str">
        <f t="shared" si="300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299"/>
        <v>-8</v>
      </c>
    </row>
    <row r="9545" spans="1:8" x14ac:dyDescent="0.2">
      <c r="A9545" t="s">
        <v>7</v>
      </c>
      <c r="B9545" t="s">
        <v>29</v>
      </c>
      <c r="C9545" t="str">
        <f t="shared" si="300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299"/>
        <v>-9</v>
      </c>
    </row>
    <row r="9546" spans="1:8" x14ac:dyDescent="0.2">
      <c r="A9546" t="s">
        <v>7</v>
      </c>
      <c r="B9546" t="s">
        <v>29</v>
      </c>
      <c r="C9546" t="str">
        <f t="shared" si="300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299"/>
        <v>-9</v>
      </c>
    </row>
    <row r="9547" spans="1:8" x14ac:dyDescent="0.2">
      <c r="A9547" t="s">
        <v>7</v>
      </c>
      <c r="B9547" t="s">
        <v>29</v>
      </c>
      <c r="C9547" t="str">
        <f t="shared" si="300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299"/>
        <v>-9</v>
      </c>
    </row>
    <row r="9548" spans="1:8" x14ac:dyDescent="0.2">
      <c r="A9548" t="s">
        <v>7</v>
      </c>
      <c r="B9548" t="s">
        <v>29</v>
      </c>
      <c r="C9548" t="str">
        <f t="shared" si="300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299"/>
        <v>-9</v>
      </c>
    </row>
    <row r="9549" spans="1:8" x14ac:dyDescent="0.2">
      <c r="A9549" t="s">
        <v>7</v>
      </c>
      <c r="B9549" t="s">
        <v>29</v>
      </c>
      <c r="C9549" t="str">
        <f t="shared" si="300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299"/>
        <v>-10</v>
      </c>
    </row>
    <row r="9550" spans="1:8" x14ac:dyDescent="0.2">
      <c r="A9550" t="s">
        <v>7</v>
      </c>
      <c r="B9550" t="s">
        <v>29</v>
      </c>
      <c r="C9550" t="str">
        <f t="shared" si="300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299"/>
        <v>-10</v>
      </c>
    </row>
    <row r="9551" spans="1:8" x14ac:dyDescent="0.2">
      <c r="A9551" t="s">
        <v>7</v>
      </c>
      <c r="B9551" t="s">
        <v>29</v>
      </c>
      <c r="C9551" t="str">
        <f t="shared" si="300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299"/>
        <v>-10</v>
      </c>
    </row>
    <row r="9552" spans="1:8" x14ac:dyDescent="0.2">
      <c r="A9552" t="s">
        <v>7</v>
      </c>
      <c r="B9552" t="s">
        <v>29</v>
      </c>
      <c r="C9552" t="str">
        <f t="shared" si="300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299"/>
        <v>-10</v>
      </c>
    </row>
    <row r="9553" spans="1:8" x14ac:dyDescent="0.2">
      <c r="A9553" t="s">
        <v>7</v>
      </c>
      <c r="B9553" t="s">
        <v>29</v>
      </c>
      <c r="C9553" t="str">
        <f t="shared" si="300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299"/>
        <v>-15</v>
      </c>
    </row>
    <row r="9554" spans="1:8" x14ac:dyDescent="0.2">
      <c r="A9554" t="s">
        <v>7</v>
      </c>
      <c r="B9554" t="s">
        <v>29</v>
      </c>
      <c r="C9554" t="str">
        <f t="shared" si="300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299"/>
        <v>-11</v>
      </c>
    </row>
    <row r="9555" spans="1:8" x14ac:dyDescent="0.2">
      <c r="A9555" t="s">
        <v>7</v>
      </c>
      <c r="B9555" t="s">
        <v>29</v>
      </c>
      <c r="C9555" t="str">
        <f t="shared" si="300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299"/>
        <v>-11</v>
      </c>
    </row>
    <row r="9556" spans="1:8" x14ac:dyDescent="0.2">
      <c r="A9556" t="s">
        <v>7</v>
      </c>
      <c r="B9556" t="s">
        <v>29</v>
      </c>
      <c r="C9556" t="str">
        <f t="shared" si="300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299"/>
        <v>-11</v>
      </c>
    </row>
    <row r="9557" spans="1:8" x14ac:dyDescent="0.2">
      <c r="A9557" t="s">
        <v>7</v>
      </c>
      <c r="B9557" t="s">
        <v>29</v>
      </c>
      <c r="C9557" t="str">
        <f t="shared" si="300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299"/>
        <v>-12</v>
      </c>
    </row>
    <row r="9558" spans="1:8" x14ac:dyDescent="0.2">
      <c r="A9558" t="s">
        <v>7</v>
      </c>
      <c r="B9558" t="s">
        <v>29</v>
      </c>
      <c r="C9558" t="str">
        <f t="shared" si="300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299"/>
        <v>-13</v>
      </c>
    </row>
    <row r="9559" spans="1:8" x14ac:dyDescent="0.2">
      <c r="A9559" t="s">
        <v>7</v>
      </c>
      <c r="B9559" t="s">
        <v>29</v>
      </c>
      <c r="C9559" t="str">
        <f t="shared" si="300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299"/>
        <v>-13</v>
      </c>
    </row>
    <row r="9560" spans="1:8" x14ac:dyDescent="0.2">
      <c r="A9560" t="s">
        <v>7</v>
      </c>
      <c r="B9560" t="s">
        <v>29</v>
      </c>
      <c r="C9560" t="str">
        <f t="shared" si="300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299"/>
        <v>-13</v>
      </c>
    </row>
    <row r="9561" spans="1:8" x14ac:dyDescent="0.2">
      <c r="A9561" t="s">
        <v>7</v>
      </c>
      <c r="B9561" t="s">
        <v>29</v>
      </c>
      <c r="C9561" t="str">
        <f t="shared" si="300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299"/>
        <v>-13</v>
      </c>
    </row>
    <row r="9562" spans="1:8" x14ac:dyDescent="0.2">
      <c r="A9562" t="s">
        <v>7</v>
      </c>
      <c r="B9562" t="s">
        <v>29</v>
      </c>
      <c r="C9562" t="str">
        <f t="shared" si="300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299"/>
        <v>-13</v>
      </c>
    </row>
    <row r="9563" spans="1:8" x14ac:dyDescent="0.2">
      <c r="A9563" t="s">
        <v>7</v>
      </c>
      <c r="B9563" t="s">
        <v>29</v>
      </c>
      <c r="C9563" t="str">
        <f t="shared" si="300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299"/>
        <v>-13</v>
      </c>
    </row>
    <row r="9564" spans="1:8" x14ac:dyDescent="0.2">
      <c r="A9564" t="s">
        <v>7</v>
      </c>
      <c r="B9564" t="s">
        <v>29</v>
      </c>
      <c r="C9564" t="str">
        <f t="shared" si="300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299"/>
        <v>-13</v>
      </c>
    </row>
    <row r="9565" spans="1:8" x14ac:dyDescent="0.2">
      <c r="A9565" t="s">
        <v>7</v>
      </c>
      <c r="B9565" t="s">
        <v>29</v>
      </c>
      <c r="C9565" t="str">
        <f t="shared" si="300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299"/>
        <v>-14</v>
      </c>
    </row>
    <row r="9566" spans="1:8" x14ac:dyDescent="0.2">
      <c r="A9566" t="s">
        <v>7</v>
      </c>
      <c r="B9566" t="s">
        <v>29</v>
      </c>
      <c r="C9566" t="str">
        <f t="shared" si="300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299"/>
        <v>-14</v>
      </c>
    </row>
    <row r="9567" spans="1:8" x14ac:dyDescent="0.2">
      <c r="A9567" t="s">
        <v>7</v>
      </c>
      <c r="B9567" t="s">
        <v>29</v>
      </c>
      <c r="C9567" t="str">
        <f t="shared" si="300"/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si="299"/>
        <v>-14</v>
      </c>
    </row>
    <row r="9568" spans="1:8" x14ac:dyDescent="0.2">
      <c r="A9568" t="s">
        <v>7</v>
      </c>
      <c r="B9568" t="s">
        <v>29</v>
      </c>
      <c r="C9568" t="str">
        <f t="shared" si="300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299"/>
        <v>-14</v>
      </c>
    </row>
    <row r="9569" spans="1:8" x14ac:dyDescent="0.2">
      <c r="A9569" t="s">
        <v>18</v>
      </c>
      <c r="B9569" t="s">
        <v>29</v>
      </c>
      <c r="C9569" t="str">
        <f t="shared" si="300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299"/>
        <v>-15</v>
      </c>
    </row>
    <row r="9570" spans="1:8" x14ac:dyDescent="0.2">
      <c r="A9570" t="s">
        <v>18</v>
      </c>
      <c r="B9570" t="s">
        <v>29</v>
      </c>
      <c r="C9570" t="str">
        <f t="shared" si="300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299"/>
        <v>-15</v>
      </c>
    </row>
    <row r="9571" spans="1:8" x14ac:dyDescent="0.2">
      <c r="A9571" t="s">
        <v>18</v>
      </c>
      <c r="B9571" t="s">
        <v>29</v>
      </c>
      <c r="C9571" t="str">
        <f t="shared" si="300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299"/>
        <v>-15</v>
      </c>
    </row>
    <row r="9572" spans="1:8" x14ac:dyDescent="0.2">
      <c r="A9572" t="s">
        <v>18</v>
      </c>
      <c r="B9572" t="s">
        <v>29</v>
      </c>
      <c r="C9572" t="str">
        <f t="shared" si="300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299"/>
        <v>-15</v>
      </c>
    </row>
    <row r="9573" spans="1:8" x14ac:dyDescent="0.2">
      <c r="A9573" t="s">
        <v>18</v>
      </c>
      <c r="B9573" t="s">
        <v>29</v>
      </c>
      <c r="C9573" t="str">
        <f t="shared" si="300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299"/>
        <v>-15</v>
      </c>
    </row>
    <row r="9574" spans="1:8" x14ac:dyDescent="0.2">
      <c r="A9574" t="s">
        <v>18</v>
      </c>
      <c r="B9574" t="s">
        <v>29</v>
      </c>
      <c r="C9574" t="str">
        <f t="shared" si="300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299"/>
        <v>-15</v>
      </c>
    </row>
    <row r="9575" spans="1:8" x14ac:dyDescent="0.2">
      <c r="A9575" t="s">
        <v>19</v>
      </c>
      <c r="B9575" t="s">
        <v>29</v>
      </c>
      <c r="C9575" t="str">
        <f t="shared" si="300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299"/>
        <v>-15</v>
      </c>
    </row>
    <row r="9576" spans="1:8" x14ac:dyDescent="0.2">
      <c r="A9576" t="s">
        <v>18</v>
      </c>
      <c r="B9576" t="s">
        <v>29</v>
      </c>
      <c r="C9576" t="str">
        <f t="shared" si="300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299"/>
        <v>-15</v>
      </c>
    </row>
    <row r="9577" spans="1:8" x14ac:dyDescent="0.2">
      <c r="A9577" t="s">
        <v>18</v>
      </c>
      <c r="B9577" t="s">
        <v>29</v>
      </c>
      <c r="C9577" t="str">
        <f t="shared" si="300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299"/>
        <v>-15</v>
      </c>
    </row>
    <row r="9578" spans="1:8" x14ac:dyDescent="0.2">
      <c r="A9578" t="s">
        <v>7</v>
      </c>
      <c r="B9578" t="s">
        <v>29</v>
      </c>
      <c r="C9578" t="str">
        <f t="shared" si="300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299"/>
        <v>-15</v>
      </c>
    </row>
    <row r="9579" spans="1:8" x14ac:dyDescent="0.2">
      <c r="A9579" t="s">
        <v>19</v>
      </c>
      <c r="B9579" t="s">
        <v>29</v>
      </c>
      <c r="C9579" t="str">
        <f t="shared" si="300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299"/>
        <v>-15</v>
      </c>
    </row>
    <row r="9580" spans="1:8" x14ac:dyDescent="0.2">
      <c r="A9580" t="s">
        <v>7</v>
      </c>
      <c r="B9580" t="s">
        <v>29</v>
      </c>
      <c r="C9580" t="str">
        <f t="shared" si="300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299"/>
        <v>-15</v>
      </c>
    </row>
    <row r="9581" spans="1:8" x14ac:dyDescent="0.2">
      <c r="A9581" t="s">
        <v>18</v>
      </c>
      <c r="B9581" t="s">
        <v>29</v>
      </c>
      <c r="C9581" t="str">
        <f t="shared" si="300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299"/>
        <v>-15</v>
      </c>
    </row>
    <row r="9582" spans="1:8" x14ac:dyDescent="0.2">
      <c r="A9582" t="s">
        <v>18</v>
      </c>
      <c r="B9582" t="s">
        <v>29</v>
      </c>
      <c r="C9582" t="str">
        <f t="shared" si="300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299"/>
        <v>-15</v>
      </c>
    </row>
    <row r="9583" spans="1:8" x14ac:dyDescent="0.2">
      <c r="A9583" t="s">
        <v>18</v>
      </c>
      <c r="B9583" t="s">
        <v>29</v>
      </c>
      <c r="C9583" t="str">
        <f t="shared" si="300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299"/>
        <v>-15</v>
      </c>
    </row>
    <row r="9584" spans="1:8" x14ac:dyDescent="0.2">
      <c r="A9584" t="s">
        <v>19</v>
      </c>
      <c r="B9584" t="s">
        <v>29</v>
      </c>
      <c r="C9584" t="str">
        <f t="shared" si="300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299"/>
        <v>-15</v>
      </c>
    </row>
    <row r="9585" spans="1:8" x14ac:dyDescent="0.2">
      <c r="A9585" t="s">
        <v>18</v>
      </c>
      <c r="B9585" t="s">
        <v>29</v>
      </c>
      <c r="C9585" t="str">
        <f t="shared" si="300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299"/>
        <v>-15</v>
      </c>
    </row>
    <row r="9586" spans="1:8" x14ac:dyDescent="0.2">
      <c r="A9586" t="s">
        <v>18</v>
      </c>
      <c r="B9586" t="s">
        <v>29</v>
      </c>
      <c r="C9586" t="str">
        <f t="shared" si="300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299"/>
        <v>-15</v>
      </c>
    </row>
    <row r="9587" spans="1:8" x14ac:dyDescent="0.2">
      <c r="A9587" t="s">
        <v>18</v>
      </c>
      <c r="B9587" t="s">
        <v>29</v>
      </c>
      <c r="C9587" t="str">
        <f t="shared" si="300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299"/>
        <v>-15</v>
      </c>
    </row>
    <row r="9588" spans="1:8" x14ac:dyDescent="0.2">
      <c r="A9588" t="s">
        <v>7</v>
      </c>
      <c r="B9588" t="s">
        <v>29</v>
      </c>
      <c r="C9588" t="str">
        <f t="shared" si="300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299"/>
        <v>-15</v>
      </c>
    </row>
    <row r="9589" spans="1:8" x14ac:dyDescent="0.2">
      <c r="A9589" t="s">
        <v>18</v>
      </c>
      <c r="B9589" t="s">
        <v>29</v>
      </c>
      <c r="C9589" t="str">
        <f t="shared" si="300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299"/>
        <v>-15</v>
      </c>
    </row>
    <row r="9590" spans="1:8" x14ac:dyDescent="0.2">
      <c r="A9590" t="s">
        <v>7</v>
      </c>
      <c r="B9590" t="s">
        <v>29</v>
      </c>
      <c r="C9590" t="str">
        <f t="shared" si="300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299"/>
        <v>-15</v>
      </c>
    </row>
    <row r="9591" spans="1:8" x14ac:dyDescent="0.2">
      <c r="A9591" t="s">
        <v>18</v>
      </c>
      <c r="B9591" t="s">
        <v>29</v>
      </c>
      <c r="C9591" t="str">
        <f t="shared" si="300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299"/>
        <v>-15</v>
      </c>
    </row>
    <row r="9592" spans="1:8" x14ac:dyDescent="0.2">
      <c r="A9592" t="s">
        <v>7</v>
      </c>
      <c r="B9592" t="s">
        <v>29</v>
      </c>
      <c r="C9592" t="str">
        <f t="shared" si="300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299"/>
        <v>-15</v>
      </c>
    </row>
    <row r="9593" spans="1:8" x14ac:dyDescent="0.2">
      <c r="A9593" t="s">
        <v>7</v>
      </c>
      <c r="B9593" t="s">
        <v>29</v>
      </c>
      <c r="C9593" t="str">
        <f t="shared" si="300"/>
        <v>Cumple</v>
      </c>
      <c r="D9593">
        <v>3691</v>
      </c>
      <c r="E9593" t="s">
        <v>13</v>
      </c>
      <c r="F9593">
        <v>14</v>
      </c>
      <c r="G9593">
        <v>6</v>
      </c>
      <c r="H9593">
        <f t="shared" si="299"/>
        <v>8</v>
      </c>
    </row>
    <row r="9594" spans="1:8" x14ac:dyDescent="0.2">
      <c r="A9594" t="s">
        <v>7</v>
      </c>
      <c r="B9594" t="s">
        <v>29</v>
      </c>
      <c r="C9594" t="str">
        <f t="shared" si="300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si="299"/>
        <v>7</v>
      </c>
    </row>
    <row r="9595" spans="1:8" x14ac:dyDescent="0.2">
      <c r="A9595" t="s">
        <v>7</v>
      </c>
      <c r="B9595" t="s">
        <v>29</v>
      </c>
      <c r="C9595" t="str">
        <f t="shared" si="300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299"/>
        <v>7</v>
      </c>
    </row>
    <row r="9596" spans="1:8" x14ac:dyDescent="0.2">
      <c r="A9596" t="s">
        <v>7</v>
      </c>
      <c r="B9596" t="s">
        <v>29</v>
      </c>
      <c r="C9596" t="str">
        <f t="shared" si="300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299"/>
        <v>7</v>
      </c>
    </row>
    <row r="9597" spans="1:8" x14ac:dyDescent="0.2">
      <c r="A9597" t="s">
        <v>7</v>
      </c>
      <c r="B9597" t="s">
        <v>29</v>
      </c>
      <c r="C9597" t="str">
        <f t="shared" si="300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299"/>
        <v>6</v>
      </c>
    </row>
    <row r="9598" spans="1:8" x14ac:dyDescent="0.2">
      <c r="A9598" t="s">
        <v>7</v>
      </c>
      <c r="B9598" t="s">
        <v>29</v>
      </c>
      <c r="C9598" t="str">
        <f t="shared" si="300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299"/>
        <v>6</v>
      </c>
    </row>
    <row r="9599" spans="1:8" x14ac:dyDescent="0.2">
      <c r="A9599" t="s">
        <v>7</v>
      </c>
      <c r="B9599" t="s">
        <v>29</v>
      </c>
      <c r="C9599" t="str">
        <f t="shared" si="300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299"/>
        <v>6</v>
      </c>
    </row>
    <row r="9600" spans="1:8" x14ac:dyDescent="0.2">
      <c r="A9600" t="s">
        <v>7</v>
      </c>
      <c r="B9600" t="s">
        <v>29</v>
      </c>
      <c r="C9600" t="str">
        <f t="shared" si="300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299"/>
        <v>6</v>
      </c>
    </row>
    <row r="9601" spans="1:8" x14ac:dyDescent="0.2">
      <c r="A9601" t="s">
        <v>7</v>
      </c>
      <c r="B9601" t="s">
        <v>29</v>
      </c>
      <c r="C9601" t="str">
        <f t="shared" si="300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299"/>
        <v>6</v>
      </c>
    </row>
    <row r="9602" spans="1:8" x14ac:dyDescent="0.2">
      <c r="A9602" t="s">
        <v>7</v>
      </c>
      <c r="B9602" t="s">
        <v>29</v>
      </c>
      <c r="C9602" t="str">
        <f t="shared" si="300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299"/>
        <v>5</v>
      </c>
    </row>
    <row r="9603" spans="1:8" x14ac:dyDescent="0.2">
      <c r="A9603" t="s">
        <v>7</v>
      </c>
      <c r="B9603" t="s">
        <v>29</v>
      </c>
      <c r="C9603" t="str">
        <f t="shared" si="300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ref="H9603:H9666" si="301">F9603-G9603</f>
        <v>5</v>
      </c>
    </row>
    <row r="9604" spans="1:8" x14ac:dyDescent="0.2">
      <c r="A9604" t="s">
        <v>7</v>
      </c>
      <c r="B9604" t="s">
        <v>29</v>
      </c>
      <c r="C9604" t="str">
        <f t="shared" si="300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01"/>
        <v>5</v>
      </c>
    </row>
    <row r="9605" spans="1:8" x14ac:dyDescent="0.2">
      <c r="A9605" t="s">
        <v>7</v>
      </c>
      <c r="B9605" t="s">
        <v>29</v>
      </c>
      <c r="C9605" t="str">
        <f t="shared" ref="C9605:C9668" si="302">IF(H9605&gt;=0,"Cumple","No cumple")</f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01"/>
        <v>5</v>
      </c>
    </row>
    <row r="9606" spans="1:8" x14ac:dyDescent="0.2">
      <c r="A9606" t="s">
        <v>7</v>
      </c>
      <c r="B9606" t="s">
        <v>29</v>
      </c>
      <c r="C9606" t="str">
        <f t="shared" si="302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01"/>
        <v>5</v>
      </c>
    </row>
    <row r="9607" spans="1:8" x14ac:dyDescent="0.2">
      <c r="A9607" t="s">
        <v>7</v>
      </c>
      <c r="B9607" t="s">
        <v>29</v>
      </c>
      <c r="C9607" t="str">
        <f t="shared" si="302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01"/>
        <v>5</v>
      </c>
    </row>
    <row r="9608" spans="1:8" x14ac:dyDescent="0.2">
      <c r="A9608" t="s">
        <v>7</v>
      </c>
      <c r="B9608" t="s">
        <v>29</v>
      </c>
      <c r="C9608" t="str">
        <f t="shared" si="302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01"/>
        <v>5</v>
      </c>
    </row>
    <row r="9609" spans="1:8" x14ac:dyDescent="0.2">
      <c r="A9609" t="s">
        <v>7</v>
      </c>
      <c r="B9609" t="s">
        <v>29</v>
      </c>
      <c r="C9609" t="str">
        <f t="shared" si="302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01"/>
        <v>5</v>
      </c>
    </row>
    <row r="9610" spans="1:8" x14ac:dyDescent="0.2">
      <c r="A9610" t="s">
        <v>7</v>
      </c>
      <c r="B9610" t="s">
        <v>29</v>
      </c>
      <c r="C9610" t="str">
        <f t="shared" si="302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01"/>
        <v>5</v>
      </c>
    </row>
    <row r="9611" spans="1:8" x14ac:dyDescent="0.2">
      <c r="A9611" t="s">
        <v>7</v>
      </c>
      <c r="B9611" t="s">
        <v>29</v>
      </c>
      <c r="C9611" t="str">
        <f t="shared" si="302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01"/>
        <v>4</v>
      </c>
    </row>
    <row r="9612" spans="1:8" x14ac:dyDescent="0.2">
      <c r="A9612" t="s">
        <v>7</v>
      </c>
      <c r="B9612" t="s">
        <v>29</v>
      </c>
      <c r="C9612" t="str">
        <f t="shared" si="302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01"/>
        <v>4</v>
      </c>
    </row>
    <row r="9613" spans="1:8" x14ac:dyDescent="0.2">
      <c r="A9613" t="s">
        <v>7</v>
      </c>
      <c r="B9613" t="s">
        <v>29</v>
      </c>
      <c r="C9613" t="str">
        <f t="shared" si="302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01"/>
        <v>4</v>
      </c>
    </row>
    <row r="9614" spans="1:8" x14ac:dyDescent="0.2">
      <c r="A9614" t="s">
        <v>7</v>
      </c>
      <c r="B9614" t="s">
        <v>29</v>
      </c>
      <c r="C9614" t="str">
        <f t="shared" si="302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01"/>
        <v>4</v>
      </c>
    </row>
    <row r="9615" spans="1:8" x14ac:dyDescent="0.2">
      <c r="A9615" t="s">
        <v>7</v>
      </c>
      <c r="B9615" t="s">
        <v>29</v>
      </c>
      <c r="C9615" t="str">
        <f t="shared" si="302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01"/>
        <v>7</v>
      </c>
    </row>
    <row r="9616" spans="1:8" x14ac:dyDescent="0.2">
      <c r="A9616" t="s">
        <v>7</v>
      </c>
      <c r="B9616" t="s">
        <v>29</v>
      </c>
      <c r="C9616" t="str">
        <f t="shared" si="302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01"/>
        <v>7</v>
      </c>
    </row>
    <row r="9617" spans="1:8" x14ac:dyDescent="0.2">
      <c r="A9617" t="s">
        <v>7</v>
      </c>
      <c r="B9617" t="s">
        <v>29</v>
      </c>
      <c r="C9617" t="str">
        <f t="shared" si="302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01"/>
        <v>4</v>
      </c>
    </row>
    <row r="9618" spans="1:8" x14ac:dyDescent="0.2">
      <c r="A9618" t="s">
        <v>7</v>
      </c>
      <c r="B9618" t="s">
        <v>29</v>
      </c>
      <c r="C9618" t="str">
        <f t="shared" si="302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01"/>
        <v>4</v>
      </c>
    </row>
    <row r="9619" spans="1:8" x14ac:dyDescent="0.2">
      <c r="A9619" t="s">
        <v>7</v>
      </c>
      <c r="B9619" t="s">
        <v>29</v>
      </c>
      <c r="C9619" t="str">
        <f t="shared" si="302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01"/>
        <v>4</v>
      </c>
    </row>
    <row r="9620" spans="1:8" x14ac:dyDescent="0.2">
      <c r="A9620" t="s">
        <v>7</v>
      </c>
      <c r="B9620" t="s">
        <v>29</v>
      </c>
      <c r="C9620" t="str">
        <f t="shared" si="302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01"/>
        <v>3</v>
      </c>
    </row>
    <row r="9621" spans="1:8" x14ac:dyDescent="0.2">
      <c r="A9621" t="s">
        <v>7</v>
      </c>
      <c r="B9621" t="s">
        <v>29</v>
      </c>
      <c r="C9621" t="str">
        <f t="shared" si="302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01"/>
        <v>3</v>
      </c>
    </row>
    <row r="9622" spans="1:8" x14ac:dyDescent="0.2">
      <c r="A9622" t="s">
        <v>7</v>
      </c>
      <c r="B9622" t="s">
        <v>29</v>
      </c>
      <c r="C9622" t="str">
        <f t="shared" si="302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01"/>
        <v>3</v>
      </c>
    </row>
    <row r="9623" spans="1:8" x14ac:dyDescent="0.2">
      <c r="A9623" t="s">
        <v>7</v>
      </c>
      <c r="B9623" t="s">
        <v>29</v>
      </c>
      <c r="C9623" t="str">
        <f t="shared" si="302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01"/>
        <v>3</v>
      </c>
    </row>
    <row r="9624" spans="1:8" x14ac:dyDescent="0.2">
      <c r="A9624" t="s">
        <v>7</v>
      </c>
      <c r="B9624" t="s">
        <v>29</v>
      </c>
      <c r="C9624" t="str">
        <f t="shared" si="302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01"/>
        <v>3</v>
      </c>
    </row>
    <row r="9625" spans="1:8" x14ac:dyDescent="0.2">
      <c r="A9625" t="s">
        <v>7</v>
      </c>
      <c r="B9625" t="s">
        <v>29</v>
      </c>
      <c r="C9625" t="str">
        <f t="shared" si="302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01"/>
        <v>3</v>
      </c>
    </row>
    <row r="9626" spans="1:8" x14ac:dyDescent="0.2">
      <c r="A9626" t="s">
        <v>7</v>
      </c>
      <c r="B9626" t="s">
        <v>29</v>
      </c>
      <c r="C9626" t="str">
        <f t="shared" si="302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01"/>
        <v>3</v>
      </c>
    </row>
    <row r="9627" spans="1:8" x14ac:dyDescent="0.2">
      <c r="A9627" t="s">
        <v>7</v>
      </c>
      <c r="B9627" t="s">
        <v>29</v>
      </c>
      <c r="C9627" t="str">
        <f t="shared" si="302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01"/>
        <v>3</v>
      </c>
    </row>
    <row r="9628" spans="1:8" x14ac:dyDescent="0.2">
      <c r="A9628" t="s">
        <v>7</v>
      </c>
      <c r="B9628" t="s">
        <v>29</v>
      </c>
      <c r="C9628" t="str">
        <f t="shared" si="302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01"/>
        <v>3</v>
      </c>
    </row>
    <row r="9629" spans="1:8" x14ac:dyDescent="0.2">
      <c r="A9629" t="s">
        <v>7</v>
      </c>
      <c r="B9629" t="s">
        <v>29</v>
      </c>
      <c r="C9629" t="str">
        <f t="shared" si="302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01"/>
        <v>6</v>
      </c>
    </row>
    <row r="9630" spans="1:8" x14ac:dyDescent="0.2">
      <c r="A9630" t="s">
        <v>7</v>
      </c>
      <c r="B9630" t="s">
        <v>29</v>
      </c>
      <c r="C9630" t="str">
        <f t="shared" si="302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01"/>
        <v>3</v>
      </c>
    </row>
    <row r="9631" spans="1:8" x14ac:dyDescent="0.2">
      <c r="A9631" t="s">
        <v>7</v>
      </c>
      <c r="B9631" t="s">
        <v>29</v>
      </c>
      <c r="C9631" t="str">
        <f t="shared" si="302"/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01"/>
        <v>3</v>
      </c>
    </row>
    <row r="9632" spans="1:8" x14ac:dyDescent="0.2">
      <c r="A9632" t="s">
        <v>7</v>
      </c>
      <c r="B9632" t="s">
        <v>29</v>
      </c>
      <c r="C9632" t="str">
        <f t="shared" si="30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01"/>
        <v>3</v>
      </c>
    </row>
    <row r="9633" spans="1:8" x14ac:dyDescent="0.2">
      <c r="A9633" t="s">
        <v>7</v>
      </c>
      <c r="B9633" t="s">
        <v>29</v>
      </c>
      <c r="C9633" t="str">
        <f t="shared" si="30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01"/>
        <v>6</v>
      </c>
    </row>
    <row r="9634" spans="1:8" x14ac:dyDescent="0.2">
      <c r="A9634" t="s">
        <v>7</v>
      </c>
      <c r="B9634" t="s">
        <v>29</v>
      </c>
      <c r="C9634" t="str">
        <f t="shared" si="30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01"/>
        <v>3</v>
      </c>
    </row>
    <row r="9635" spans="1:8" x14ac:dyDescent="0.2">
      <c r="A9635" t="s">
        <v>7</v>
      </c>
      <c r="B9635" t="s">
        <v>29</v>
      </c>
      <c r="C9635" t="str">
        <f t="shared" si="30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01"/>
        <v>3</v>
      </c>
    </row>
    <row r="9636" spans="1:8" x14ac:dyDescent="0.2">
      <c r="A9636" t="s">
        <v>7</v>
      </c>
      <c r="B9636" t="s">
        <v>29</v>
      </c>
      <c r="C9636" t="str">
        <f t="shared" si="30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01"/>
        <v>5</v>
      </c>
    </row>
    <row r="9637" spans="1:8" x14ac:dyDescent="0.2">
      <c r="A9637" t="s">
        <v>7</v>
      </c>
      <c r="B9637" t="s">
        <v>29</v>
      </c>
      <c r="C9637" t="str">
        <f t="shared" si="30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01"/>
        <v>5</v>
      </c>
    </row>
    <row r="9638" spans="1:8" x14ac:dyDescent="0.2">
      <c r="A9638" t="s">
        <v>7</v>
      </c>
      <c r="B9638" t="s">
        <v>29</v>
      </c>
      <c r="C9638" t="str">
        <f t="shared" si="30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01"/>
        <v>2</v>
      </c>
    </row>
    <row r="9639" spans="1:8" x14ac:dyDescent="0.2">
      <c r="A9639" t="s">
        <v>7</v>
      </c>
      <c r="B9639" t="s">
        <v>29</v>
      </c>
      <c r="C9639" t="str">
        <f t="shared" si="30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01"/>
        <v>2</v>
      </c>
    </row>
    <row r="9640" spans="1:8" x14ac:dyDescent="0.2">
      <c r="A9640" t="s">
        <v>7</v>
      </c>
      <c r="B9640" t="s">
        <v>29</v>
      </c>
      <c r="C9640" t="str">
        <f t="shared" si="30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01"/>
        <v>2</v>
      </c>
    </row>
    <row r="9641" spans="1:8" x14ac:dyDescent="0.2">
      <c r="A9641" t="s">
        <v>7</v>
      </c>
      <c r="B9641" t="s">
        <v>29</v>
      </c>
      <c r="C9641" t="str">
        <f t="shared" si="30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01"/>
        <v>2</v>
      </c>
    </row>
    <row r="9642" spans="1:8" x14ac:dyDescent="0.2">
      <c r="A9642" t="s">
        <v>7</v>
      </c>
      <c r="B9642" t="s">
        <v>29</v>
      </c>
      <c r="C9642" t="str">
        <f t="shared" si="30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01"/>
        <v>2</v>
      </c>
    </row>
    <row r="9643" spans="1:8" x14ac:dyDescent="0.2">
      <c r="A9643" t="s">
        <v>7</v>
      </c>
      <c r="B9643" t="s">
        <v>29</v>
      </c>
      <c r="C9643" t="str">
        <f t="shared" si="30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01"/>
        <v>2</v>
      </c>
    </row>
    <row r="9644" spans="1:8" x14ac:dyDescent="0.2">
      <c r="A9644" t="s">
        <v>7</v>
      </c>
      <c r="B9644" t="s">
        <v>29</v>
      </c>
      <c r="C9644" t="str">
        <f t="shared" si="30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01"/>
        <v>2</v>
      </c>
    </row>
    <row r="9645" spans="1:8" x14ac:dyDescent="0.2">
      <c r="A9645" t="s">
        <v>7</v>
      </c>
      <c r="B9645" t="s">
        <v>29</v>
      </c>
      <c r="C9645" t="str">
        <f t="shared" si="30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01"/>
        <v>2</v>
      </c>
    </row>
    <row r="9646" spans="1:8" x14ac:dyDescent="0.2">
      <c r="A9646" t="s">
        <v>7</v>
      </c>
      <c r="B9646" t="s">
        <v>29</v>
      </c>
      <c r="C9646" t="str">
        <f t="shared" si="30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01"/>
        <v>2</v>
      </c>
    </row>
    <row r="9647" spans="1:8" x14ac:dyDescent="0.2">
      <c r="A9647" t="s">
        <v>7</v>
      </c>
      <c r="B9647" t="s">
        <v>29</v>
      </c>
      <c r="C9647" t="str">
        <f t="shared" si="30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01"/>
        <v>2</v>
      </c>
    </row>
    <row r="9648" spans="1:8" x14ac:dyDescent="0.2">
      <c r="A9648" t="s">
        <v>7</v>
      </c>
      <c r="B9648" t="s">
        <v>29</v>
      </c>
      <c r="C9648" t="str">
        <f t="shared" si="30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01"/>
        <v>2</v>
      </c>
    </row>
    <row r="9649" spans="1:8" x14ac:dyDescent="0.2">
      <c r="A9649" t="s">
        <v>7</v>
      </c>
      <c r="B9649" t="s">
        <v>29</v>
      </c>
      <c r="C9649" t="str">
        <f t="shared" si="30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01"/>
        <v>2</v>
      </c>
    </row>
    <row r="9650" spans="1:8" x14ac:dyDescent="0.2">
      <c r="A9650" t="s">
        <v>7</v>
      </c>
      <c r="B9650" t="s">
        <v>29</v>
      </c>
      <c r="C9650" t="str">
        <f t="shared" si="30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01"/>
        <v>2</v>
      </c>
    </row>
    <row r="9651" spans="1:8" x14ac:dyDescent="0.2">
      <c r="A9651" t="s">
        <v>7</v>
      </c>
      <c r="B9651" t="s">
        <v>29</v>
      </c>
      <c r="C9651" t="str">
        <f t="shared" si="30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01"/>
        <v>2</v>
      </c>
    </row>
    <row r="9652" spans="1:8" x14ac:dyDescent="0.2">
      <c r="A9652" t="s">
        <v>7</v>
      </c>
      <c r="B9652" t="s">
        <v>29</v>
      </c>
      <c r="C9652" t="str">
        <f t="shared" si="30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01"/>
        <v>2</v>
      </c>
    </row>
    <row r="9653" spans="1:8" x14ac:dyDescent="0.2">
      <c r="A9653" t="s">
        <v>7</v>
      </c>
      <c r="B9653" t="s">
        <v>29</v>
      </c>
      <c r="C9653" t="str">
        <f t="shared" si="30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01"/>
        <v>5</v>
      </c>
    </row>
    <row r="9654" spans="1:8" x14ac:dyDescent="0.2">
      <c r="A9654" t="s">
        <v>7</v>
      </c>
      <c r="B9654" t="s">
        <v>29</v>
      </c>
      <c r="C9654" t="str">
        <f t="shared" si="30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01"/>
        <v>2</v>
      </c>
    </row>
    <row r="9655" spans="1:8" x14ac:dyDescent="0.2">
      <c r="A9655" t="s">
        <v>7</v>
      </c>
      <c r="B9655" t="s">
        <v>29</v>
      </c>
      <c r="C9655" t="str">
        <f t="shared" si="30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01"/>
        <v>5</v>
      </c>
    </row>
    <row r="9656" spans="1:8" x14ac:dyDescent="0.2">
      <c r="A9656" t="s">
        <v>7</v>
      </c>
      <c r="B9656" t="s">
        <v>29</v>
      </c>
      <c r="C9656" t="str">
        <f t="shared" si="30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01"/>
        <v>5</v>
      </c>
    </row>
    <row r="9657" spans="1:8" x14ac:dyDescent="0.2">
      <c r="A9657" t="s">
        <v>7</v>
      </c>
      <c r="B9657" t="s">
        <v>29</v>
      </c>
      <c r="C9657" t="str">
        <f t="shared" si="30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01"/>
        <v>2</v>
      </c>
    </row>
    <row r="9658" spans="1:8" x14ac:dyDescent="0.2">
      <c r="A9658" t="s">
        <v>7</v>
      </c>
      <c r="B9658" t="s">
        <v>29</v>
      </c>
      <c r="C9658" t="str">
        <f t="shared" si="30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si="301"/>
        <v>2</v>
      </c>
    </row>
    <row r="9659" spans="1:8" x14ac:dyDescent="0.2">
      <c r="A9659" t="s">
        <v>7</v>
      </c>
      <c r="B9659" t="s">
        <v>29</v>
      </c>
      <c r="C9659" t="str">
        <f t="shared" si="30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01"/>
        <v>5</v>
      </c>
    </row>
    <row r="9660" spans="1:8" x14ac:dyDescent="0.2">
      <c r="A9660" t="s">
        <v>7</v>
      </c>
      <c r="B9660" t="s">
        <v>29</v>
      </c>
      <c r="C9660" t="str">
        <f t="shared" si="30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01"/>
        <v>1</v>
      </c>
    </row>
    <row r="9661" spans="1:8" x14ac:dyDescent="0.2">
      <c r="A9661" t="s">
        <v>7</v>
      </c>
      <c r="B9661" t="s">
        <v>29</v>
      </c>
      <c r="C9661" t="str">
        <f t="shared" si="30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01"/>
        <v>1</v>
      </c>
    </row>
    <row r="9662" spans="1:8" x14ac:dyDescent="0.2">
      <c r="A9662" t="s">
        <v>7</v>
      </c>
      <c r="B9662" t="s">
        <v>29</v>
      </c>
      <c r="C9662" t="str">
        <f t="shared" si="30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01"/>
        <v>4</v>
      </c>
    </row>
    <row r="9663" spans="1:8" x14ac:dyDescent="0.2">
      <c r="A9663" t="s">
        <v>7</v>
      </c>
      <c r="B9663" t="s">
        <v>29</v>
      </c>
      <c r="C9663" t="str">
        <f t="shared" si="30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01"/>
        <v>1</v>
      </c>
    </row>
    <row r="9664" spans="1:8" x14ac:dyDescent="0.2">
      <c r="A9664" t="s">
        <v>7</v>
      </c>
      <c r="B9664" t="s">
        <v>29</v>
      </c>
      <c r="C9664" t="str">
        <f t="shared" si="30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01"/>
        <v>1</v>
      </c>
    </row>
    <row r="9665" spans="1:8" x14ac:dyDescent="0.2">
      <c r="A9665" t="s">
        <v>7</v>
      </c>
      <c r="B9665" t="s">
        <v>29</v>
      </c>
      <c r="C9665" t="str">
        <f t="shared" si="30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01"/>
        <v>1</v>
      </c>
    </row>
    <row r="9666" spans="1:8" x14ac:dyDescent="0.2">
      <c r="A9666" t="s">
        <v>7</v>
      </c>
      <c r="B9666" t="s">
        <v>29</v>
      </c>
      <c r="C9666" t="str">
        <f t="shared" si="30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01"/>
        <v>1</v>
      </c>
    </row>
    <row r="9667" spans="1:8" x14ac:dyDescent="0.2">
      <c r="A9667" t="s">
        <v>7</v>
      </c>
      <c r="B9667" t="s">
        <v>29</v>
      </c>
      <c r="C9667" t="str">
        <f t="shared" si="30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ref="H9667:H9730" si="303">F9667-G9667</f>
        <v>1</v>
      </c>
    </row>
    <row r="9668" spans="1:8" x14ac:dyDescent="0.2">
      <c r="A9668" t="s">
        <v>7</v>
      </c>
      <c r="B9668" t="s">
        <v>29</v>
      </c>
      <c r="C9668" t="str">
        <f t="shared" si="30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03"/>
        <v>1</v>
      </c>
    </row>
    <row r="9669" spans="1:8" x14ac:dyDescent="0.2">
      <c r="A9669" t="s">
        <v>7</v>
      </c>
      <c r="B9669" t="s">
        <v>29</v>
      </c>
      <c r="C9669" t="str">
        <f t="shared" ref="C9669:C9732" si="304">IF(H9669&gt;=0,"Cumple","No cumple")</f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03"/>
        <v>4</v>
      </c>
    </row>
    <row r="9670" spans="1:8" x14ac:dyDescent="0.2">
      <c r="A9670" t="s">
        <v>7</v>
      </c>
      <c r="B9670" t="s">
        <v>29</v>
      </c>
      <c r="C9670" t="str">
        <f t="shared" si="304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03"/>
        <v>1</v>
      </c>
    </row>
    <row r="9671" spans="1:8" x14ac:dyDescent="0.2">
      <c r="A9671" t="s">
        <v>7</v>
      </c>
      <c r="B9671" t="s">
        <v>29</v>
      </c>
      <c r="C9671" t="str">
        <f t="shared" si="304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03"/>
        <v>1</v>
      </c>
    </row>
    <row r="9672" spans="1:8" x14ac:dyDescent="0.2">
      <c r="A9672" t="s">
        <v>7</v>
      </c>
      <c r="B9672" t="s">
        <v>29</v>
      </c>
      <c r="C9672" t="str">
        <f t="shared" si="304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03"/>
        <v>1</v>
      </c>
    </row>
    <row r="9673" spans="1:8" x14ac:dyDescent="0.2">
      <c r="A9673" t="s">
        <v>7</v>
      </c>
      <c r="B9673" t="s">
        <v>29</v>
      </c>
      <c r="C9673" t="str">
        <f t="shared" si="304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03"/>
        <v>1</v>
      </c>
    </row>
    <row r="9674" spans="1:8" x14ac:dyDescent="0.2">
      <c r="A9674" t="s">
        <v>7</v>
      </c>
      <c r="B9674" t="s">
        <v>29</v>
      </c>
      <c r="C9674" t="str">
        <f t="shared" si="304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03"/>
        <v>4</v>
      </c>
    </row>
    <row r="9675" spans="1:8" x14ac:dyDescent="0.2">
      <c r="A9675" t="s">
        <v>7</v>
      </c>
      <c r="B9675" t="s">
        <v>29</v>
      </c>
      <c r="C9675" t="str">
        <f t="shared" si="304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03"/>
        <v>1</v>
      </c>
    </row>
    <row r="9676" spans="1:8" x14ac:dyDescent="0.2">
      <c r="A9676" t="s">
        <v>7</v>
      </c>
      <c r="B9676" t="s">
        <v>29</v>
      </c>
      <c r="C9676" t="str">
        <f t="shared" si="304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03"/>
        <v>1</v>
      </c>
    </row>
    <row r="9677" spans="1:8" x14ac:dyDescent="0.2">
      <c r="A9677" t="s">
        <v>7</v>
      </c>
      <c r="B9677" t="s">
        <v>29</v>
      </c>
      <c r="C9677" t="str">
        <f t="shared" si="304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03"/>
        <v>1</v>
      </c>
    </row>
    <row r="9678" spans="1:8" x14ac:dyDescent="0.2">
      <c r="A9678" t="s">
        <v>7</v>
      </c>
      <c r="B9678" t="s">
        <v>29</v>
      </c>
      <c r="C9678" t="str">
        <f t="shared" si="304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03"/>
        <v>1</v>
      </c>
    </row>
    <row r="9679" spans="1:8" x14ac:dyDescent="0.2">
      <c r="A9679" t="s">
        <v>7</v>
      </c>
      <c r="B9679" t="s">
        <v>29</v>
      </c>
      <c r="C9679" t="str">
        <f t="shared" si="304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03"/>
        <v>4</v>
      </c>
    </row>
    <row r="9680" spans="1:8" x14ac:dyDescent="0.2">
      <c r="A9680" t="s">
        <v>7</v>
      </c>
      <c r="B9680" t="s">
        <v>29</v>
      </c>
      <c r="C9680" t="str">
        <f t="shared" si="304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03"/>
        <v>4</v>
      </c>
    </row>
    <row r="9681" spans="1:8" x14ac:dyDescent="0.2">
      <c r="A9681" t="s">
        <v>7</v>
      </c>
      <c r="B9681" t="s">
        <v>29</v>
      </c>
      <c r="C9681" t="str">
        <f t="shared" si="304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03"/>
        <v>1</v>
      </c>
    </row>
    <row r="9682" spans="1:8" x14ac:dyDescent="0.2">
      <c r="A9682" t="s">
        <v>7</v>
      </c>
      <c r="B9682" t="s">
        <v>29</v>
      </c>
      <c r="C9682" t="str">
        <f t="shared" si="304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03"/>
        <v>4</v>
      </c>
    </row>
    <row r="9683" spans="1:8" x14ac:dyDescent="0.2">
      <c r="A9683" t="s">
        <v>7</v>
      </c>
      <c r="B9683" t="s">
        <v>29</v>
      </c>
      <c r="C9683" t="str">
        <f t="shared" si="304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03"/>
        <v>1</v>
      </c>
    </row>
    <row r="9684" spans="1:8" x14ac:dyDescent="0.2">
      <c r="A9684" t="s">
        <v>7</v>
      </c>
      <c r="B9684" t="s">
        <v>29</v>
      </c>
      <c r="C9684" t="str">
        <f t="shared" si="304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03"/>
        <v>1</v>
      </c>
    </row>
    <row r="9685" spans="1:8" x14ac:dyDescent="0.2">
      <c r="A9685" t="s">
        <v>7</v>
      </c>
      <c r="B9685" t="s">
        <v>29</v>
      </c>
      <c r="C9685" t="str">
        <f t="shared" si="304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03"/>
        <v>1</v>
      </c>
    </row>
    <row r="9686" spans="1:8" x14ac:dyDescent="0.2">
      <c r="A9686" t="s">
        <v>7</v>
      </c>
      <c r="B9686" t="s">
        <v>29</v>
      </c>
      <c r="C9686" t="str">
        <f t="shared" si="304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03"/>
        <v>4</v>
      </c>
    </row>
    <row r="9687" spans="1:8" x14ac:dyDescent="0.2">
      <c r="A9687" t="s">
        <v>7</v>
      </c>
      <c r="B9687" t="s">
        <v>29</v>
      </c>
      <c r="C9687" t="str">
        <f t="shared" si="304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03"/>
        <v>1</v>
      </c>
    </row>
    <row r="9688" spans="1:8" x14ac:dyDescent="0.2">
      <c r="A9688" t="s">
        <v>7</v>
      </c>
      <c r="B9688" t="s">
        <v>29</v>
      </c>
      <c r="C9688" t="str">
        <f t="shared" si="304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03"/>
        <v>1</v>
      </c>
    </row>
    <row r="9689" spans="1:8" x14ac:dyDescent="0.2">
      <c r="A9689" t="s">
        <v>7</v>
      </c>
      <c r="B9689" t="s">
        <v>29</v>
      </c>
      <c r="C9689" t="str">
        <f t="shared" si="304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03"/>
        <v>4</v>
      </c>
    </row>
    <row r="9690" spans="1:8" x14ac:dyDescent="0.2">
      <c r="A9690" t="s">
        <v>7</v>
      </c>
      <c r="B9690" t="s">
        <v>29</v>
      </c>
      <c r="C9690" t="str">
        <f t="shared" si="304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03"/>
        <v>1</v>
      </c>
    </row>
    <row r="9691" spans="1:8" x14ac:dyDescent="0.2">
      <c r="A9691" t="s">
        <v>7</v>
      </c>
      <c r="B9691" t="s">
        <v>29</v>
      </c>
      <c r="C9691" t="str">
        <f t="shared" si="304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03"/>
        <v>1</v>
      </c>
    </row>
    <row r="9692" spans="1:8" x14ac:dyDescent="0.2">
      <c r="A9692" t="s">
        <v>7</v>
      </c>
      <c r="B9692" t="s">
        <v>29</v>
      </c>
      <c r="C9692" t="str">
        <f t="shared" si="304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03"/>
        <v>1</v>
      </c>
    </row>
    <row r="9693" spans="1:8" x14ac:dyDescent="0.2">
      <c r="A9693" t="s">
        <v>7</v>
      </c>
      <c r="B9693" t="s">
        <v>29</v>
      </c>
      <c r="C9693" t="str">
        <f t="shared" si="304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03"/>
        <v>4</v>
      </c>
    </row>
    <row r="9694" spans="1:8" x14ac:dyDescent="0.2">
      <c r="A9694" t="s">
        <v>7</v>
      </c>
      <c r="B9694" t="s">
        <v>29</v>
      </c>
      <c r="C9694" t="str">
        <f t="shared" si="304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03"/>
        <v>1</v>
      </c>
    </row>
    <row r="9695" spans="1:8" x14ac:dyDescent="0.2">
      <c r="A9695" t="s">
        <v>7</v>
      </c>
      <c r="B9695" t="s">
        <v>29</v>
      </c>
      <c r="C9695" t="str">
        <f t="shared" si="304"/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03"/>
        <v>1</v>
      </c>
    </row>
    <row r="9696" spans="1:8" x14ac:dyDescent="0.2">
      <c r="A9696" t="s">
        <v>7</v>
      </c>
      <c r="B9696" t="s">
        <v>29</v>
      </c>
      <c r="C9696" t="str">
        <f t="shared" si="30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03"/>
        <v>1</v>
      </c>
    </row>
    <row r="9697" spans="1:8" x14ac:dyDescent="0.2">
      <c r="A9697" t="s">
        <v>7</v>
      </c>
      <c r="B9697" t="s">
        <v>29</v>
      </c>
      <c r="C9697" t="str">
        <f t="shared" si="30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03"/>
        <v>1</v>
      </c>
    </row>
    <row r="9698" spans="1:8" x14ac:dyDescent="0.2">
      <c r="A9698" t="s">
        <v>7</v>
      </c>
      <c r="B9698" t="s">
        <v>29</v>
      </c>
      <c r="C9698" t="str">
        <f t="shared" si="30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03"/>
        <v>1</v>
      </c>
    </row>
    <row r="9699" spans="1:8" x14ac:dyDescent="0.2">
      <c r="A9699" t="s">
        <v>7</v>
      </c>
      <c r="B9699" t="s">
        <v>29</v>
      </c>
      <c r="C9699" t="str">
        <f t="shared" si="30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03"/>
        <v>1</v>
      </c>
    </row>
    <row r="9700" spans="1:8" x14ac:dyDescent="0.2">
      <c r="A9700" t="s">
        <v>7</v>
      </c>
      <c r="B9700" t="s">
        <v>29</v>
      </c>
      <c r="C9700" t="str">
        <f t="shared" si="30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03"/>
        <v>3</v>
      </c>
    </row>
    <row r="9701" spans="1:8" x14ac:dyDescent="0.2">
      <c r="A9701" t="s">
        <v>7</v>
      </c>
      <c r="B9701" t="s">
        <v>29</v>
      </c>
      <c r="C9701" t="str">
        <f t="shared" si="30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03"/>
        <v>3</v>
      </c>
    </row>
    <row r="9702" spans="1:8" x14ac:dyDescent="0.2">
      <c r="A9702" t="s">
        <v>7</v>
      </c>
      <c r="B9702" t="s">
        <v>29</v>
      </c>
      <c r="C9702" t="str">
        <f t="shared" si="30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03"/>
        <v>0</v>
      </c>
    </row>
    <row r="9703" spans="1:8" x14ac:dyDescent="0.2">
      <c r="A9703" t="s">
        <v>7</v>
      </c>
      <c r="B9703" t="s">
        <v>29</v>
      </c>
      <c r="C9703" t="str">
        <f t="shared" si="30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03"/>
        <v>0</v>
      </c>
    </row>
    <row r="9704" spans="1:8" x14ac:dyDescent="0.2">
      <c r="A9704" t="s">
        <v>7</v>
      </c>
      <c r="B9704" t="s">
        <v>29</v>
      </c>
      <c r="C9704" t="str">
        <f t="shared" si="30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03"/>
        <v>0</v>
      </c>
    </row>
    <row r="9705" spans="1:8" x14ac:dyDescent="0.2">
      <c r="A9705" t="s">
        <v>7</v>
      </c>
      <c r="B9705" t="s">
        <v>29</v>
      </c>
      <c r="C9705" t="str">
        <f t="shared" si="30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03"/>
        <v>0</v>
      </c>
    </row>
    <row r="9706" spans="1:8" x14ac:dyDescent="0.2">
      <c r="A9706" t="s">
        <v>7</v>
      </c>
      <c r="B9706" t="s">
        <v>29</v>
      </c>
      <c r="C9706" t="str">
        <f t="shared" si="30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03"/>
        <v>3</v>
      </c>
    </row>
    <row r="9707" spans="1:8" x14ac:dyDescent="0.2">
      <c r="A9707" t="s">
        <v>7</v>
      </c>
      <c r="B9707" t="s">
        <v>29</v>
      </c>
      <c r="C9707" t="str">
        <f t="shared" si="30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03"/>
        <v>3</v>
      </c>
    </row>
    <row r="9708" spans="1:8" x14ac:dyDescent="0.2">
      <c r="A9708" t="s">
        <v>7</v>
      </c>
      <c r="B9708" t="s">
        <v>29</v>
      </c>
      <c r="C9708" t="str">
        <f t="shared" si="30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03"/>
        <v>3</v>
      </c>
    </row>
    <row r="9709" spans="1:8" x14ac:dyDescent="0.2">
      <c r="A9709" t="s">
        <v>7</v>
      </c>
      <c r="B9709" t="s">
        <v>29</v>
      </c>
      <c r="C9709" t="str">
        <f t="shared" si="30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03"/>
        <v>0</v>
      </c>
    </row>
    <row r="9710" spans="1:8" x14ac:dyDescent="0.2">
      <c r="A9710" t="s">
        <v>7</v>
      </c>
      <c r="B9710" t="s">
        <v>29</v>
      </c>
      <c r="C9710" t="str">
        <f t="shared" si="30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03"/>
        <v>0</v>
      </c>
    </row>
    <row r="9711" spans="1:8" x14ac:dyDescent="0.2">
      <c r="A9711" t="s">
        <v>7</v>
      </c>
      <c r="B9711" t="s">
        <v>29</v>
      </c>
      <c r="C9711" t="str">
        <f t="shared" si="30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03"/>
        <v>0</v>
      </c>
    </row>
    <row r="9712" spans="1:8" x14ac:dyDescent="0.2">
      <c r="A9712" t="s">
        <v>7</v>
      </c>
      <c r="B9712" t="s">
        <v>29</v>
      </c>
      <c r="C9712" t="str">
        <f t="shared" si="30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03"/>
        <v>3</v>
      </c>
    </row>
    <row r="9713" spans="1:8" x14ac:dyDescent="0.2">
      <c r="A9713" t="s">
        <v>7</v>
      </c>
      <c r="B9713" t="s">
        <v>29</v>
      </c>
      <c r="C9713" t="str">
        <f t="shared" si="30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03"/>
        <v>0</v>
      </c>
    </row>
    <row r="9714" spans="1:8" x14ac:dyDescent="0.2">
      <c r="A9714" t="s">
        <v>7</v>
      </c>
      <c r="B9714" t="s">
        <v>29</v>
      </c>
      <c r="C9714" t="str">
        <f t="shared" si="30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03"/>
        <v>3</v>
      </c>
    </row>
    <row r="9715" spans="1:8" x14ac:dyDescent="0.2">
      <c r="A9715" t="s">
        <v>7</v>
      </c>
      <c r="B9715" t="s">
        <v>29</v>
      </c>
      <c r="C9715" t="str">
        <f t="shared" si="30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03"/>
        <v>3</v>
      </c>
    </row>
    <row r="9716" spans="1:8" x14ac:dyDescent="0.2">
      <c r="A9716" t="s">
        <v>7</v>
      </c>
      <c r="B9716" t="s">
        <v>29</v>
      </c>
      <c r="C9716" t="str">
        <f t="shared" si="30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03"/>
        <v>0</v>
      </c>
    </row>
    <row r="9717" spans="1:8" x14ac:dyDescent="0.2">
      <c r="A9717" t="s">
        <v>7</v>
      </c>
      <c r="B9717" t="s">
        <v>29</v>
      </c>
      <c r="C9717" t="str">
        <f t="shared" si="30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03"/>
        <v>0</v>
      </c>
    </row>
    <row r="9718" spans="1:8" x14ac:dyDescent="0.2">
      <c r="A9718" t="s">
        <v>7</v>
      </c>
      <c r="B9718" t="s">
        <v>29</v>
      </c>
      <c r="C9718" t="str">
        <f t="shared" si="30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03"/>
        <v>0</v>
      </c>
    </row>
    <row r="9719" spans="1:8" x14ac:dyDescent="0.2">
      <c r="A9719" t="s">
        <v>7</v>
      </c>
      <c r="B9719" t="s">
        <v>29</v>
      </c>
      <c r="C9719" t="str">
        <f t="shared" si="30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03"/>
        <v>0</v>
      </c>
    </row>
    <row r="9720" spans="1:8" x14ac:dyDescent="0.2">
      <c r="A9720" t="s">
        <v>7</v>
      </c>
      <c r="B9720" t="s">
        <v>29</v>
      </c>
      <c r="C9720" t="str">
        <f t="shared" si="30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03"/>
        <v>3</v>
      </c>
    </row>
    <row r="9721" spans="1:8" x14ac:dyDescent="0.2">
      <c r="A9721" t="s">
        <v>7</v>
      </c>
      <c r="B9721" t="s">
        <v>29</v>
      </c>
      <c r="C9721" t="str">
        <f t="shared" si="30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03"/>
        <v>0</v>
      </c>
    </row>
    <row r="9722" spans="1:8" x14ac:dyDescent="0.2">
      <c r="A9722" t="s">
        <v>7</v>
      </c>
      <c r="B9722" t="s">
        <v>29</v>
      </c>
      <c r="C9722" t="str">
        <f t="shared" si="30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si="303"/>
        <v>3</v>
      </c>
    </row>
    <row r="9723" spans="1:8" x14ac:dyDescent="0.2">
      <c r="A9723" t="s">
        <v>7</v>
      </c>
      <c r="B9723" t="s">
        <v>29</v>
      </c>
      <c r="C9723" t="str">
        <f t="shared" si="30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03"/>
        <v>3</v>
      </c>
    </row>
    <row r="9724" spans="1:8" x14ac:dyDescent="0.2">
      <c r="A9724" t="s">
        <v>7</v>
      </c>
      <c r="B9724" t="s">
        <v>29</v>
      </c>
      <c r="C9724" t="str">
        <f t="shared" si="30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03"/>
        <v>0</v>
      </c>
    </row>
    <row r="9725" spans="1:8" x14ac:dyDescent="0.2">
      <c r="A9725" t="s">
        <v>7</v>
      </c>
      <c r="B9725" t="s">
        <v>29</v>
      </c>
      <c r="C9725" t="str">
        <f t="shared" si="30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03"/>
        <v>0</v>
      </c>
    </row>
    <row r="9726" spans="1:8" x14ac:dyDescent="0.2">
      <c r="A9726" t="s">
        <v>7</v>
      </c>
      <c r="B9726" t="s">
        <v>29</v>
      </c>
      <c r="C9726" t="str">
        <f t="shared" si="30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03"/>
        <v>3</v>
      </c>
    </row>
    <row r="9727" spans="1:8" x14ac:dyDescent="0.2">
      <c r="A9727" t="s">
        <v>7</v>
      </c>
      <c r="B9727" t="s">
        <v>29</v>
      </c>
      <c r="C9727" t="str">
        <f t="shared" si="30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03"/>
        <v>3</v>
      </c>
    </row>
    <row r="9728" spans="1:8" x14ac:dyDescent="0.2">
      <c r="A9728" t="s">
        <v>7</v>
      </c>
      <c r="B9728" t="s">
        <v>29</v>
      </c>
      <c r="C9728" t="str">
        <f t="shared" si="30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03"/>
        <v>0</v>
      </c>
    </row>
    <row r="9729" spans="1:8" x14ac:dyDescent="0.2">
      <c r="A9729" t="s">
        <v>7</v>
      </c>
      <c r="B9729" t="s">
        <v>29</v>
      </c>
      <c r="C9729" t="str">
        <f t="shared" si="30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03"/>
        <v>3</v>
      </c>
    </row>
    <row r="9730" spans="1:8" x14ac:dyDescent="0.2">
      <c r="A9730" t="s">
        <v>7</v>
      </c>
      <c r="B9730" t="s">
        <v>29</v>
      </c>
      <c r="C9730" t="str">
        <f t="shared" si="30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03"/>
        <v>3</v>
      </c>
    </row>
    <row r="9731" spans="1:8" x14ac:dyDescent="0.2">
      <c r="A9731" t="s">
        <v>7</v>
      </c>
      <c r="B9731" t="s">
        <v>29</v>
      </c>
      <c r="C9731" t="str">
        <f t="shared" si="30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ref="H9731:H9794" si="305">F9731-G9731</f>
        <v>0</v>
      </c>
    </row>
    <row r="9732" spans="1:8" x14ac:dyDescent="0.2">
      <c r="A9732" t="s">
        <v>7</v>
      </c>
      <c r="B9732" t="s">
        <v>29</v>
      </c>
      <c r="C9732" t="str">
        <f t="shared" si="30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05"/>
        <v>2</v>
      </c>
    </row>
    <row r="9733" spans="1:8" x14ac:dyDescent="0.2">
      <c r="A9733" t="s">
        <v>7</v>
      </c>
      <c r="B9733" t="s">
        <v>29</v>
      </c>
      <c r="C9733" t="str">
        <f t="shared" ref="C9733:C9796" si="306">IF(H9733&gt;=0,"Cumple","No cumple")</f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05"/>
        <v>2</v>
      </c>
    </row>
    <row r="9734" spans="1:8" x14ac:dyDescent="0.2">
      <c r="A9734" t="s">
        <v>7</v>
      </c>
      <c r="B9734" t="s">
        <v>29</v>
      </c>
      <c r="C9734" t="str">
        <f t="shared" si="306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05"/>
        <v>2</v>
      </c>
    </row>
    <row r="9735" spans="1:8" x14ac:dyDescent="0.2">
      <c r="A9735" t="s">
        <v>7</v>
      </c>
      <c r="B9735" t="s">
        <v>29</v>
      </c>
      <c r="C9735" t="str">
        <f t="shared" si="306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05"/>
        <v>2</v>
      </c>
    </row>
    <row r="9736" spans="1:8" x14ac:dyDescent="0.2">
      <c r="A9736" t="s">
        <v>7</v>
      </c>
      <c r="B9736" t="s">
        <v>29</v>
      </c>
      <c r="C9736" t="str">
        <f t="shared" si="306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05"/>
        <v>2</v>
      </c>
    </row>
    <row r="9737" spans="1:8" x14ac:dyDescent="0.2">
      <c r="A9737" t="s">
        <v>7</v>
      </c>
      <c r="B9737" t="s">
        <v>29</v>
      </c>
      <c r="C9737" t="str">
        <f t="shared" si="306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05"/>
        <v>2</v>
      </c>
    </row>
    <row r="9738" spans="1:8" x14ac:dyDescent="0.2">
      <c r="A9738" t="s">
        <v>7</v>
      </c>
      <c r="B9738" t="s">
        <v>29</v>
      </c>
      <c r="C9738" t="str">
        <f t="shared" si="306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05"/>
        <v>2</v>
      </c>
    </row>
    <row r="9739" spans="1:8" x14ac:dyDescent="0.2">
      <c r="A9739" t="s">
        <v>7</v>
      </c>
      <c r="B9739" t="s">
        <v>29</v>
      </c>
      <c r="C9739" t="str">
        <f t="shared" si="306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05"/>
        <v>2</v>
      </c>
    </row>
    <row r="9740" spans="1:8" x14ac:dyDescent="0.2">
      <c r="A9740" t="s">
        <v>7</v>
      </c>
      <c r="B9740" t="s">
        <v>29</v>
      </c>
      <c r="C9740" t="str">
        <f t="shared" si="306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05"/>
        <v>-1</v>
      </c>
    </row>
    <row r="9741" spans="1:8" x14ac:dyDescent="0.2">
      <c r="A9741" t="s">
        <v>7</v>
      </c>
      <c r="B9741" t="s">
        <v>29</v>
      </c>
      <c r="C9741" t="str">
        <f t="shared" si="306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05"/>
        <v>0</v>
      </c>
    </row>
    <row r="9742" spans="1:8" x14ac:dyDescent="0.2">
      <c r="A9742" t="s">
        <v>7</v>
      </c>
      <c r="B9742" t="s">
        <v>29</v>
      </c>
      <c r="C9742" t="str">
        <f t="shared" si="306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05"/>
        <v>-1</v>
      </c>
    </row>
    <row r="9743" spans="1:8" x14ac:dyDescent="0.2">
      <c r="A9743" t="s">
        <v>7</v>
      </c>
      <c r="B9743" t="s">
        <v>29</v>
      </c>
      <c r="C9743" t="str">
        <f t="shared" si="306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05"/>
        <v>-1</v>
      </c>
    </row>
    <row r="9744" spans="1:8" x14ac:dyDescent="0.2">
      <c r="A9744" t="s">
        <v>7</v>
      </c>
      <c r="B9744" t="s">
        <v>29</v>
      </c>
      <c r="C9744" t="str">
        <f t="shared" si="306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05"/>
        <v>2</v>
      </c>
    </row>
    <row r="9745" spans="1:8" x14ac:dyDescent="0.2">
      <c r="A9745" t="s">
        <v>7</v>
      </c>
      <c r="B9745" t="s">
        <v>29</v>
      </c>
      <c r="C9745" t="str">
        <f t="shared" si="306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05"/>
        <v>2</v>
      </c>
    </row>
    <row r="9746" spans="1:8" x14ac:dyDescent="0.2">
      <c r="A9746" t="s">
        <v>7</v>
      </c>
      <c r="B9746" t="s">
        <v>29</v>
      </c>
      <c r="C9746" t="str">
        <f t="shared" si="306"/>
        <v>Cumple</v>
      </c>
      <c r="D9746">
        <v>3744</v>
      </c>
      <c r="E9746" t="s">
        <v>13</v>
      </c>
      <c r="F9746" s="9">
        <v>6</v>
      </c>
      <c r="G9746">
        <v>6</v>
      </c>
      <c r="H9746">
        <f t="shared" si="305"/>
        <v>0</v>
      </c>
    </row>
    <row r="9747" spans="1:8" x14ac:dyDescent="0.2">
      <c r="A9747" t="s">
        <v>7</v>
      </c>
      <c r="B9747" t="s">
        <v>29</v>
      </c>
      <c r="C9747" t="str">
        <f t="shared" si="306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05"/>
        <v>-1</v>
      </c>
    </row>
    <row r="9748" spans="1:8" x14ac:dyDescent="0.2">
      <c r="A9748" t="s">
        <v>7</v>
      </c>
      <c r="B9748" t="s">
        <v>29</v>
      </c>
      <c r="C9748" t="str">
        <f t="shared" si="306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05"/>
        <v>2</v>
      </c>
    </row>
    <row r="9749" spans="1:8" x14ac:dyDescent="0.2">
      <c r="A9749" t="s">
        <v>7</v>
      </c>
      <c r="B9749" t="s">
        <v>29</v>
      </c>
      <c r="C9749" t="str">
        <f t="shared" si="306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05"/>
        <v>-1</v>
      </c>
    </row>
    <row r="9750" spans="1:8" x14ac:dyDescent="0.2">
      <c r="A9750" t="s">
        <v>7</v>
      </c>
      <c r="B9750" t="s">
        <v>29</v>
      </c>
      <c r="C9750" t="str">
        <f t="shared" si="306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05"/>
        <v>2</v>
      </c>
    </row>
    <row r="9751" spans="1:8" x14ac:dyDescent="0.2">
      <c r="A9751" t="s">
        <v>7</v>
      </c>
      <c r="B9751" t="s">
        <v>29</v>
      </c>
      <c r="C9751" t="str">
        <f t="shared" si="306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05"/>
        <v>2</v>
      </c>
    </row>
    <row r="9752" spans="1:8" x14ac:dyDescent="0.2">
      <c r="A9752" t="s">
        <v>7</v>
      </c>
      <c r="B9752" t="s">
        <v>29</v>
      </c>
      <c r="C9752" t="str">
        <f t="shared" si="306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05"/>
        <v>-1</v>
      </c>
    </row>
    <row r="9753" spans="1:8" x14ac:dyDescent="0.2">
      <c r="A9753" t="s">
        <v>7</v>
      </c>
      <c r="B9753" t="s">
        <v>29</v>
      </c>
      <c r="C9753" t="str">
        <f t="shared" si="306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05"/>
        <v>2</v>
      </c>
    </row>
    <row r="9754" spans="1:8" x14ac:dyDescent="0.2">
      <c r="A9754" t="s">
        <v>7</v>
      </c>
      <c r="B9754" t="s">
        <v>29</v>
      </c>
      <c r="C9754" t="str">
        <f t="shared" si="306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05"/>
        <v>-1</v>
      </c>
    </row>
    <row r="9755" spans="1:8" x14ac:dyDescent="0.2">
      <c r="A9755" t="s">
        <v>7</v>
      </c>
      <c r="B9755" t="s">
        <v>29</v>
      </c>
      <c r="C9755" t="str">
        <f t="shared" si="306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05"/>
        <v>1</v>
      </c>
    </row>
    <row r="9756" spans="1:8" x14ac:dyDescent="0.2">
      <c r="A9756" t="s">
        <v>7</v>
      </c>
      <c r="B9756" t="s">
        <v>29</v>
      </c>
      <c r="C9756" t="str">
        <f t="shared" si="306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05"/>
        <v>0</v>
      </c>
    </row>
    <row r="9757" spans="1:8" x14ac:dyDescent="0.2">
      <c r="A9757" t="s">
        <v>7</v>
      </c>
      <c r="B9757" t="s">
        <v>29</v>
      </c>
      <c r="C9757" t="str">
        <f t="shared" si="306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05"/>
        <v>1</v>
      </c>
    </row>
    <row r="9758" spans="1:8" x14ac:dyDescent="0.2">
      <c r="A9758" t="s">
        <v>7</v>
      </c>
      <c r="B9758" t="s">
        <v>29</v>
      </c>
      <c r="C9758" t="str">
        <f t="shared" si="306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05"/>
        <v>1</v>
      </c>
    </row>
    <row r="9759" spans="1:8" x14ac:dyDescent="0.2">
      <c r="A9759" t="s">
        <v>7</v>
      </c>
      <c r="B9759" t="s">
        <v>29</v>
      </c>
      <c r="C9759" t="str">
        <f t="shared" si="306"/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05"/>
        <v>1</v>
      </c>
    </row>
    <row r="9760" spans="1:8" x14ac:dyDescent="0.2">
      <c r="A9760" t="s">
        <v>7</v>
      </c>
      <c r="B9760" t="s">
        <v>29</v>
      </c>
      <c r="C9760" t="str">
        <f t="shared" si="30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05"/>
        <v>1</v>
      </c>
    </row>
    <row r="9761" spans="1:8" x14ac:dyDescent="0.2">
      <c r="A9761" t="s">
        <v>7</v>
      </c>
      <c r="B9761" t="s">
        <v>29</v>
      </c>
      <c r="C9761" t="str">
        <f t="shared" si="306"/>
        <v>Cumple</v>
      </c>
      <c r="D9761">
        <v>1595</v>
      </c>
      <c r="E9761" t="s">
        <v>13</v>
      </c>
      <c r="F9761" s="9">
        <v>6</v>
      </c>
      <c r="G9761">
        <v>6</v>
      </c>
      <c r="H9761">
        <f t="shared" si="305"/>
        <v>0</v>
      </c>
    </row>
    <row r="9762" spans="1:8" x14ac:dyDescent="0.2">
      <c r="A9762" t="s">
        <v>7</v>
      </c>
      <c r="B9762" t="s">
        <v>29</v>
      </c>
      <c r="C9762" t="str">
        <f t="shared" si="30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05"/>
        <v>-2</v>
      </c>
    </row>
    <row r="9763" spans="1:8" x14ac:dyDescent="0.2">
      <c r="A9763" t="s">
        <v>7</v>
      </c>
      <c r="B9763" t="s">
        <v>29</v>
      </c>
      <c r="C9763" t="str">
        <f t="shared" si="30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05"/>
        <v>1</v>
      </c>
    </row>
    <row r="9764" spans="1:8" x14ac:dyDescent="0.2">
      <c r="A9764" t="s">
        <v>7</v>
      </c>
      <c r="B9764" t="s">
        <v>29</v>
      </c>
      <c r="C9764" t="str">
        <f t="shared" si="30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05"/>
        <v>1</v>
      </c>
    </row>
    <row r="9765" spans="1:8" x14ac:dyDescent="0.2">
      <c r="A9765" t="s">
        <v>7</v>
      </c>
      <c r="B9765" t="s">
        <v>29</v>
      </c>
      <c r="C9765" t="str">
        <f t="shared" si="30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05"/>
        <v>1</v>
      </c>
    </row>
    <row r="9766" spans="1:8" x14ac:dyDescent="0.2">
      <c r="A9766" t="s">
        <v>7</v>
      </c>
      <c r="B9766" t="s">
        <v>29</v>
      </c>
      <c r="C9766" t="str">
        <f t="shared" si="30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05"/>
        <v>-2</v>
      </c>
    </row>
    <row r="9767" spans="1:8" x14ac:dyDescent="0.2">
      <c r="A9767" t="s">
        <v>7</v>
      </c>
      <c r="B9767" t="s">
        <v>29</v>
      </c>
      <c r="C9767" t="str">
        <f t="shared" si="30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05"/>
        <v>1</v>
      </c>
    </row>
    <row r="9768" spans="1:8" x14ac:dyDescent="0.2">
      <c r="A9768" t="s">
        <v>7</v>
      </c>
      <c r="B9768" t="s">
        <v>29</v>
      </c>
      <c r="C9768" t="str">
        <f t="shared" si="30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05"/>
        <v>1</v>
      </c>
    </row>
    <row r="9769" spans="1:8" x14ac:dyDescent="0.2">
      <c r="A9769" t="s">
        <v>7</v>
      </c>
      <c r="B9769" t="s">
        <v>29</v>
      </c>
      <c r="C9769" t="str">
        <f t="shared" si="30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05"/>
        <v>1</v>
      </c>
    </row>
    <row r="9770" spans="1:8" x14ac:dyDescent="0.2">
      <c r="A9770" t="s">
        <v>7</v>
      </c>
      <c r="B9770" t="s">
        <v>29</v>
      </c>
      <c r="C9770" t="str">
        <f t="shared" si="30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05"/>
        <v>1</v>
      </c>
    </row>
    <row r="9771" spans="1:8" x14ac:dyDescent="0.2">
      <c r="A9771" t="s">
        <v>7</v>
      </c>
      <c r="B9771" t="s">
        <v>29</v>
      </c>
      <c r="C9771" t="str">
        <f t="shared" si="30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05"/>
        <v>1</v>
      </c>
    </row>
    <row r="9772" spans="1:8" x14ac:dyDescent="0.2">
      <c r="A9772" t="s">
        <v>7</v>
      </c>
      <c r="B9772" t="s">
        <v>29</v>
      </c>
      <c r="C9772" t="str">
        <f t="shared" si="30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05"/>
        <v>-2</v>
      </c>
    </row>
    <row r="9773" spans="1:8" x14ac:dyDescent="0.2">
      <c r="A9773" t="s">
        <v>7</v>
      </c>
      <c r="B9773" t="s">
        <v>29</v>
      </c>
      <c r="C9773" t="str">
        <f t="shared" si="30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05"/>
        <v>1</v>
      </c>
    </row>
    <row r="9774" spans="1:8" x14ac:dyDescent="0.2">
      <c r="A9774" t="s">
        <v>7</v>
      </c>
      <c r="B9774" t="s">
        <v>29</v>
      </c>
      <c r="C9774" t="str">
        <f t="shared" si="30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05"/>
        <v>1</v>
      </c>
    </row>
    <row r="9775" spans="1:8" x14ac:dyDescent="0.2">
      <c r="A9775" t="s">
        <v>7</v>
      </c>
      <c r="B9775" t="s">
        <v>29</v>
      </c>
      <c r="C9775" t="str">
        <f t="shared" si="30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05"/>
        <v>1</v>
      </c>
    </row>
    <row r="9776" spans="1:8" x14ac:dyDescent="0.2">
      <c r="A9776" t="s">
        <v>7</v>
      </c>
      <c r="B9776" t="s">
        <v>29</v>
      </c>
      <c r="C9776" t="str">
        <f t="shared" si="30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05"/>
        <v>-2</v>
      </c>
    </row>
    <row r="9777" spans="1:8" x14ac:dyDescent="0.2">
      <c r="A9777" t="s">
        <v>7</v>
      </c>
      <c r="B9777" t="s">
        <v>29</v>
      </c>
      <c r="C9777" t="str">
        <f t="shared" si="30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05"/>
        <v>1</v>
      </c>
    </row>
    <row r="9778" spans="1:8" x14ac:dyDescent="0.2">
      <c r="A9778" t="s">
        <v>7</v>
      </c>
      <c r="B9778" t="s">
        <v>29</v>
      </c>
      <c r="C9778" t="str">
        <f t="shared" si="30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05"/>
        <v>1</v>
      </c>
    </row>
    <row r="9779" spans="1:8" x14ac:dyDescent="0.2">
      <c r="A9779" t="s">
        <v>7</v>
      </c>
      <c r="B9779" t="s">
        <v>29</v>
      </c>
      <c r="C9779" t="str">
        <f t="shared" si="30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05"/>
        <v>1</v>
      </c>
    </row>
    <row r="9780" spans="1:8" x14ac:dyDescent="0.2">
      <c r="A9780" t="s">
        <v>7</v>
      </c>
      <c r="B9780" t="s">
        <v>29</v>
      </c>
      <c r="C9780" t="str">
        <f t="shared" si="30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05"/>
        <v>1</v>
      </c>
    </row>
    <row r="9781" spans="1:8" x14ac:dyDescent="0.2">
      <c r="A9781" t="s">
        <v>7</v>
      </c>
      <c r="B9781" t="s">
        <v>29</v>
      </c>
      <c r="C9781" t="str">
        <f t="shared" si="30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05"/>
        <v>-2</v>
      </c>
    </row>
    <row r="9782" spans="1:8" x14ac:dyDescent="0.2">
      <c r="A9782" t="s">
        <v>7</v>
      </c>
      <c r="B9782" t="s">
        <v>29</v>
      </c>
      <c r="C9782" t="str">
        <f t="shared" si="30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05"/>
        <v>1</v>
      </c>
    </row>
    <row r="9783" spans="1:8" x14ac:dyDescent="0.2">
      <c r="A9783" t="s">
        <v>7</v>
      </c>
      <c r="B9783" t="s">
        <v>29</v>
      </c>
      <c r="C9783" t="str">
        <f t="shared" si="30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05"/>
        <v>1</v>
      </c>
    </row>
    <row r="9784" spans="1:8" x14ac:dyDescent="0.2">
      <c r="A9784" t="s">
        <v>7</v>
      </c>
      <c r="B9784" t="s">
        <v>29</v>
      </c>
      <c r="C9784" t="str">
        <f t="shared" si="30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05"/>
        <v>1</v>
      </c>
    </row>
    <row r="9785" spans="1:8" x14ac:dyDescent="0.2">
      <c r="A9785" t="s">
        <v>7</v>
      </c>
      <c r="B9785" t="s">
        <v>29</v>
      </c>
      <c r="C9785" t="str">
        <f t="shared" si="30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05"/>
        <v>1</v>
      </c>
    </row>
    <row r="9786" spans="1:8" x14ac:dyDescent="0.2">
      <c r="A9786" t="s">
        <v>7</v>
      </c>
      <c r="B9786" t="s">
        <v>29</v>
      </c>
      <c r="C9786" t="str">
        <f t="shared" si="30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si="305"/>
        <v>1</v>
      </c>
    </row>
    <row r="9787" spans="1:8" x14ac:dyDescent="0.2">
      <c r="A9787" t="s">
        <v>7</v>
      </c>
      <c r="B9787" t="s">
        <v>29</v>
      </c>
      <c r="C9787" t="str">
        <f t="shared" si="30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05"/>
        <v>-2</v>
      </c>
    </row>
    <row r="9788" spans="1:8" x14ac:dyDescent="0.2">
      <c r="A9788" t="s">
        <v>7</v>
      </c>
      <c r="B9788" t="s">
        <v>29</v>
      </c>
      <c r="C9788" t="str">
        <f t="shared" si="30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05"/>
        <v>1</v>
      </c>
    </row>
    <row r="9789" spans="1:8" x14ac:dyDescent="0.2">
      <c r="A9789" t="s">
        <v>7</v>
      </c>
      <c r="B9789" t="s">
        <v>29</v>
      </c>
      <c r="C9789" t="str">
        <f t="shared" si="30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05"/>
        <v>-2</v>
      </c>
    </row>
    <row r="9790" spans="1:8" x14ac:dyDescent="0.2">
      <c r="A9790" t="s">
        <v>7</v>
      </c>
      <c r="B9790" t="s">
        <v>29</v>
      </c>
      <c r="C9790" t="str">
        <f t="shared" si="306"/>
        <v>Cumple</v>
      </c>
      <c r="D9790">
        <v>9686</v>
      </c>
      <c r="E9790" t="s">
        <v>13</v>
      </c>
      <c r="F9790" s="9">
        <v>6</v>
      </c>
      <c r="G9790" s="35">
        <v>6</v>
      </c>
      <c r="H9790">
        <f t="shared" si="305"/>
        <v>0</v>
      </c>
    </row>
    <row r="9791" spans="1:8" x14ac:dyDescent="0.2">
      <c r="A9791" t="s">
        <v>7</v>
      </c>
      <c r="B9791" t="s">
        <v>29</v>
      </c>
      <c r="C9791" t="str">
        <f t="shared" si="30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05"/>
        <v>1</v>
      </c>
    </row>
    <row r="9792" spans="1:8" x14ac:dyDescent="0.2">
      <c r="A9792" t="s">
        <v>7</v>
      </c>
      <c r="B9792" t="s">
        <v>29</v>
      </c>
      <c r="C9792" t="str">
        <f t="shared" si="30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05"/>
        <v>1</v>
      </c>
    </row>
    <row r="9793" spans="1:8" x14ac:dyDescent="0.2">
      <c r="A9793" t="s">
        <v>7</v>
      </c>
      <c r="B9793" t="s">
        <v>29</v>
      </c>
      <c r="C9793" t="str">
        <f t="shared" si="306"/>
        <v>No cumple</v>
      </c>
      <c r="D9793">
        <v>213</v>
      </c>
      <c r="E9793" t="s">
        <v>13</v>
      </c>
      <c r="F9793">
        <v>3</v>
      </c>
      <c r="G9793">
        <v>6</v>
      </c>
      <c r="H9793">
        <f t="shared" si="305"/>
        <v>-3</v>
      </c>
    </row>
    <row r="9794" spans="1:8" x14ac:dyDescent="0.2">
      <c r="A9794" t="s">
        <v>7</v>
      </c>
      <c r="B9794" t="s">
        <v>29</v>
      </c>
      <c r="C9794" t="str">
        <f t="shared" si="30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05"/>
        <v>0</v>
      </c>
    </row>
    <row r="9795" spans="1:8" x14ac:dyDescent="0.2">
      <c r="A9795" t="s">
        <v>7</v>
      </c>
      <c r="B9795" t="s">
        <v>29</v>
      </c>
      <c r="C9795" t="str">
        <f t="shared" si="30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ref="H9795:H9858" si="307">F9795-G9795</f>
        <v>0</v>
      </c>
    </row>
    <row r="9796" spans="1:8" x14ac:dyDescent="0.2">
      <c r="A9796" t="s">
        <v>7</v>
      </c>
      <c r="B9796" t="s">
        <v>29</v>
      </c>
      <c r="C9796" t="str">
        <f t="shared" si="30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07"/>
        <v>0</v>
      </c>
    </row>
    <row r="9797" spans="1:8" x14ac:dyDescent="0.2">
      <c r="A9797" t="s">
        <v>7</v>
      </c>
      <c r="B9797" t="s">
        <v>29</v>
      </c>
      <c r="C9797" t="str">
        <f t="shared" ref="C9797:C9860" si="308">IF(H9797&gt;=0,"Cumple","No cumple")</f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07"/>
        <v>0</v>
      </c>
    </row>
    <row r="9798" spans="1:8" x14ac:dyDescent="0.2">
      <c r="A9798" t="s">
        <v>7</v>
      </c>
      <c r="B9798" t="s">
        <v>29</v>
      </c>
      <c r="C9798" t="str">
        <f t="shared" si="308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07"/>
        <v>0</v>
      </c>
    </row>
    <row r="9799" spans="1:8" x14ac:dyDescent="0.2">
      <c r="A9799" t="s">
        <v>7</v>
      </c>
      <c r="B9799" t="s">
        <v>29</v>
      </c>
      <c r="C9799" t="str">
        <f t="shared" si="308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07"/>
        <v>0</v>
      </c>
    </row>
    <row r="9800" spans="1:8" x14ac:dyDescent="0.2">
      <c r="A9800" t="s">
        <v>7</v>
      </c>
      <c r="B9800" t="s">
        <v>29</v>
      </c>
      <c r="C9800" t="str">
        <f t="shared" si="308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07"/>
        <v>0</v>
      </c>
    </row>
    <row r="9801" spans="1:8" x14ac:dyDescent="0.2">
      <c r="A9801" t="s">
        <v>7</v>
      </c>
      <c r="B9801" t="s">
        <v>29</v>
      </c>
      <c r="C9801" t="str">
        <f t="shared" si="308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07"/>
        <v>0</v>
      </c>
    </row>
    <row r="9802" spans="1:8" x14ac:dyDescent="0.2">
      <c r="A9802" t="s">
        <v>7</v>
      </c>
      <c r="B9802" t="s">
        <v>29</v>
      </c>
      <c r="C9802" t="str">
        <f t="shared" si="308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07"/>
        <v>0</v>
      </c>
    </row>
    <row r="9803" spans="1:8" x14ac:dyDescent="0.2">
      <c r="A9803" t="s">
        <v>7</v>
      </c>
      <c r="B9803" t="s">
        <v>29</v>
      </c>
      <c r="C9803" t="str">
        <f t="shared" si="308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07"/>
        <v>0</v>
      </c>
    </row>
    <row r="9804" spans="1:8" x14ac:dyDescent="0.2">
      <c r="A9804" t="s">
        <v>7</v>
      </c>
      <c r="B9804" t="s">
        <v>29</v>
      </c>
      <c r="C9804" t="str">
        <f t="shared" si="308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07"/>
        <v>0</v>
      </c>
    </row>
    <row r="9805" spans="1:8" x14ac:dyDescent="0.2">
      <c r="A9805" t="s">
        <v>7</v>
      </c>
      <c r="B9805" t="s">
        <v>29</v>
      </c>
      <c r="C9805" t="str">
        <f t="shared" si="308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07"/>
        <v>0</v>
      </c>
    </row>
    <row r="9806" spans="1:8" x14ac:dyDescent="0.2">
      <c r="A9806" t="s">
        <v>7</v>
      </c>
      <c r="B9806" t="s">
        <v>29</v>
      </c>
      <c r="C9806" t="str">
        <f t="shared" si="308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07"/>
        <v>0</v>
      </c>
    </row>
    <row r="9807" spans="1:8" x14ac:dyDescent="0.2">
      <c r="A9807" t="s">
        <v>7</v>
      </c>
      <c r="B9807" t="s">
        <v>29</v>
      </c>
      <c r="C9807" t="str">
        <f t="shared" si="308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07"/>
        <v>0</v>
      </c>
    </row>
    <row r="9808" spans="1:8" x14ac:dyDescent="0.2">
      <c r="A9808" t="s">
        <v>7</v>
      </c>
      <c r="B9808" t="s">
        <v>29</v>
      </c>
      <c r="C9808" t="str">
        <f t="shared" si="308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07"/>
        <v>0</v>
      </c>
    </row>
    <row r="9809" spans="1:8" x14ac:dyDescent="0.2">
      <c r="A9809" t="s">
        <v>7</v>
      </c>
      <c r="B9809" t="s">
        <v>29</v>
      </c>
      <c r="C9809" t="str">
        <f t="shared" si="308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07"/>
        <v>-3</v>
      </c>
    </row>
    <row r="9810" spans="1:8" x14ac:dyDescent="0.2">
      <c r="A9810" t="s">
        <v>7</v>
      </c>
      <c r="B9810" t="s">
        <v>29</v>
      </c>
      <c r="C9810" t="str">
        <f t="shared" si="308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07"/>
        <v>0</v>
      </c>
    </row>
    <row r="9811" spans="1:8" x14ac:dyDescent="0.2">
      <c r="A9811" t="s">
        <v>7</v>
      </c>
      <c r="B9811" t="s">
        <v>29</v>
      </c>
      <c r="C9811" t="str">
        <f t="shared" si="308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07"/>
        <v>-3</v>
      </c>
    </row>
    <row r="9812" spans="1:8" x14ac:dyDescent="0.2">
      <c r="A9812" t="s">
        <v>7</v>
      </c>
      <c r="B9812" t="s">
        <v>29</v>
      </c>
      <c r="C9812" t="str">
        <f t="shared" si="308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07"/>
        <v>0</v>
      </c>
    </row>
    <row r="9813" spans="1:8" x14ac:dyDescent="0.2">
      <c r="A9813" t="s">
        <v>7</v>
      </c>
      <c r="B9813" t="s">
        <v>29</v>
      </c>
      <c r="C9813" t="str">
        <f t="shared" si="308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07"/>
        <v>-3</v>
      </c>
    </row>
    <row r="9814" spans="1:8" x14ac:dyDescent="0.2">
      <c r="A9814" t="s">
        <v>7</v>
      </c>
      <c r="B9814" t="s">
        <v>29</v>
      </c>
      <c r="C9814" t="str">
        <f t="shared" si="308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07"/>
        <v>0</v>
      </c>
    </row>
    <row r="9815" spans="1:8" x14ac:dyDescent="0.2">
      <c r="A9815" t="s">
        <v>7</v>
      </c>
      <c r="B9815" t="s">
        <v>29</v>
      </c>
      <c r="C9815" t="str">
        <f t="shared" si="308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07"/>
        <v>-3</v>
      </c>
    </row>
    <row r="9816" spans="1:8" x14ac:dyDescent="0.2">
      <c r="A9816" t="s">
        <v>7</v>
      </c>
      <c r="B9816" t="s">
        <v>29</v>
      </c>
      <c r="C9816" t="str">
        <f t="shared" si="308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07"/>
        <v>0</v>
      </c>
    </row>
    <row r="9817" spans="1:8" x14ac:dyDescent="0.2">
      <c r="A9817" t="s">
        <v>7</v>
      </c>
      <c r="B9817" t="s">
        <v>29</v>
      </c>
      <c r="C9817" t="str">
        <f t="shared" si="308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07"/>
        <v>0</v>
      </c>
    </row>
    <row r="9818" spans="1:8" x14ac:dyDescent="0.2">
      <c r="A9818" t="s">
        <v>7</v>
      </c>
      <c r="B9818" t="s">
        <v>29</v>
      </c>
      <c r="C9818" t="str">
        <f t="shared" si="308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07"/>
        <v>0</v>
      </c>
    </row>
    <row r="9819" spans="1:8" x14ac:dyDescent="0.2">
      <c r="A9819" t="s">
        <v>7</v>
      </c>
      <c r="B9819" t="s">
        <v>29</v>
      </c>
      <c r="C9819" t="str">
        <f t="shared" si="308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07"/>
        <v>0</v>
      </c>
    </row>
    <row r="9820" spans="1:8" x14ac:dyDescent="0.2">
      <c r="A9820" t="s">
        <v>7</v>
      </c>
      <c r="B9820" t="s">
        <v>29</v>
      </c>
      <c r="C9820" t="str">
        <f t="shared" si="308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07"/>
        <v>-1</v>
      </c>
    </row>
    <row r="9821" spans="1:8" x14ac:dyDescent="0.2">
      <c r="A9821" t="s">
        <v>7</v>
      </c>
      <c r="B9821" t="s">
        <v>29</v>
      </c>
      <c r="C9821" t="str">
        <f t="shared" si="308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07"/>
        <v>-1</v>
      </c>
    </row>
    <row r="9822" spans="1:8" x14ac:dyDescent="0.2">
      <c r="A9822" t="s">
        <v>7</v>
      </c>
      <c r="B9822" t="s">
        <v>29</v>
      </c>
      <c r="C9822" t="str">
        <f t="shared" si="308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07"/>
        <v>-1</v>
      </c>
    </row>
    <row r="9823" spans="1:8" x14ac:dyDescent="0.2">
      <c r="A9823" t="s">
        <v>7</v>
      </c>
      <c r="B9823" t="s">
        <v>29</v>
      </c>
      <c r="C9823" t="str">
        <f t="shared" si="308"/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07"/>
        <v>-1</v>
      </c>
    </row>
    <row r="9824" spans="1:8" x14ac:dyDescent="0.2">
      <c r="A9824" t="s">
        <v>7</v>
      </c>
      <c r="B9824" t="s">
        <v>29</v>
      </c>
      <c r="C9824" t="str">
        <f t="shared" si="30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07"/>
        <v>0</v>
      </c>
    </row>
    <row r="9825" spans="1:8" x14ac:dyDescent="0.2">
      <c r="A9825" t="s">
        <v>7</v>
      </c>
      <c r="B9825" t="s">
        <v>29</v>
      </c>
      <c r="C9825" t="str">
        <f t="shared" si="30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07"/>
        <v>-4</v>
      </c>
    </row>
    <row r="9826" spans="1:8" x14ac:dyDescent="0.2">
      <c r="A9826" t="s">
        <v>7</v>
      </c>
      <c r="B9826" t="s">
        <v>29</v>
      </c>
      <c r="C9826" t="str">
        <f t="shared" si="30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07"/>
        <v>-1</v>
      </c>
    </row>
    <row r="9827" spans="1:8" x14ac:dyDescent="0.2">
      <c r="A9827" t="s">
        <v>7</v>
      </c>
      <c r="B9827" t="s">
        <v>29</v>
      </c>
      <c r="C9827" t="str">
        <f t="shared" si="30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07"/>
        <v>-1</v>
      </c>
    </row>
    <row r="9828" spans="1:8" x14ac:dyDescent="0.2">
      <c r="A9828" t="s">
        <v>7</v>
      </c>
      <c r="B9828" t="s">
        <v>29</v>
      </c>
      <c r="C9828" t="str">
        <f t="shared" si="30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07"/>
        <v>-1</v>
      </c>
    </row>
    <row r="9829" spans="1:8" x14ac:dyDescent="0.2">
      <c r="A9829" t="s">
        <v>7</v>
      </c>
      <c r="B9829" t="s">
        <v>29</v>
      </c>
      <c r="C9829" t="str">
        <f t="shared" si="30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07"/>
        <v>-1</v>
      </c>
    </row>
    <row r="9830" spans="1:8" x14ac:dyDescent="0.2">
      <c r="A9830" t="s">
        <v>7</v>
      </c>
      <c r="B9830" t="s">
        <v>29</v>
      </c>
      <c r="C9830" t="str">
        <f t="shared" si="30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07"/>
        <v>-1</v>
      </c>
    </row>
    <row r="9831" spans="1:8" x14ac:dyDescent="0.2">
      <c r="A9831" t="s">
        <v>7</v>
      </c>
      <c r="B9831" t="s">
        <v>29</v>
      </c>
      <c r="C9831" t="str">
        <f t="shared" si="30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07"/>
        <v>-1</v>
      </c>
    </row>
    <row r="9832" spans="1:8" x14ac:dyDescent="0.2">
      <c r="A9832" t="s">
        <v>7</v>
      </c>
      <c r="B9832" t="s">
        <v>29</v>
      </c>
      <c r="C9832" t="str">
        <f t="shared" si="30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07"/>
        <v>-1</v>
      </c>
    </row>
    <row r="9833" spans="1:8" x14ac:dyDescent="0.2">
      <c r="A9833" t="s">
        <v>7</v>
      </c>
      <c r="B9833" t="s">
        <v>29</v>
      </c>
      <c r="C9833" t="str">
        <f t="shared" si="30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07"/>
        <v>-1</v>
      </c>
    </row>
    <row r="9834" spans="1:8" x14ac:dyDescent="0.2">
      <c r="A9834" t="s">
        <v>7</v>
      </c>
      <c r="B9834" t="s">
        <v>29</v>
      </c>
      <c r="C9834" t="str">
        <f t="shared" si="30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07"/>
        <v>-1</v>
      </c>
    </row>
    <row r="9835" spans="1:8" x14ac:dyDescent="0.2">
      <c r="A9835" t="s">
        <v>7</v>
      </c>
      <c r="B9835" t="s">
        <v>29</v>
      </c>
      <c r="C9835" t="str">
        <f t="shared" si="30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07"/>
        <v>-1</v>
      </c>
    </row>
    <row r="9836" spans="1:8" x14ac:dyDescent="0.2">
      <c r="A9836" t="s">
        <v>7</v>
      </c>
      <c r="B9836" t="s">
        <v>29</v>
      </c>
      <c r="C9836" t="str">
        <f t="shared" si="30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07"/>
        <v>-1</v>
      </c>
    </row>
    <row r="9837" spans="1:8" x14ac:dyDescent="0.2">
      <c r="A9837" t="s">
        <v>7</v>
      </c>
      <c r="B9837" t="s">
        <v>29</v>
      </c>
      <c r="C9837" t="str">
        <f t="shared" si="30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07"/>
        <v>-1</v>
      </c>
    </row>
    <row r="9838" spans="1:8" x14ac:dyDescent="0.2">
      <c r="A9838" t="s">
        <v>7</v>
      </c>
      <c r="B9838" t="s">
        <v>29</v>
      </c>
      <c r="C9838" t="str">
        <f t="shared" si="30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07"/>
        <v>-1</v>
      </c>
    </row>
    <row r="9839" spans="1:8" x14ac:dyDescent="0.2">
      <c r="A9839" t="s">
        <v>7</v>
      </c>
      <c r="B9839" t="s">
        <v>29</v>
      </c>
      <c r="C9839" t="str">
        <f t="shared" si="30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07"/>
        <v>-1</v>
      </c>
    </row>
    <row r="9840" spans="1:8" x14ac:dyDescent="0.2">
      <c r="A9840" t="s">
        <v>7</v>
      </c>
      <c r="B9840" t="s">
        <v>29</v>
      </c>
      <c r="C9840" t="str">
        <f t="shared" si="30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07"/>
        <v>-1</v>
      </c>
    </row>
    <row r="9841" spans="1:8" x14ac:dyDescent="0.2">
      <c r="A9841" t="s">
        <v>7</v>
      </c>
      <c r="B9841" t="s">
        <v>29</v>
      </c>
      <c r="C9841" t="str">
        <f t="shared" si="30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07"/>
        <v>-1</v>
      </c>
    </row>
    <row r="9842" spans="1:8" x14ac:dyDescent="0.2">
      <c r="A9842" t="s">
        <v>7</v>
      </c>
      <c r="B9842" t="s">
        <v>29</v>
      </c>
      <c r="C9842" t="str">
        <f t="shared" si="30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07"/>
        <v>-2</v>
      </c>
    </row>
    <row r="9843" spans="1:8" x14ac:dyDescent="0.2">
      <c r="A9843" t="s">
        <v>7</v>
      </c>
      <c r="B9843" t="s">
        <v>29</v>
      </c>
      <c r="C9843" t="str">
        <f t="shared" si="30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07"/>
        <v>-5</v>
      </c>
    </row>
    <row r="9844" spans="1:8" x14ac:dyDescent="0.2">
      <c r="A9844" t="s">
        <v>7</v>
      </c>
      <c r="B9844" t="s">
        <v>29</v>
      </c>
      <c r="C9844" t="str">
        <f t="shared" si="30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07"/>
        <v>-2</v>
      </c>
    </row>
    <row r="9845" spans="1:8" x14ac:dyDescent="0.2">
      <c r="A9845" t="s">
        <v>7</v>
      </c>
      <c r="B9845" t="s">
        <v>29</v>
      </c>
      <c r="C9845" t="str">
        <f t="shared" si="30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07"/>
        <v>-2</v>
      </c>
    </row>
    <row r="9846" spans="1:8" x14ac:dyDescent="0.2">
      <c r="A9846" t="s">
        <v>7</v>
      </c>
      <c r="B9846" t="s">
        <v>29</v>
      </c>
      <c r="C9846" t="str">
        <f t="shared" si="30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07"/>
        <v>-2</v>
      </c>
    </row>
    <row r="9847" spans="1:8" x14ac:dyDescent="0.2">
      <c r="A9847" t="s">
        <v>7</v>
      </c>
      <c r="B9847" t="s">
        <v>29</v>
      </c>
      <c r="C9847" t="str">
        <f t="shared" si="30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07"/>
        <v>-2</v>
      </c>
    </row>
    <row r="9848" spans="1:8" x14ac:dyDescent="0.2">
      <c r="A9848" t="s">
        <v>7</v>
      </c>
      <c r="B9848" t="s">
        <v>29</v>
      </c>
      <c r="C9848" t="str">
        <f t="shared" si="30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07"/>
        <v>-2</v>
      </c>
    </row>
    <row r="9849" spans="1:8" x14ac:dyDescent="0.2">
      <c r="A9849" t="s">
        <v>7</v>
      </c>
      <c r="B9849" t="s">
        <v>29</v>
      </c>
      <c r="C9849" t="str">
        <f t="shared" si="30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07"/>
        <v>-2</v>
      </c>
    </row>
    <row r="9850" spans="1:8" x14ac:dyDescent="0.2">
      <c r="A9850" t="s">
        <v>7</v>
      </c>
      <c r="B9850" t="s">
        <v>29</v>
      </c>
      <c r="C9850" t="str">
        <f t="shared" si="30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si="307"/>
        <v>-2</v>
      </c>
    </row>
    <row r="9851" spans="1:8" x14ac:dyDescent="0.2">
      <c r="A9851" t="s">
        <v>7</v>
      </c>
      <c r="B9851" t="s">
        <v>29</v>
      </c>
      <c r="C9851" t="str">
        <f t="shared" si="30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07"/>
        <v>-2</v>
      </c>
    </row>
    <row r="9852" spans="1:8" x14ac:dyDescent="0.2">
      <c r="A9852" t="s">
        <v>7</v>
      </c>
      <c r="B9852" t="s">
        <v>29</v>
      </c>
      <c r="C9852" t="str">
        <f t="shared" si="30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07"/>
        <v>-2</v>
      </c>
    </row>
    <row r="9853" spans="1:8" x14ac:dyDescent="0.2">
      <c r="A9853" t="s">
        <v>7</v>
      </c>
      <c r="B9853" t="s">
        <v>29</v>
      </c>
      <c r="C9853" t="str">
        <f t="shared" si="30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07"/>
        <v>-5</v>
      </c>
    </row>
    <row r="9854" spans="1:8" x14ac:dyDescent="0.2">
      <c r="A9854" t="s">
        <v>7</v>
      </c>
      <c r="B9854" t="s">
        <v>29</v>
      </c>
      <c r="C9854" t="str">
        <f t="shared" si="30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07"/>
        <v>-2</v>
      </c>
    </row>
    <row r="9855" spans="1:8" x14ac:dyDescent="0.2">
      <c r="A9855" t="s">
        <v>7</v>
      </c>
      <c r="B9855" t="s">
        <v>29</v>
      </c>
      <c r="C9855" t="str">
        <f t="shared" si="30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07"/>
        <v>-2</v>
      </c>
    </row>
    <row r="9856" spans="1:8" x14ac:dyDescent="0.2">
      <c r="A9856" t="s">
        <v>7</v>
      </c>
      <c r="B9856" t="s">
        <v>29</v>
      </c>
      <c r="C9856" t="str">
        <f t="shared" si="30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07"/>
        <v>-2</v>
      </c>
    </row>
    <row r="9857" spans="1:8" x14ac:dyDescent="0.2">
      <c r="A9857" t="s">
        <v>7</v>
      </c>
      <c r="B9857" t="s">
        <v>29</v>
      </c>
      <c r="C9857" t="str">
        <f t="shared" si="30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07"/>
        <v>-5</v>
      </c>
    </row>
    <row r="9858" spans="1:8" x14ac:dyDescent="0.2">
      <c r="A9858" t="s">
        <v>7</v>
      </c>
      <c r="B9858" t="s">
        <v>29</v>
      </c>
      <c r="C9858" t="str">
        <f t="shared" si="30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07"/>
        <v>-5</v>
      </c>
    </row>
    <row r="9859" spans="1:8" x14ac:dyDescent="0.2">
      <c r="A9859" t="s">
        <v>7</v>
      </c>
      <c r="B9859" t="s">
        <v>29</v>
      </c>
      <c r="C9859" t="str">
        <f t="shared" si="30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ref="H9859:H9922" si="309">F9859-G9859</f>
        <v>-2</v>
      </c>
    </row>
    <row r="9860" spans="1:8" x14ac:dyDescent="0.2">
      <c r="A9860" t="s">
        <v>7</v>
      </c>
      <c r="B9860" t="s">
        <v>29</v>
      </c>
      <c r="C9860" t="str">
        <f t="shared" si="30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09"/>
        <v>-2</v>
      </c>
    </row>
    <row r="9861" spans="1:8" x14ac:dyDescent="0.2">
      <c r="A9861" t="s">
        <v>7</v>
      </c>
      <c r="B9861" t="s">
        <v>29</v>
      </c>
      <c r="C9861" t="str">
        <f t="shared" ref="C9861:C9924" si="310">IF(H9861&gt;=0,"Cumple","No cumple")</f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09"/>
        <v>-2</v>
      </c>
    </row>
    <row r="9862" spans="1:8" x14ac:dyDescent="0.2">
      <c r="A9862" t="s">
        <v>7</v>
      </c>
      <c r="B9862" t="s">
        <v>29</v>
      </c>
      <c r="C9862" t="str">
        <f t="shared" si="310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09"/>
        <v>-2</v>
      </c>
    </row>
    <row r="9863" spans="1:8" x14ac:dyDescent="0.2">
      <c r="A9863" t="s">
        <v>7</v>
      </c>
      <c r="B9863" t="s">
        <v>29</v>
      </c>
      <c r="C9863" t="str">
        <f t="shared" si="310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09"/>
        <v>-2</v>
      </c>
    </row>
    <row r="9864" spans="1:8" x14ac:dyDescent="0.2">
      <c r="A9864" t="s">
        <v>7</v>
      </c>
      <c r="B9864" t="s">
        <v>29</v>
      </c>
      <c r="C9864" t="str">
        <f t="shared" si="310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09"/>
        <v>-2</v>
      </c>
    </row>
    <row r="9865" spans="1:8" x14ac:dyDescent="0.2">
      <c r="A9865" t="s">
        <v>7</v>
      </c>
      <c r="B9865" t="s">
        <v>29</v>
      </c>
      <c r="C9865" t="str">
        <f t="shared" si="310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09"/>
        <v>-2</v>
      </c>
    </row>
    <row r="9866" spans="1:8" x14ac:dyDescent="0.2">
      <c r="A9866" t="s">
        <v>7</v>
      </c>
      <c r="B9866" t="s">
        <v>29</v>
      </c>
      <c r="C9866" t="str">
        <f t="shared" si="310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09"/>
        <v>-2</v>
      </c>
    </row>
    <row r="9867" spans="1:8" x14ac:dyDescent="0.2">
      <c r="A9867" t="s">
        <v>7</v>
      </c>
      <c r="B9867" t="s">
        <v>29</v>
      </c>
      <c r="C9867" t="str">
        <f t="shared" si="310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09"/>
        <v>-2</v>
      </c>
    </row>
    <row r="9868" spans="1:8" x14ac:dyDescent="0.2">
      <c r="A9868" t="s">
        <v>7</v>
      </c>
      <c r="B9868" t="s">
        <v>29</v>
      </c>
      <c r="C9868" t="str">
        <f t="shared" si="310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09"/>
        <v>-5</v>
      </c>
    </row>
    <row r="9869" spans="1:8" x14ac:dyDescent="0.2">
      <c r="A9869" t="s">
        <v>7</v>
      </c>
      <c r="B9869" t="s">
        <v>29</v>
      </c>
      <c r="C9869" t="str">
        <f t="shared" si="310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09"/>
        <v>-2</v>
      </c>
    </row>
    <row r="9870" spans="1:8" x14ac:dyDescent="0.2">
      <c r="A9870" t="s">
        <v>7</v>
      </c>
      <c r="B9870" t="s">
        <v>29</v>
      </c>
      <c r="C9870" t="str">
        <f t="shared" si="310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09"/>
        <v>-2</v>
      </c>
    </row>
    <row r="9871" spans="1:8" x14ac:dyDescent="0.2">
      <c r="A9871" t="s">
        <v>18</v>
      </c>
      <c r="B9871" t="s">
        <v>29</v>
      </c>
      <c r="C9871" t="str">
        <f t="shared" si="310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09"/>
        <v>-3</v>
      </c>
    </row>
    <row r="9872" spans="1:8" x14ac:dyDescent="0.2">
      <c r="A9872" t="s">
        <v>7</v>
      </c>
      <c r="B9872" t="s">
        <v>29</v>
      </c>
      <c r="C9872" t="str">
        <f t="shared" si="310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09"/>
        <v>-3</v>
      </c>
    </row>
    <row r="9873" spans="1:8" x14ac:dyDescent="0.2">
      <c r="A9873" t="s">
        <v>18</v>
      </c>
      <c r="B9873" t="s">
        <v>29</v>
      </c>
      <c r="C9873" t="str">
        <f t="shared" si="310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09"/>
        <v>-3</v>
      </c>
    </row>
    <row r="9874" spans="1:8" x14ac:dyDescent="0.2">
      <c r="A9874" t="s">
        <v>7</v>
      </c>
      <c r="B9874" t="s">
        <v>29</v>
      </c>
      <c r="C9874" t="str">
        <f t="shared" si="310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09"/>
        <v>-3</v>
      </c>
    </row>
    <row r="9875" spans="1:8" x14ac:dyDescent="0.2">
      <c r="A9875" t="s">
        <v>18</v>
      </c>
      <c r="B9875" t="s">
        <v>29</v>
      </c>
      <c r="C9875" t="str">
        <f t="shared" si="310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09"/>
        <v>-3</v>
      </c>
    </row>
    <row r="9876" spans="1:8" x14ac:dyDescent="0.2">
      <c r="A9876" t="s">
        <v>7</v>
      </c>
      <c r="B9876" t="s">
        <v>29</v>
      </c>
      <c r="C9876" t="str">
        <f t="shared" si="310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09"/>
        <v>-3</v>
      </c>
    </row>
    <row r="9877" spans="1:8" x14ac:dyDescent="0.2">
      <c r="A9877" t="s">
        <v>7</v>
      </c>
      <c r="B9877" t="s">
        <v>29</v>
      </c>
      <c r="C9877" t="str">
        <f t="shared" si="310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09"/>
        <v>-3</v>
      </c>
    </row>
    <row r="9878" spans="1:8" x14ac:dyDescent="0.2">
      <c r="A9878" t="s">
        <v>18</v>
      </c>
      <c r="B9878" t="s">
        <v>29</v>
      </c>
      <c r="C9878" t="str">
        <f t="shared" si="310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09"/>
        <v>-3</v>
      </c>
    </row>
    <row r="9879" spans="1:8" x14ac:dyDescent="0.2">
      <c r="A9879" t="s">
        <v>7</v>
      </c>
      <c r="B9879" t="s">
        <v>29</v>
      </c>
      <c r="C9879" t="str">
        <f t="shared" si="310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09"/>
        <v>-3</v>
      </c>
    </row>
    <row r="9880" spans="1:8" x14ac:dyDescent="0.2">
      <c r="A9880" t="s">
        <v>7</v>
      </c>
      <c r="B9880" t="s">
        <v>29</v>
      </c>
      <c r="C9880" t="str">
        <f t="shared" si="310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09"/>
        <v>-3</v>
      </c>
    </row>
    <row r="9881" spans="1:8" x14ac:dyDescent="0.2">
      <c r="A9881" t="s">
        <v>18</v>
      </c>
      <c r="B9881" t="s">
        <v>29</v>
      </c>
      <c r="C9881" t="str">
        <f t="shared" si="310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09"/>
        <v>-3</v>
      </c>
    </row>
    <row r="9882" spans="1:8" x14ac:dyDescent="0.2">
      <c r="A9882" t="s">
        <v>18</v>
      </c>
      <c r="B9882" t="s">
        <v>29</v>
      </c>
      <c r="C9882" t="str">
        <f t="shared" si="310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09"/>
        <v>-3</v>
      </c>
    </row>
    <row r="9883" spans="1:8" x14ac:dyDescent="0.2">
      <c r="A9883" t="s">
        <v>18</v>
      </c>
      <c r="B9883" t="s">
        <v>29</v>
      </c>
      <c r="C9883" t="str">
        <f t="shared" si="310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09"/>
        <v>0</v>
      </c>
    </row>
    <row r="9884" spans="1:8" x14ac:dyDescent="0.2">
      <c r="A9884" t="s">
        <v>7</v>
      </c>
      <c r="B9884" t="s">
        <v>29</v>
      </c>
      <c r="C9884" t="str">
        <f t="shared" si="310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09"/>
        <v>-3</v>
      </c>
    </row>
    <row r="9885" spans="1:8" x14ac:dyDescent="0.2">
      <c r="A9885" t="s">
        <v>18</v>
      </c>
      <c r="B9885" t="s">
        <v>29</v>
      </c>
      <c r="C9885" t="str">
        <f t="shared" si="310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09"/>
        <v>-3</v>
      </c>
    </row>
    <row r="9886" spans="1:8" x14ac:dyDescent="0.2">
      <c r="A9886" t="s">
        <v>7</v>
      </c>
      <c r="B9886" t="s">
        <v>29</v>
      </c>
      <c r="C9886" t="str">
        <f t="shared" si="310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09"/>
        <v>-3</v>
      </c>
    </row>
    <row r="9887" spans="1:8" x14ac:dyDescent="0.2">
      <c r="A9887" t="s">
        <v>18</v>
      </c>
      <c r="B9887" t="s">
        <v>29</v>
      </c>
      <c r="C9887" t="str">
        <f t="shared" si="310"/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09"/>
        <v>-3</v>
      </c>
    </row>
    <row r="9888" spans="1:8" x14ac:dyDescent="0.2">
      <c r="A9888" t="s">
        <v>18</v>
      </c>
      <c r="B9888" t="s">
        <v>29</v>
      </c>
      <c r="C9888" t="str">
        <f t="shared" si="31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09"/>
        <v>-3</v>
      </c>
    </row>
    <row r="9889" spans="1:8" x14ac:dyDescent="0.2">
      <c r="A9889" t="s">
        <v>7</v>
      </c>
      <c r="B9889" t="s">
        <v>29</v>
      </c>
      <c r="C9889" t="str">
        <f t="shared" si="31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09"/>
        <v>-3</v>
      </c>
    </row>
    <row r="9890" spans="1:8" x14ac:dyDescent="0.2">
      <c r="A9890" t="s">
        <v>7</v>
      </c>
      <c r="B9890" t="s">
        <v>29</v>
      </c>
      <c r="C9890" t="str">
        <f t="shared" si="31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09"/>
        <v>-3</v>
      </c>
    </row>
    <row r="9891" spans="1:8" x14ac:dyDescent="0.2">
      <c r="A9891" t="s">
        <v>18</v>
      </c>
      <c r="B9891" t="s">
        <v>29</v>
      </c>
      <c r="C9891" t="str">
        <f t="shared" si="31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09"/>
        <v>-3</v>
      </c>
    </row>
    <row r="9892" spans="1:8" x14ac:dyDescent="0.2">
      <c r="A9892" t="s">
        <v>18</v>
      </c>
      <c r="B9892" t="s">
        <v>29</v>
      </c>
      <c r="C9892" t="str">
        <f t="shared" si="31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09"/>
        <v>-3</v>
      </c>
    </row>
    <row r="9893" spans="1:8" x14ac:dyDescent="0.2">
      <c r="A9893" t="s">
        <v>18</v>
      </c>
      <c r="B9893" t="s">
        <v>29</v>
      </c>
      <c r="C9893" t="str">
        <f t="shared" si="31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09"/>
        <v>-3</v>
      </c>
    </row>
    <row r="9894" spans="1:8" x14ac:dyDescent="0.2">
      <c r="A9894" t="s">
        <v>18</v>
      </c>
      <c r="B9894" t="s">
        <v>29</v>
      </c>
      <c r="C9894" t="str">
        <f t="shared" si="31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09"/>
        <v>-3</v>
      </c>
    </row>
    <row r="9895" spans="1:8" x14ac:dyDescent="0.2">
      <c r="A9895" t="s">
        <v>7</v>
      </c>
      <c r="B9895" t="s">
        <v>29</v>
      </c>
      <c r="C9895" t="str">
        <f t="shared" si="31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09"/>
        <v>-3</v>
      </c>
    </row>
    <row r="9896" spans="1:8" x14ac:dyDescent="0.2">
      <c r="A9896" t="s">
        <v>18</v>
      </c>
      <c r="B9896" t="s">
        <v>29</v>
      </c>
      <c r="C9896" t="str">
        <f t="shared" si="31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09"/>
        <v>-3</v>
      </c>
    </row>
    <row r="9897" spans="1:8" x14ac:dyDescent="0.2">
      <c r="A9897" t="s">
        <v>18</v>
      </c>
      <c r="B9897" t="s">
        <v>29</v>
      </c>
      <c r="C9897" t="str">
        <f t="shared" si="31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09"/>
        <v>-3</v>
      </c>
    </row>
    <row r="9898" spans="1:8" x14ac:dyDescent="0.2">
      <c r="A9898" t="s">
        <v>18</v>
      </c>
      <c r="B9898" t="s">
        <v>29</v>
      </c>
      <c r="C9898" t="str">
        <f t="shared" si="31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09"/>
        <v>-3</v>
      </c>
    </row>
    <row r="9899" spans="1:8" x14ac:dyDescent="0.2">
      <c r="A9899" t="s">
        <v>18</v>
      </c>
      <c r="B9899" t="s">
        <v>29</v>
      </c>
      <c r="C9899" t="str">
        <f t="shared" si="31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09"/>
        <v>-3</v>
      </c>
    </row>
    <row r="9900" spans="1:8" x14ac:dyDescent="0.2">
      <c r="A9900" t="s">
        <v>18</v>
      </c>
      <c r="B9900" t="s">
        <v>29</v>
      </c>
      <c r="C9900" t="str">
        <f t="shared" si="31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09"/>
        <v>-3</v>
      </c>
    </row>
    <row r="9901" spans="1:8" x14ac:dyDescent="0.2">
      <c r="A9901" t="s">
        <v>18</v>
      </c>
      <c r="B9901" t="s">
        <v>29</v>
      </c>
      <c r="C9901" t="str">
        <f t="shared" si="31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09"/>
        <v>-3</v>
      </c>
    </row>
    <row r="9902" spans="1:8" x14ac:dyDescent="0.2">
      <c r="A9902" t="s">
        <v>18</v>
      </c>
      <c r="B9902" t="s">
        <v>29</v>
      </c>
      <c r="C9902" t="str">
        <f t="shared" si="31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09"/>
        <v>-3</v>
      </c>
    </row>
    <row r="9903" spans="1:8" x14ac:dyDescent="0.2">
      <c r="A9903" t="s">
        <v>18</v>
      </c>
      <c r="B9903" t="s">
        <v>29</v>
      </c>
      <c r="C9903" t="str">
        <f t="shared" si="31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09"/>
        <v>-3</v>
      </c>
    </row>
    <row r="9904" spans="1:8" x14ac:dyDescent="0.2">
      <c r="A9904" t="s">
        <v>18</v>
      </c>
      <c r="B9904" t="s">
        <v>29</v>
      </c>
      <c r="C9904" t="str">
        <f t="shared" si="31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09"/>
        <v>-3</v>
      </c>
    </row>
    <row r="9905" spans="1:8" x14ac:dyDescent="0.2">
      <c r="A9905" t="s">
        <v>18</v>
      </c>
      <c r="B9905" t="s">
        <v>29</v>
      </c>
      <c r="C9905" t="str">
        <f t="shared" si="31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09"/>
        <v>-3</v>
      </c>
    </row>
    <row r="9906" spans="1:8" x14ac:dyDescent="0.2">
      <c r="A9906" t="s">
        <v>7</v>
      </c>
      <c r="B9906" t="s">
        <v>29</v>
      </c>
      <c r="C9906" t="str">
        <f t="shared" si="31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09"/>
        <v>-3</v>
      </c>
    </row>
    <row r="9907" spans="1:8" x14ac:dyDescent="0.2">
      <c r="A9907" t="s">
        <v>7</v>
      </c>
      <c r="B9907" t="s">
        <v>29</v>
      </c>
      <c r="C9907" t="str">
        <f t="shared" si="31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09"/>
        <v>-3</v>
      </c>
    </row>
    <row r="9908" spans="1:8" x14ac:dyDescent="0.2">
      <c r="A9908" t="s">
        <v>18</v>
      </c>
      <c r="B9908" t="s">
        <v>29</v>
      </c>
      <c r="C9908" t="str">
        <f t="shared" si="31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09"/>
        <v>-3</v>
      </c>
    </row>
    <row r="9909" spans="1:8" x14ac:dyDescent="0.2">
      <c r="A9909" t="s">
        <v>7</v>
      </c>
      <c r="B9909" t="s">
        <v>29</v>
      </c>
      <c r="C9909" t="str">
        <f t="shared" si="31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09"/>
        <v>-3</v>
      </c>
    </row>
    <row r="9910" spans="1:8" x14ac:dyDescent="0.2">
      <c r="A9910" t="s">
        <v>7</v>
      </c>
      <c r="B9910" t="s">
        <v>29</v>
      </c>
      <c r="C9910" t="str">
        <f t="shared" si="31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09"/>
        <v>-3</v>
      </c>
    </row>
    <row r="9911" spans="1:8" x14ac:dyDescent="0.2">
      <c r="A9911" t="s">
        <v>18</v>
      </c>
      <c r="B9911" t="s">
        <v>29</v>
      </c>
      <c r="C9911" t="str">
        <f t="shared" si="31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09"/>
        <v>-3</v>
      </c>
    </row>
    <row r="9912" spans="1:8" x14ac:dyDescent="0.2">
      <c r="A9912" t="s">
        <v>7</v>
      </c>
      <c r="B9912" t="s">
        <v>29</v>
      </c>
      <c r="C9912" t="str">
        <f t="shared" si="31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09"/>
        <v>-3</v>
      </c>
    </row>
    <row r="9913" spans="1:8" x14ac:dyDescent="0.2">
      <c r="A9913" t="s">
        <v>7</v>
      </c>
      <c r="B9913" t="s">
        <v>29</v>
      </c>
      <c r="C9913" t="str">
        <f t="shared" si="31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09"/>
        <v>-3</v>
      </c>
    </row>
    <row r="9914" spans="1:8" x14ac:dyDescent="0.2">
      <c r="A9914" t="s">
        <v>7</v>
      </c>
      <c r="B9914" t="s">
        <v>29</v>
      </c>
      <c r="C9914" t="str">
        <f t="shared" si="31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si="309"/>
        <v>-3</v>
      </c>
    </row>
    <row r="9915" spans="1:8" x14ac:dyDescent="0.2">
      <c r="A9915" t="s">
        <v>7</v>
      </c>
      <c r="B9915" t="s">
        <v>29</v>
      </c>
      <c r="C9915" t="str">
        <f t="shared" si="31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09"/>
        <v>-3</v>
      </c>
    </row>
    <row r="9916" spans="1:8" x14ac:dyDescent="0.2">
      <c r="A9916" t="s">
        <v>7</v>
      </c>
      <c r="B9916" t="s">
        <v>29</v>
      </c>
      <c r="C9916" t="str">
        <f t="shared" si="31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09"/>
        <v>-3</v>
      </c>
    </row>
    <row r="9917" spans="1:8" x14ac:dyDescent="0.2">
      <c r="A9917" t="s">
        <v>18</v>
      </c>
      <c r="B9917" t="s">
        <v>29</v>
      </c>
      <c r="C9917" t="str">
        <f t="shared" si="31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09"/>
        <v>-3</v>
      </c>
    </row>
    <row r="9918" spans="1:8" x14ac:dyDescent="0.2">
      <c r="A9918" t="s">
        <v>7</v>
      </c>
      <c r="B9918" t="s">
        <v>29</v>
      </c>
      <c r="C9918" t="str">
        <f t="shared" si="31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09"/>
        <v>-3</v>
      </c>
    </row>
    <row r="9919" spans="1:8" x14ac:dyDescent="0.2">
      <c r="A9919" t="s">
        <v>7</v>
      </c>
      <c r="B9919" t="s">
        <v>29</v>
      </c>
      <c r="C9919" t="str">
        <f t="shared" si="31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09"/>
        <v>-3</v>
      </c>
    </row>
    <row r="9920" spans="1:8" x14ac:dyDescent="0.2">
      <c r="A9920" t="s">
        <v>7</v>
      </c>
      <c r="B9920" t="s">
        <v>29</v>
      </c>
      <c r="C9920" t="str">
        <f t="shared" si="31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09"/>
        <v>-3</v>
      </c>
    </row>
    <row r="9921" spans="1:8" x14ac:dyDescent="0.2">
      <c r="A9921" t="s">
        <v>18</v>
      </c>
      <c r="B9921" t="s">
        <v>29</v>
      </c>
      <c r="C9921" t="str">
        <f t="shared" si="31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09"/>
        <v>-3</v>
      </c>
    </row>
    <row r="9922" spans="1:8" x14ac:dyDescent="0.2">
      <c r="A9922" t="s">
        <v>7</v>
      </c>
      <c r="B9922" t="s">
        <v>29</v>
      </c>
      <c r="C9922" t="str">
        <f t="shared" si="31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09"/>
        <v>-3</v>
      </c>
    </row>
    <row r="9923" spans="1:8" x14ac:dyDescent="0.2">
      <c r="A9923" t="s">
        <v>7</v>
      </c>
      <c r="B9923" t="s">
        <v>29</v>
      </c>
      <c r="C9923" t="str">
        <f t="shared" si="31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ref="H9923:H9986" si="311">F9923-G9923</f>
        <v>-3</v>
      </c>
    </row>
    <row r="9924" spans="1:8" x14ac:dyDescent="0.2">
      <c r="A9924" t="s">
        <v>18</v>
      </c>
      <c r="B9924" t="s">
        <v>29</v>
      </c>
      <c r="C9924" t="str">
        <f t="shared" si="31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11"/>
        <v>-3</v>
      </c>
    </row>
    <row r="9925" spans="1:8" x14ac:dyDescent="0.2">
      <c r="A9925" t="s">
        <v>18</v>
      </c>
      <c r="B9925" t="s">
        <v>29</v>
      </c>
      <c r="C9925" t="str">
        <f t="shared" ref="C9925:C9988" si="312">IF(H9925&gt;=0,"Cumple","No cumple")</f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11"/>
        <v>-6</v>
      </c>
    </row>
    <row r="9926" spans="1:8" x14ac:dyDescent="0.2">
      <c r="A9926" t="s">
        <v>18</v>
      </c>
      <c r="B9926" t="s">
        <v>29</v>
      </c>
      <c r="C9926" t="str">
        <f t="shared" si="312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11"/>
        <v>-3</v>
      </c>
    </row>
    <row r="9927" spans="1:8" x14ac:dyDescent="0.2">
      <c r="A9927" t="s">
        <v>7</v>
      </c>
      <c r="B9927" t="s">
        <v>29</v>
      </c>
      <c r="C9927" t="str">
        <f t="shared" si="312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11"/>
        <v>-3</v>
      </c>
    </row>
    <row r="9928" spans="1:8" x14ac:dyDescent="0.2">
      <c r="A9928" t="s">
        <v>19</v>
      </c>
      <c r="B9928" t="s">
        <v>29</v>
      </c>
      <c r="C9928" t="str">
        <f t="shared" si="312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11"/>
        <v>-3</v>
      </c>
    </row>
    <row r="9929" spans="1:8" x14ac:dyDescent="0.2">
      <c r="A9929" t="s">
        <v>7</v>
      </c>
      <c r="B9929" t="s">
        <v>29</v>
      </c>
      <c r="C9929" t="str">
        <f t="shared" si="312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11"/>
        <v>-3</v>
      </c>
    </row>
    <row r="9930" spans="1:8" x14ac:dyDescent="0.2">
      <c r="A9930" t="s">
        <v>7</v>
      </c>
      <c r="B9930" t="s">
        <v>29</v>
      </c>
      <c r="C9930" t="str">
        <f t="shared" si="312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11"/>
        <v>-3</v>
      </c>
    </row>
    <row r="9931" spans="1:8" x14ac:dyDescent="0.2">
      <c r="A9931" t="s">
        <v>7</v>
      </c>
      <c r="B9931" t="s">
        <v>29</v>
      </c>
      <c r="C9931" t="str">
        <f t="shared" si="312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11"/>
        <v>-3</v>
      </c>
    </row>
    <row r="9932" spans="1:8" x14ac:dyDescent="0.2">
      <c r="A9932" t="s">
        <v>7</v>
      </c>
      <c r="B9932" t="s">
        <v>29</v>
      </c>
      <c r="C9932" t="str">
        <f t="shared" si="312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11"/>
        <v>-6</v>
      </c>
    </row>
    <row r="9933" spans="1:8" x14ac:dyDescent="0.2">
      <c r="A9933" t="s">
        <v>18</v>
      </c>
      <c r="B9933" t="s">
        <v>29</v>
      </c>
      <c r="C9933" t="str">
        <f t="shared" si="312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11"/>
        <v>-3</v>
      </c>
    </row>
    <row r="9934" spans="1:8" x14ac:dyDescent="0.2">
      <c r="A9934" t="s">
        <v>7</v>
      </c>
      <c r="B9934" t="s">
        <v>29</v>
      </c>
      <c r="C9934" t="str">
        <f t="shared" si="312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11"/>
        <v>-6</v>
      </c>
    </row>
    <row r="9935" spans="1:8" x14ac:dyDescent="0.2">
      <c r="A9935" t="s">
        <v>7</v>
      </c>
      <c r="B9935" t="s">
        <v>29</v>
      </c>
      <c r="C9935" t="str">
        <f t="shared" si="312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11"/>
        <v>-3</v>
      </c>
    </row>
    <row r="9936" spans="1:8" x14ac:dyDescent="0.2">
      <c r="A9936" t="s">
        <v>7</v>
      </c>
      <c r="B9936" t="s">
        <v>29</v>
      </c>
      <c r="C9936" t="str">
        <f t="shared" si="312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11"/>
        <v>-3</v>
      </c>
    </row>
    <row r="9937" spans="1:8" x14ac:dyDescent="0.2">
      <c r="A9937" t="s">
        <v>18</v>
      </c>
      <c r="B9937" t="s">
        <v>29</v>
      </c>
      <c r="C9937" t="str">
        <f t="shared" si="312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11"/>
        <v>-3</v>
      </c>
    </row>
    <row r="9938" spans="1:8" x14ac:dyDescent="0.2">
      <c r="A9938" t="s">
        <v>7</v>
      </c>
      <c r="B9938" t="s">
        <v>29</v>
      </c>
      <c r="C9938" t="str">
        <f t="shared" si="312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11"/>
        <v>-3</v>
      </c>
    </row>
    <row r="9939" spans="1:8" x14ac:dyDescent="0.2">
      <c r="A9939" t="s">
        <v>7</v>
      </c>
      <c r="B9939" t="s">
        <v>29</v>
      </c>
      <c r="C9939" t="str">
        <f t="shared" si="312"/>
        <v>Cumple</v>
      </c>
      <c r="D9939">
        <v>7566</v>
      </c>
      <c r="E9939" t="s">
        <v>15</v>
      </c>
      <c r="F9939">
        <v>35</v>
      </c>
      <c r="G9939">
        <v>6</v>
      </c>
      <c r="H9939">
        <f t="shared" si="311"/>
        <v>29</v>
      </c>
    </row>
    <row r="9940" spans="1:8" x14ac:dyDescent="0.2">
      <c r="A9940" t="s">
        <v>7</v>
      </c>
      <c r="B9940" t="s">
        <v>29</v>
      </c>
      <c r="C9940" t="str">
        <f t="shared" si="312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si="311"/>
        <v>25</v>
      </c>
    </row>
    <row r="9941" spans="1:8" x14ac:dyDescent="0.2">
      <c r="A9941" t="s">
        <v>7</v>
      </c>
      <c r="B9941" t="s">
        <v>29</v>
      </c>
      <c r="C9941" t="str">
        <f t="shared" si="312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11"/>
        <v>16</v>
      </c>
    </row>
    <row r="9942" spans="1:8" x14ac:dyDescent="0.2">
      <c r="A9942" t="s">
        <v>7</v>
      </c>
      <c r="B9942" t="s">
        <v>29</v>
      </c>
      <c r="C9942" t="str">
        <f t="shared" si="312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11"/>
        <v>14</v>
      </c>
    </row>
    <row r="9943" spans="1:8" x14ac:dyDescent="0.2">
      <c r="A9943" t="s">
        <v>7</v>
      </c>
      <c r="B9943" t="s">
        <v>29</v>
      </c>
      <c r="C9943" t="str">
        <f t="shared" si="312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11"/>
        <v>13</v>
      </c>
    </row>
    <row r="9944" spans="1:8" x14ac:dyDescent="0.2">
      <c r="A9944" t="s">
        <v>7</v>
      </c>
      <c r="B9944" t="s">
        <v>29</v>
      </c>
      <c r="C9944" t="str">
        <f t="shared" si="312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11"/>
        <v>11</v>
      </c>
    </row>
    <row r="9945" spans="1:8" x14ac:dyDescent="0.2">
      <c r="A9945" t="s">
        <v>7</v>
      </c>
      <c r="B9945" t="s">
        <v>29</v>
      </c>
      <c r="C9945" t="str">
        <f t="shared" si="312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11"/>
        <v>11</v>
      </c>
    </row>
    <row r="9946" spans="1:8" x14ac:dyDescent="0.2">
      <c r="A9946" t="s">
        <v>7</v>
      </c>
      <c r="B9946" t="s">
        <v>29</v>
      </c>
      <c r="C9946" t="str">
        <f t="shared" si="312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11"/>
        <v>11</v>
      </c>
    </row>
    <row r="9947" spans="1:8" x14ac:dyDescent="0.2">
      <c r="A9947" t="s">
        <v>7</v>
      </c>
      <c r="B9947" t="s">
        <v>29</v>
      </c>
      <c r="C9947" t="str">
        <f t="shared" si="312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11"/>
        <v>7</v>
      </c>
    </row>
    <row r="9948" spans="1:8" x14ac:dyDescent="0.2">
      <c r="A9948" t="s">
        <v>7</v>
      </c>
      <c r="B9948" t="s">
        <v>29</v>
      </c>
      <c r="C9948" t="str">
        <f t="shared" si="312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11"/>
        <v>7</v>
      </c>
    </row>
    <row r="9949" spans="1:8" x14ac:dyDescent="0.2">
      <c r="A9949" t="s">
        <v>7</v>
      </c>
      <c r="B9949" t="s">
        <v>29</v>
      </c>
      <c r="C9949" t="str">
        <f t="shared" si="312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11"/>
        <v>6</v>
      </c>
    </row>
    <row r="9950" spans="1:8" x14ac:dyDescent="0.2">
      <c r="A9950" t="s">
        <v>7</v>
      </c>
      <c r="B9950" t="s">
        <v>29</v>
      </c>
      <c r="C9950" t="str">
        <f t="shared" si="312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11"/>
        <v>6</v>
      </c>
    </row>
    <row r="9951" spans="1:8" x14ac:dyDescent="0.2">
      <c r="A9951" t="s">
        <v>7</v>
      </c>
      <c r="B9951" t="s">
        <v>29</v>
      </c>
      <c r="C9951" t="str">
        <f t="shared" si="312"/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11"/>
        <v>5</v>
      </c>
    </row>
    <row r="9952" spans="1:8" x14ac:dyDescent="0.2">
      <c r="A9952" t="s">
        <v>7</v>
      </c>
      <c r="B9952" t="s">
        <v>29</v>
      </c>
      <c r="C9952" t="str">
        <f t="shared" si="312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11"/>
        <v>3</v>
      </c>
    </row>
    <row r="9953" spans="1:8" x14ac:dyDescent="0.2">
      <c r="A9953" t="s">
        <v>7</v>
      </c>
      <c r="B9953" t="s">
        <v>29</v>
      </c>
      <c r="C9953" t="str">
        <f t="shared" si="312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11"/>
        <v>3</v>
      </c>
    </row>
    <row r="9954" spans="1:8" x14ac:dyDescent="0.2">
      <c r="A9954" t="s">
        <v>7</v>
      </c>
      <c r="B9954" t="s">
        <v>29</v>
      </c>
      <c r="C9954" t="str">
        <f t="shared" si="312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11"/>
        <v>3</v>
      </c>
    </row>
    <row r="9955" spans="1:8" x14ac:dyDescent="0.2">
      <c r="A9955" t="s">
        <v>7</v>
      </c>
      <c r="B9955" t="s">
        <v>29</v>
      </c>
      <c r="C9955" t="str">
        <f t="shared" si="312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11"/>
        <v>3</v>
      </c>
    </row>
    <row r="9956" spans="1:8" x14ac:dyDescent="0.2">
      <c r="A9956" t="s">
        <v>7</v>
      </c>
      <c r="B9956" t="s">
        <v>29</v>
      </c>
      <c r="C9956" t="str">
        <f t="shared" si="312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11"/>
        <v>3</v>
      </c>
    </row>
    <row r="9957" spans="1:8" x14ac:dyDescent="0.2">
      <c r="A9957" t="s">
        <v>7</v>
      </c>
      <c r="B9957" t="s">
        <v>29</v>
      </c>
      <c r="C9957" t="str">
        <f t="shared" si="312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11"/>
        <v>3</v>
      </c>
    </row>
    <row r="9958" spans="1:8" x14ac:dyDescent="0.2">
      <c r="A9958" t="s">
        <v>7</v>
      </c>
      <c r="B9958" t="s">
        <v>29</v>
      </c>
      <c r="C9958" t="str">
        <f t="shared" si="312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11"/>
        <v>2</v>
      </c>
    </row>
    <row r="9959" spans="1:8" x14ac:dyDescent="0.2">
      <c r="A9959" t="s">
        <v>7</v>
      </c>
      <c r="B9959" t="s">
        <v>29</v>
      </c>
      <c r="C9959" t="str">
        <f t="shared" si="312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11"/>
        <v>2</v>
      </c>
    </row>
    <row r="9960" spans="1:8" x14ac:dyDescent="0.2">
      <c r="A9960" t="s">
        <v>7</v>
      </c>
      <c r="B9960" t="s">
        <v>29</v>
      </c>
      <c r="C9960" t="str">
        <f t="shared" si="312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11"/>
        <v>2</v>
      </c>
    </row>
    <row r="9961" spans="1:8" x14ac:dyDescent="0.2">
      <c r="A9961" t="s">
        <v>7</v>
      </c>
      <c r="B9961" t="s">
        <v>29</v>
      </c>
      <c r="C9961" t="str">
        <f t="shared" si="312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11"/>
        <v>1</v>
      </c>
    </row>
    <row r="9962" spans="1:8" x14ac:dyDescent="0.2">
      <c r="A9962" t="s">
        <v>7</v>
      </c>
      <c r="B9962" t="s">
        <v>29</v>
      </c>
      <c r="C9962" t="str">
        <f t="shared" si="312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11"/>
        <v>1</v>
      </c>
    </row>
    <row r="9963" spans="1:8" x14ac:dyDescent="0.2">
      <c r="A9963" t="s">
        <v>7</v>
      </c>
      <c r="B9963" t="s">
        <v>29</v>
      </c>
      <c r="C9963" t="str">
        <f t="shared" si="312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11"/>
        <v>1</v>
      </c>
    </row>
    <row r="9964" spans="1:8" x14ac:dyDescent="0.2">
      <c r="A9964" t="s">
        <v>7</v>
      </c>
      <c r="B9964" t="s">
        <v>29</v>
      </c>
      <c r="C9964" t="str">
        <f t="shared" si="312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11"/>
        <v>0</v>
      </c>
    </row>
    <row r="9965" spans="1:8" x14ac:dyDescent="0.2">
      <c r="A9965" t="s">
        <v>7</v>
      </c>
      <c r="B9965" t="s">
        <v>29</v>
      </c>
      <c r="C9965" t="str">
        <f t="shared" si="312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11"/>
        <v>0</v>
      </c>
    </row>
    <row r="9966" spans="1:8" x14ac:dyDescent="0.2">
      <c r="A9966" t="s">
        <v>7</v>
      </c>
      <c r="B9966" t="s">
        <v>29</v>
      </c>
      <c r="C9966" t="str">
        <f t="shared" si="312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11"/>
        <v>0</v>
      </c>
    </row>
    <row r="9967" spans="1:8" x14ac:dyDescent="0.2">
      <c r="A9967" t="s">
        <v>7</v>
      </c>
      <c r="B9967" t="s">
        <v>29</v>
      </c>
      <c r="C9967" t="str">
        <f t="shared" si="312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11"/>
        <v>-1</v>
      </c>
    </row>
    <row r="9968" spans="1:8" x14ac:dyDescent="0.2">
      <c r="A9968" t="s">
        <v>7</v>
      </c>
      <c r="B9968" t="s">
        <v>29</v>
      </c>
      <c r="C9968" t="str">
        <f t="shared" si="312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11"/>
        <v>-1</v>
      </c>
    </row>
    <row r="9969" spans="1:8" x14ac:dyDescent="0.2">
      <c r="A9969" t="s">
        <v>7</v>
      </c>
      <c r="B9969" t="s">
        <v>29</v>
      </c>
      <c r="C9969" t="str">
        <f t="shared" si="312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11"/>
        <v>-1</v>
      </c>
    </row>
    <row r="9970" spans="1:8" x14ac:dyDescent="0.2">
      <c r="A9970" t="s">
        <v>7</v>
      </c>
      <c r="B9970" t="s">
        <v>29</v>
      </c>
      <c r="C9970" t="str">
        <f t="shared" si="312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11"/>
        <v>-1</v>
      </c>
    </row>
    <row r="9971" spans="1:8" x14ac:dyDescent="0.2">
      <c r="A9971" t="s">
        <v>7</v>
      </c>
      <c r="B9971" t="s">
        <v>29</v>
      </c>
      <c r="C9971" t="str">
        <f t="shared" si="312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11"/>
        <v>-1</v>
      </c>
    </row>
    <row r="9972" spans="1:8" x14ac:dyDescent="0.2">
      <c r="A9972" t="s">
        <v>7</v>
      </c>
      <c r="B9972" t="s">
        <v>29</v>
      </c>
      <c r="C9972" t="str">
        <f t="shared" si="312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11"/>
        <v>-2</v>
      </c>
    </row>
    <row r="9973" spans="1:8" x14ac:dyDescent="0.2">
      <c r="A9973" t="s">
        <v>7</v>
      </c>
      <c r="B9973" t="s">
        <v>29</v>
      </c>
      <c r="C9973" t="str">
        <f t="shared" si="312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11"/>
        <v>-2</v>
      </c>
    </row>
    <row r="9974" spans="1:8" x14ac:dyDescent="0.2">
      <c r="A9974" t="s">
        <v>7</v>
      </c>
      <c r="B9974" t="s">
        <v>29</v>
      </c>
      <c r="C9974" t="str">
        <f t="shared" si="312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11"/>
        <v>-2</v>
      </c>
    </row>
    <row r="9975" spans="1:8" x14ac:dyDescent="0.2">
      <c r="A9975" t="s">
        <v>7</v>
      </c>
      <c r="B9975" t="s">
        <v>29</v>
      </c>
      <c r="C9975" t="str">
        <f t="shared" si="312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11"/>
        <v>-2</v>
      </c>
    </row>
    <row r="9976" spans="1:8" x14ac:dyDescent="0.2">
      <c r="A9976" t="s">
        <v>7</v>
      </c>
      <c r="B9976" t="s">
        <v>29</v>
      </c>
      <c r="C9976" t="str">
        <f t="shared" si="312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11"/>
        <v>-3</v>
      </c>
    </row>
    <row r="9977" spans="1:8" x14ac:dyDescent="0.2">
      <c r="A9977" t="s">
        <v>7</v>
      </c>
      <c r="B9977" t="s">
        <v>29</v>
      </c>
      <c r="C9977" t="str">
        <f t="shared" si="312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11"/>
        <v>-3</v>
      </c>
    </row>
    <row r="9978" spans="1:8" x14ac:dyDescent="0.2">
      <c r="A9978" t="s">
        <v>7</v>
      </c>
      <c r="B9978" t="s">
        <v>29</v>
      </c>
      <c r="C9978" t="str">
        <f t="shared" si="312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11"/>
        <v>-3</v>
      </c>
    </row>
    <row r="9979" spans="1:8" x14ac:dyDescent="0.2">
      <c r="A9979" t="s">
        <v>7</v>
      </c>
      <c r="B9979" t="s">
        <v>29</v>
      </c>
      <c r="C9979" t="str">
        <f t="shared" si="312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11"/>
        <v>-3</v>
      </c>
    </row>
    <row r="9980" spans="1:8" x14ac:dyDescent="0.2">
      <c r="A9980" t="s">
        <v>7</v>
      </c>
      <c r="B9980" t="s">
        <v>29</v>
      </c>
      <c r="C9980" t="str">
        <f t="shared" si="312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11"/>
        <v>-3</v>
      </c>
    </row>
    <row r="9981" spans="1:8" x14ac:dyDescent="0.2">
      <c r="A9981" t="s">
        <v>7</v>
      </c>
      <c r="B9981" t="s">
        <v>29</v>
      </c>
      <c r="C9981" t="str">
        <f t="shared" si="312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11"/>
        <v>-3</v>
      </c>
    </row>
    <row r="9982" spans="1:8" x14ac:dyDescent="0.2">
      <c r="A9982" t="s">
        <v>7</v>
      </c>
      <c r="B9982" t="s">
        <v>29</v>
      </c>
      <c r="C9982" t="str">
        <f t="shared" si="312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11"/>
        <v>-3</v>
      </c>
    </row>
    <row r="9983" spans="1:8" x14ac:dyDescent="0.2">
      <c r="A9983" t="s">
        <v>7</v>
      </c>
      <c r="B9983" t="s">
        <v>29</v>
      </c>
      <c r="C9983" t="str">
        <f t="shared" si="312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11"/>
        <v>-3</v>
      </c>
    </row>
    <row r="9984" spans="1:8" x14ac:dyDescent="0.2">
      <c r="A9984" t="s">
        <v>7</v>
      </c>
      <c r="B9984" t="s">
        <v>29</v>
      </c>
      <c r="C9984" t="str">
        <f t="shared" si="312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11"/>
        <v>-3</v>
      </c>
    </row>
    <row r="9985" spans="1:8" x14ac:dyDescent="0.2">
      <c r="A9985" t="s">
        <v>7</v>
      </c>
      <c r="B9985" t="s">
        <v>29</v>
      </c>
      <c r="C9985" t="str">
        <f t="shared" si="312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11"/>
        <v>-4</v>
      </c>
    </row>
    <row r="9986" spans="1:8" x14ac:dyDescent="0.2">
      <c r="A9986" t="s">
        <v>7</v>
      </c>
      <c r="B9986" t="s">
        <v>29</v>
      </c>
      <c r="C9986" t="str">
        <f t="shared" si="312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11"/>
        <v>-4</v>
      </c>
    </row>
    <row r="9987" spans="1:8" x14ac:dyDescent="0.2">
      <c r="A9987" t="s">
        <v>7</v>
      </c>
      <c r="B9987" t="s">
        <v>29</v>
      </c>
      <c r="C9987" t="str">
        <f t="shared" si="312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ref="H9987:H10050" si="313">F9987-G9987</f>
        <v>-4</v>
      </c>
    </row>
    <row r="9988" spans="1:8" x14ac:dyDescent="0.2">
      <c r="A9988" t="s">
        <v>7</v>
      </c>
      <c r="B9988" t="s">
        <v>29</v>
      </c>
      <c r="C9988" t="str">
        <f t="shared" si="312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13"/>
        <v>-4</v>
      </c>
    </row>
    <row r="9989" spans="1:8" x14ac:dyDescent="0.2">
      <c r="A9989" t="s">
        <v>7</v>
      </c>
      <c r="B9989" t="s">
        <v>29</v>
      </c>
      <c r="C9989" t="str">
        <f t="shared" ref="C9989:C10052" si="314">IF(H9989&gt;=0,"Cumple","No cumple")</f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13"/>
        <v>-4</v>
      </c>
    </row>
    <row r="9990" spans="1:8" x14ac:dyDescent="0.2">
      <c r="A9990" t="s">
        <v>7</v>
      </c>
      <c r="B9990" t="s">
        <v>29</v>
      </c>
      <c r="C9990" t="str">
        <f t="shared" si="314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13"/>
        <v>-4</v>
      </c>
    </row>
    <row r="9991" spans="1:8" x14ac:dyDescent="0.2">
      <c r="A9991" t="s">
        <v>7</v>
      </c>
      <c r="B9991" t="s">
        <v>29</v>
      </c>
      <c r="C9991" t="str">
        <f t="shared" si="314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13"/>
        <v>-4</v>
      </c>
    </row>
    <row r="9992" spans="1:8" x14ac:dyDescent="0.2">
      <c r="A9992" t="s">
        <v>7</v>
      </c>
      <c r="B9992" t="s">
        <v>29</v>
      </c>
      <c r="C9992" t="str">
        <f t="shared" si="314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13"/>
        <v>-4</v>
      </c>
    </row>
    <row r="9993" spans="1:8" x14ac:dyDescent="0.2">
      <c r="A9993" t="s">
        <v>7</v>
      </c>
      <c r="B9993" t="s">
        <v>29</v>
      </c>
      <c r="C9993" t="str">
        <f t="shared" si="314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13"/>
        <v>-5</v>
      </c>
    </row>
    <row r="9994" spans="1:8" x14ac:dyDescent="0.2">
      <c r="A9994" t="s">
        <v>7</v>
      </c>
      <c r="B9994" t="s">
        <v>29</v>
      </c>
      <c r="C9994" t="str">
        <f t="shared" si="314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13"/>
        <v>-5</v>
      </c>
    </row>
    <row r="9995" spans="1:8" x14ac:dyDescent="0.2">
      <c r="A9995" t="s">
        <v>7</v>
      </c>
      <c r="B9995" t="s">
        <v>29</v>
      </c>
      <c r="C9995" t="str">
        <f t="shared" si="314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13"/>
        <v>-5</v>
      </c>
    </row>
    <row r="9996" spans="1:8" x14ac:dyDescent="0.2">
      <c r="A9996" t="s">
        <v>7</v>
      </c>
      <c r="B9996" t="s">
        <v>29</v>
      </c>
      <c r="C9996" t="str">
        <f t="shared" si="314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13"/>
        <v>-5</v>
      </c>
    </row>
    <row r="9997" spans="1:8" x14ac:dyDescent="0.2">
      <c r="A9997" t="s">
        <v>7</v>
      </c>
      <c r="B9997" t="s">
        <v>29</v>
      </c>
      <c r="C9997" t="str">
        <f t="shared" si="314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13"/>
        <v>-5</v>
      </c>
    </row>
    <row r="9998" spans="1:8" x14ac:dyDescent="0.2">
      <c r="A9998" t="s">
        <v>7</v>
      </c>
      <c r="B9998" t="s">
        <v>29</v>
      </c>
      <c r="C9998" t="str">
        <f t="shared" si="314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13"/>
        <v>-5</v>
      </c>
    </row>
    <row r="9999" spans="1:8" x14ac:dyDescent="0.2">
      <c r="A9999" t="s">
        <v>7</v>
      </c>
      <c r="B9999" t="s">
        <v>29</v>
      </c>
      <c r="C9999" t="str">
        <f t="shared" si="314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13"/>
        <v>-5</v>
      </c>
    </row>
    <row r="10000" spans="1:8" x14ac:dyDescent="0.2">
      <c r="A10000" t="s">
        <v>7</v>
      </c>
      <c r="B10000" t="s">
        <v>29</v>
      </c>
      <c r="C10000" t="str">
        <f t="shared" si="314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13"/>
        <v>-5</v>
      </c>
    </row>
    <row r="10001" spans="1:8" x14ac:dyDescent="0.2">
      <c r="A10001" t="s">
        <v>7</v>
      </c>
      <c r="B10001" t="s">
        <v>29</v>
      </c>
      <c r="C10001" t="str">
        <f t="shared" si="314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13"/>
        <v>-5</v>
      </c>
    </row>
    <row r="10002" spans="1:8" x14ac:dyDescent="0.2">
      <c r="A10002" t="s">
        <v>18</v>
      </c>
      <c r="B10002" t="s">
        <v>29</v>
      </c>
      <c r="C10002" t="str">
        <f t="shared" si="314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13"/>
        <v>-6</v>
      </c>
    </row>
    <row r="10003" spans="1:8" x14ac:dyDescent="0.2">
      <c r="A10003" t="s">
        <v>18</v>
      </c>
      <c r="B10003" t="s">
        <v>29</v>
      </c>
      <c r="C10003" t="str">
        <f t="shared" si="314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13"/>
        <v>-6</v>
      </c>
    </row>
    <row r="10004" spans="1:8" x14ac:dyDescent="0.2">
      <c r="A10004" t="s">
        <v>18</v>
      </c>
      <c r="B10004" t="s">
        <v>29</v>
      </c>
      <c r="C10004" t="str">
        <f t="shared" si="314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si="313"/>
        <v>-6</v>
      </c>
    </row>
    <row r="10005" spans="1:8" x14ac:dyDescent="0.2">
      <c r="A10005" t="s">
        <v>18</v>
      </c>
      <c r="B10005" t="s">
        <v>29</v>
      </c>
      <c r="C10005" t="str">
        <f t="shared" si="314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13"/>
        <v>-6</v>
      </c>
    </row>
    <row r="10006" spans="1:8" x14ac:dyDescent="0.2">
      <c r="A10006" t="s">
        <v>18</v>
      </c>
      <c r="B10006" t="s">
        <v>29</v>
      </c>
      <c r="C10006" t="str">
        <f t="shared" si="314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13"/>
        <v>-6</v>
      </c>
    </row>
    <row r="10007" spans="1:8" x14ac:dyDescent="0.2">
      <c r="A10007" t="s">
        <v>18</v>
      </c>
      <c r="B10007" t="s">
        <v>29</v>
      </c>
      <c r="C10007" t="str">
        <f t="shared" si="314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13"/>
        <v>-6</v>
      </c>
    </row>
    <row r="10008" spans="1:8" x14ac:dyDescent="0.2">
      <c r="A10008" t="s">
        <v>18</v>
      </c>
      <c r="B10008" t="s">
        <v>29</v>
      </c>
      <c r="C10008" t="str">
        <f t="shared" si="314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13"/>
        <v>-6</v>
      </c>
    </row>
    <row r="10009" spans="1:8" x14ac:dyDescent="0.2">
      <c r="A10009" t="s">
        <v>18</v>
      </c>
      <c r="B10009" t="s">
        <v>29</v>
      </c>
      <c r="C10009" t="str">
        <f t="shared" si="314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13"/>
        <v>-6</v>
      </c>
    </row>
    <row r="10010" spans="1:8" x14ac:dyDescent="0.2">
      <c r="A10010" t="s">
        <v>18</v>
      </c>
      <c r="B10010" t="s">
        <v>29</v>
      </c>
      <c r="C10010" t="str">
        <f t="shared" si="314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13"/>
        <v>-6</v>
      </c>
    </row>
    <row r="10011" spans="1:8" x14ac:dyDescent="0.2">
      <c r="A10011" t="s">
        <v>18</v>
      </c>
      <c r="B10011" t="s">
        <v>29</v>
      </c>
      <c r="C10011" t="str">
        <f t="shared" si="314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13"/>
        <v>-6</v>
      </c>
    </row>
    <row r="10012" spans="1:8" x14ac:dyDescent="0.2">
      <c r="A10012" t="s">
        <v>18</v>
      </c>
      <c r="B10012" t="s">
        <v>29</v>
      </c>
      <c r="C10012" t="str">
        <f t="shared" si="314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13"/>
        <v>-6</v>
      </c>
    </row>
    <row r="10013" spans="1:8" x14ac:dyDescent="0.2">
      <c r="A10013" t="s">
        <v>18</v>
      </c>
      <c r="B10013" t="s">
        <v>29</v>
      </c>
      <c r="C10013" t="str">
        <f t="shared" si="314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13"/>
        <v>-6</v>
      </c>
    </row>
    <row r="10014" spans="1:8" x14ac:dyDescent="0.2">
      <c r="A10014" t="s">
        <v>18</v>
      </c>
      <c r="B10014" t="s">
        <v>29</v>
      </c>
      <c r="C10014" t="str">
        <f t="shared" si="314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13"/>
        <v>-6</v>
      </c>
    </row>
    <row r="10015" spans="1:8" x14ac:dyDescent="0.2">
      <c r="A10015" t="s">
        <v>18</v>
      </c>
      <c r="B10015" t="s">
        <v>29</v>
      </c>
      <c r="C10015" t="str">
        <f t="shared" si="314"/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13"/>
        <v>-6</v>
      </c>
    </row>
    <row r="10016" spans="1:8" x14ac:dyDescent="0.2">
      <c r="A10016" t="s">
        <v>18</v>
      </c>
      <c r="B10016" t="s">
        <v>29</v>
      </c>
      <c r="C10016" t="str">
        <f t="shared" si="314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13"/>
        <v>-6</v>
      </c>
    </row>
    <row r="10017" spans="1:8" x14ac:dyDescent="0.2">
      <c r="A10017" t="s">
        <v>18</v>
      </c>
      <c r="B10017" t="s">
        <v>29</v>
      </c>
      <c r="C10017" t="str">
        <f t="shared" si="314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13"/>
        <v>-6</v>
      </c>
    </row>
    <row r="10018" spans="1:8" x14ac:dyDescent="0.2">
      <c r="A10018" t="s">
        <v>18</v>
      </c>
      <c r="B10018" t="s">
        <v>29</v>
      </c>
      <c r="C10018" t="str">
        <f t="shared" si="314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13"/>
        <v>-6</v>
      </c>
    </row>
    <row r="10019" spans="1:8" x14ac:dyDescent="0.2">
      <c r="A10019" t="s">
        <v>18</v>
      </c>
      <c r="B10019" t="s">
        <v>29</v>
      </c>
      <c r="C10019" t="str">
        <f t="shared" si="314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13"/>
        <v>-6</v>
      </c>
    </row>
    <row r="10020" spans="1:8" x14ac:dyDescent="0.2">
      <c r="A10020" t="s">
        <v>18</v>
      </c>
      <c r="B10020" t="s">
        <v>29</v>
      </c>
      <c r="C10020" t="str">
        <f t="shared" si="314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13"/>
        <v>-6</v>
      </c>
    </row>
    <row r="10021" spans="1:8" x14ac:dyDescent="0.2">
      <c r="A10021" t="s">
        <v>18</v>
      </c>
      <c r="B10021" t="s">
        <v>29</v>
      </c>
      <c r="C10021" t="str">
        <f t="shared" si="314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13"/>
        <v>-6</v>
      </c>
    </row>
    <row r="10022" spans="1:8" x14ac:dyDescent="0.2">
      <c r="A10022" t="s">
        <v>18</v>
      </c>
      <c r="B10022" t="s">
        <v>29</v>
      </c>
      <c r="C10022" t="str">
        <f t="shared" si="314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13"/>
        <v>-6</v>
      </c>
    </row>
    <row r="10023" spans="1:8" x14ac:dyDescent="0.2">
      <c r="A10023" t="s">
        <v>18</v>
      </c>
      <c r="B10023" t="s">
        <v>29</v>
      </c>
      <c r="C10023" t="str">
        <f t="shared" si="314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13"/>
        <v>-6</v>
      </c>
    </row>
    <row r="10024" spans="1:8" x14ac:dyDescent="0.2">
      <c r="A10024" t="s">
        <v>18</v>
      </c>
      <c r="B10024" t="s">
        <v>29</v>
      </c>
      <c r="C10024" t="str">
        <f t="shared" si="314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13"/>
        <v>-6</v>
      </c>
    </row>
    <row r="10025" spans="1:8" x14ac:dyDescent="0.2">
      <c r="A10025" t="s">
        <v>18</v>
      </c>
      <c r="B10025" t="s">
        <v>29</v>
      </c>
      <c r="C10025" t="str">
        <f t="shared" si="314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13"/>
        <v>-6</v>
      </c>
    </row>
    <row r="10026" spans="1:8" x14ac:dyDescent="0.2">
      <c r="A10026" t="s">
        <v>18</v>
      </c>
      <c r="B10026" t="s">
        <v>29</v>
      </c>
      <c r="C10026" t="str">
        <f t="shared" si="314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13"/>
        <v>-6</v>
      </c>
    </row>
    <row r="10027" spans="1:8" x14ac:dyDescent="0.2">
      <c r="A10027" t="s">
        <v>18</v>
      </c>
      <c r="B10027" t="s">
        <v>29</v>
      </c>
      <c r="C10027" t="str">
        <f t="shared" si="314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13"/>
        <v>-6</v>
      </c>
    </row>
    <row r="10028" spans="1:8" x14ac:dyDescent="0.2">
      <c r="A10028" t="s">
        <v>18</v>
      </c>
      <c r="B10028" t="s">
        <v>29</v>
      </c>
      <c r="C10028" t="str">
        <f t="shared" si="314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13"/>
        <v>-6</v>
      </c>
    </row>
    <row r="10029" spans="1:8" x14ac:dyDescent="0.2">
      <c r="A10029" t="s">
        <v>18</v>
      </c>
      <c r="B10029" t="s">
        <v>29</v>
      </c>
      <c r="C10029" t="str">
        <f t="shared" si="314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13"/>
        <v>-6</v>
      </c>
    </row>
    <row r="10030" spans="1:8" x14ac:dyDescent="0.2">
      <c r="A10030" t="s">
        <v>18</v>
      </c>
      <c r="B10030" t="s">
        <v>29</v>
      </c>
      <c r="C10030" t="str">
        <f t="shared" si="314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13"/>
        <v>-6</v>
      </c>
    </row>
    <row r="10031" spans="1:8" x14ac:dyDescent="0.2">
      <c r="A10031" t="s">
        <v>18</v>
      </c>
      <c r="B10031" t="s">
        <v>29</v>
      </c>
      <c r="C10031" t="str">
        <f t="shared" si="314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13"/>
        <v>-6</v>
      </c>
    </row>
    <row r="10032" spans="1:8" x14ac:dyDescent="0.2">
      <c r="A10032" t="s">
        <v>18</v>
      </c>
      <c r="B10032" t="s">
        <v>29</v>
      </c>
      <c r="C10032" t="str">
        <f t="shared" si="314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13"/>
        <v>-6</v>
      </c>
    </row>
    <row r="10033" spans="1:8" x14ac:dyDescent="0.2">
      <c r="A10033" t="s">
        <v>18</v>
      </c>
      <c r="B10033" t="s">
        <v>29</v>
      </c>
      <c r="C10033" t="str">
        <f t="shared" si="314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13"/>
        <v>-6</v>
      </c>
    </row>
    <row r="10034" spans="1:8" x14ac:dyDescent="0.2">
      <c r="A10034" t="s">
        <v>7</v>
      </c>
      <c r="B10034" t="s">
        <v>29</v>
      </c>
      <c r="C10034" t="str">
        <f t="shared" si="314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13"/>
        <v>-6</v>
      </c>
    </row>
    <row r="10035" spans="1:8" x14ac:dyDescent="0.2">
      <c r="A10035" t="s">
        <v>7</v>
      </c>
      <c r="B10035" t="s">
        <v>29</v>
      </c>
      <c r="C10035" t="str">
        <f t="shared" si="314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13"/>
        <v>-6</v>
      </c>
    </row>
    <row r="10036" spans="1:8" x14ac:dyDescent="0.2">
      <c r="A10036" t="s">
        <v>7</v>
      </c>
      <c r="B10036" t="s">
        <v>29</v>
      </c>
      <c r="C10036" t="str">
        <f t="shared" si="314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13"/>
        <v>-6</v>
      </c>
    </row>
    <row r="10037" spans="1:8" x14ac:dyDescent="0.2">
      <c r="A10037" t="s">
        <v>7</v>
      </c>
      <c r="B10037" t="s">
        <v>29</v>
      </c>
      <c r="C10037" t="str">
        <f t="shared" si="314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13"/>
        <v>-6</v>
      </c>
    </row>
    <row r="10038" spans="1:8" x14ac:dyDescent="0.2">
      <c r="A10038" t="s">
        <v>18</v>
      </c>
      <c r="B10038" t="s">
        <v>29</v>
      </c>
      <c r="C10038" t="str">
        <f t="shared" si="314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13"/>
        <v>-6</v>
      </c>
    </row>
    <row r="10039" spans="1:8" x14ac:dyDescent="0.2">
      <c r="A10039" t="s">
        <v>7</v>
      </c>
      <c r="B10039" t="s">
        <v>29</v>
      </c>
      <c r="C10039" t="str">
        <f t="shared" si="314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13"/>
        <v>-6</v>
      </c>
    </row>
    <row r="10040" spans="1:8" x14ac:dyDescent="0.2">
      <c r="A10040" t="s">
        <v>7</v>
      </c>
      <c r="B10040" t="s">
        <v>29</v>
      </c>
      <c r="C10040" t="str">
        <f t="shared" si="314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13"/>
        <v>-6</v>
      </c>
    </row>
    <row r="10041" spans="1:8" x14ac:dyDescent="0.2">
      <c r="A10041" t="s">
        <v>7</v>
      </c>
      <c r="B10041" t="s">
        <v>29</v>
      </c>
      <c r="C10041" t="str">
        <f t="shared" si="314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13"/>
        <v>-6</v>
      </c>
    </row>
    <row r="10042" spans="1:8" x14ac:dyDescent="0.2">
      <c r="A10042" t="s">
        <v>7</v>
      </c>
      <c r="B10042" t="s">
        <v>29</v>
      </c>
      <c r="C10042" t="str">
        <f t="shared" si="314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13"/>
        <v>-6</v>
      </c>
    </row>
    <row r="10043" spans="1:8" x14ac:dyDescent="0.2">
      <c r="A10043" t="s">
        <v>7</v>
      </c>
      <c r="B10043" t="s">
        <v>29</v>
      </c>
      <c r="C10043" t="str">
        <f t="shared" si="314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13"/>
        <v>-6</v>
      </c>
    </row>
    <row r="10044" spans="1:8" x14ac:dyDescent="0.2">
      <c r="A10044" t="s">
        <v>7</v>
      </c>
      <c r="B10044" t="s">
        <v>29</v>
      </c>
      <c r="C10044" t="str">
        <f t="shared" si="314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13"/>
        <v>-6</v>
      </c>
    </row>
    <row r="10045" spans="1:8" x14ac:dyDescent="0.2">
      <c r="A10045" t="s">
        <v>7</v>
      </c>
      <c r="B10045" t="s">
        <v>29</v>
      </c>
      <c r="C10045" t="str">
        <f t="shared" si="314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13"/>
        <v>-6</v>
      </c>
    </row>
    <row r="10046" spans="1:8" x14ac:dyDescent="0.2">
      <c r="A10046" t="s">
        <v>7</v>
      </c>
      <c r="B10046" t="s">
        <v>29</v>
      </c>
      <c r="C10046" t="str">
        <f t="shared" si="314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13"/>
        <v>-6</v>
      </c>
    </row>
    <row r="10047" spans="1:8" x14ac:dyDescent="0.2">
      <c r="A10047" t="s">
        <v>18</v>
      </c>
      <c r="B10047" t="s">
        <v>29</v>
      </c>
      <c r="C10047" t="str">
        <f t="shared" si="314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13"/>
        <v>-6</v>
      </c>
    </row>
    <row r="10048" spans="1:8" x14ac:dyDescent="0.2">
      <c r="A10048" t="s">
        <v>7</v>
      </c>
      <c r="B10048" t="s">
        <v>29</v>
      </c>
      <c r="C10048" t="str">
        <f t="shared" si="314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13"/>
        <v>-6</v>
      </c>
    </row>
    <row r="10049" spans="1:8" x14ac:dyDescent="0.2">
      <c r="A10049" t="s">
        <v>18</v>
      </c>
      <c r="B10049" t="s">
        <v>29</v>
      </c>
      <c r="C10049" t="str">
        <f t="shared" si="314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13"/>
        <v>-6</v>
      </c>
    </row>
    <row r="10050" spans="1:8" x14ac:dyDescent="0.2">
      <c r="A10050" t="s">
        <v>7</v>
      </c>
      <c r="B10050" t="s">
        <v>29</v>
      </c>
      <c r="C10050" t="str">
        <f t="shared" si="314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13"/>
        <v>-6</v>
      </c>
    </row>
    <row r="10051" spans="1:8" x14ac:dyDescent="0.2">
      <c r="A10051" t="s">
        <v>7</v>
      </c>
      <c r="B10051" t="s">
        <v>29</v>
      </c>
      <c r="C10051" t="str">
        <f t="shared" si="314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ref="H10051:H10114" si="315">F10051-G10051</f>
        <v>-6</v>
      </c>
    </row>
    <row r="10052" spans="1:8" x14ac:dyDescent="0.2">
      <c r="A10052" t="s">
        <v>7</v>
      </c>
      <c r="B10052" t="s">
        <v>29</v>
      </c>
      <c r="C10052" t="str">
        <f t="shared" si="314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15"/>
        <v>-6</v>
      </c>
    </row>
    <row r="10053" spans="1:8" x14ac:dyDescent="0.2">
      <c r="A10053" t="s">
        <v>7</v>
      </c>
      <c r="B10053" t="s">
        <v>29</v>
      </c>
      <c r="C10053" t="str">
        <f t="shared" ref="C10053:C10116" si="316">IF(H10053&gt;=0,"Cumple","No cumple")</f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15"/>
        <v>-6</v>
      </c>
    </row>
    <row r="10054" spans="1:8" x14ac:dyDescent="0.2">
      <c r="A10054" t="s">
        <v>7</v>
      </c>
      <c r="B10054" t="s">
        <v>29</v>
      </c>
      <c r="C10054" t="str">
        <f t="shared" si="316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15"/>
        <v>-6</v>
      </c>
    </row>
    <row r="10055" spans="1:8" x14ac:dyDescent="0.2">
      <c r="A10055" t="s">
        <v>19</v>
      </c>
      <c r="B10055" t="s">
        <v>29</v>
      </c>
      <c r="C10055" t="str">
        <f t="shared" si="316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15"/>
        <v>-6</v>
      </c>
    </row>
    <row r="10056" spans="1:8" x14ac:dyDescent="0.2">
      <c r="A10056" t="s">
        <v>7</v>
      </c>
      <c r="B10056" t="s">
        <v>30</v>
      </c>
      <c r="C10056" t="str">
        <f t="shared" si="316"/>
        <v>Cumple</v>
      </c>
      <c r="D10056">
        <v>9214</v>
      </c>
      <c r="E10056" t="s">
        <v>8</v>
      </c>
      <c r="F10056">
        <v>30</v>
      </c>
      <c r="G10056">
        <v>8</v>
      </c>
      <c r="H10056">
        <f t="shared" si="315"/>
        <v>22</v>
      </c>
    </row>
    <row r="10057" spans="1:8" x14ac:dyDescent="0.2">
      <c r="A10057" t="s">
        <v>7</v>
      </c>
      <c r="B10057" t="s">
        <v>30</v>
      </c>
      <c r="C10057" t="str">
        <f t="shared" si="316"/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si="315"/>
        <v>17</v>
      </c>
    </row>
    <row r="10058" spans="1:8" x14ac:dyDescent="0.2">
      <c r="A10058" t="s">
        <v>7</v>
      </c>
      <c r="B10058" t="s">
        <v>30</v>
      </c>
      <c r="C10058" t="str">
        <f t="shared" si="31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15"/>
        <v>15</v>
      </c>
    </row>
    <row r="10059" spans="1:8" x14ac:dyDescent="0.2">
      <c r="A10059" t="s">
        <v>7</v>
      </c>
      <c r="B10059" t="s">
        <v>30</v>
      </c>
      <c r="C10059" t="str">
        <f t="shared" si="31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15"/>
        <v>15</v>
      </c>
    </row>
    <row r="10060" spans="1:8" x14ac:dyDescent="0.2">
      <c r="A10060" t="s">
        <v>7</v>
      </c>
      <c r="B10060" t="s">
        <v>30</v>
      </c>
      <c r="C10060" t="str">
        <f t="shared" si="31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15"/>
        <v>14</v>
      </c>
    </row>
    <row r="10061" spans="1:8" x14ac:dyDescent="0.2">
      <c r="A10061" t="s">
        <v>7</v>
      </c>
      <c r="B10061" t="s">
        <v>30</v>
      </c>
      <c r="C10061" t="str">
        <f t="shared" si="31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15"/>
        <v>14</v>
      </c>
    </row>
    <row r="10062" spans="1:8" x14ac:dyDescent="0.2">
      <c r="A10062" t="s">
        <v>7</v>
      </c>
      <c r="B10062" t="s">
        <v>30</v>
      </c>
      <c r="C10062" t="str">
        <f t="shared" si="31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15"/>
        <v>13</v>
      </c>
    </row>
    <row r="10063" spans="1:8" x14ac:dyDescent="0.2">
      <c r="A10063" t="s">
        <v>7</v>
      </c>
      <c r="B10063" t="s">
        <v>30</v>
      </c>
      <c r="C10063" t="str">
        <f t="shared" si="31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15"/>
        <v>12</v>
      </c>
    </row>
    <row r="10064" spans="1:8" x14ac:dyDescent="0.2">
      <c r="A10064" t="s">
        <v>7</v>
      </c>
      <c r="B10064" t="s">
        <v>30</v>
      </c>
      <c r="C10064" t="str">
        <f t="shared" si="31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15"/>
        <v>12</v>
      </c>
    </row>
    <row r="10065" spans="1:8" x14ac:dyDescent="0.2">
      <c r="A10065" t="s">
        <v>7</v>
      </c>
      <c r="B10065" t="s">
        <v>30</v>
      </c>
      <c r="C10065" t="str">
        <f t="shared" si="31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15"/>
        <v>12</v>
      </c>
    </row>
    <row r="10066" spans="1:8" x14ac:dyDescent="0.2">
      <c r="A10066" t="s">
        <v>7</v>
      </c>
      <c r="B10066" t="s">
        <v>30</v>
      </c>
      <c r="C10066" t="str">
        <f t="shared" si="31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15"/>
        <v>11</v>
      </c>
    </row>
    <row r="10067" spans="1:8" x14ac:dyDescent="0.2">
      <c r="A10067" t="s">
        <v>7</v>
      </c>
      <c r="B10067" t="s">
        <v>30</v>
      </c>
      <c r="C10067" t="str">
        <f t="shared" si="31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15"/>
        <v>11</v>
      </c>
    </row>
    <row r="10068" spans="1:8" x14ac:dyDescent="0.2">
      <c r="A10068" t="s">
        <v>7</v>
      </c>
      <c r="B10068" t="s">
        <v>30</v>
      </c>
      <c r="C10068" t="str">
        <f t="shared" si="31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15"/>
        <v>10</v>
      </c>
    </row>
    <row r="10069" spans="1:8" x14ac:dyDescent="0.2">
      <c r="A10069" t="s">
        <v>7</v>
      </c>
      <c r="B10069" t="s">
        <v>30</v>
      </c>
      <c r="C10069" t="str">
        <f t="shared" si="31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15"/>
        <v>10</v>
      </c>
    </row>
    <row r="10070" spans="1:8" x14ac:dyDescent="0.2">
      <c r="A10070" t="s">
        <v>7</v>
      </c>
      <c r="B10070" t="s">
        <v>30</v>
      </c>
      <c r="C10070" t="str">
        <f t="shared" si="31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15"/>
        <v>11</v>
      </c>
    </row>
    <row r="10071" spans="1:8" x14ac:dyDescent="0.2">
      <c r="A10071" t="s">
        <v>7</v>
      </c>
      <c r="B10071" t="s">
        <v>30</v>
      </c>
      <c r="C10071" t="str">
        <f t="shared" si="31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15"/>
        <v>9</v>
      </c>
    </row>
    <row r="10072" spans="1:8" x14ac:dyDescent="0.2">
      <c r="A10072" t="s">
        <v>7</v>
      </c>
      <c r="B10072" t="s">
        <v>30</v>
      </c>
      <c r="C10072" t="str">
        <f t="shared" si="31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15"/>
        <v>9</v>
      </c>
    </row>
    <row r="10073" spans="1:8" x14ac:dyDescent="0.2">
      <c r="A10073" t="s">
        <v>7</v>
      </c>
      <c r="B10073" t="s">
        <v>30</v>
      </c>
      <c r="C10073" t="str">
        <f t="shared" si="31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15"/>
        <v>8</v>
      </c>
    </row>
    <row r="10074" spans="1:8" x14ac:dyDescent="0.2">
      <c r="A10074" t="s">
        <v>7</v>
      </c>
      <c r="B10074" t="s">
        <v>30</v>
      </c>
      <c r="C10074" t="str">
        <f t="shared" si="31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15"/>
        <v>8</v>
      </c>
    </row>
    <row r="10075" spans="1:8" x14ac:dyDescent="0.2">
      <c r="A10075" t="s">
        <v>7</v>
      </c>
      <c r="B10075" t="s">
        <v>30</v>
      </c>
      <c r="C10075" t="str">
        <f t="shared" si="31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15"/>
        <v>8</v>
      </c>
    </row>
    <row r="10076" spans="1:8" x14ac:dyDescent="0.2">
      <c r="A10076" t="s">
        <v>7</v>
      </c>
      <c r="B10076" t="s">
        <v>30</v>
      </c>
      <c r="C10076" t="str">
        <f t="shared" si="31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15"/>
        <v>8</v>
      </c>
    </row>
    <row r="10077" spans="1:8" x14ac:dyDescent="0.2">
      <c r="A10077" t="s">
        <v>7</v>
      </c>
      <c r="B10077" t="s">
        <v>30</v>
      </c>
      <c r="C10077" t="str">
        <f t="shared" si="31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15"/>
        <v>10</v>
      </c>
    </row>
    <row r="10078" spans="1:8" x14ac:dyDescent="0.2">
      <c r="A10078" t="s">
        <v>7</v>
      </c>
      <c r="B10078" t="s">
        <v>30</v>
      </c>
      <c r="C10078" t="str">
        <f t="shared" si="31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15"/>
        <v>7</v>
      </c>
    </row>
    <row r="10079" spans="1:8" x14ac:dyDescent="0.2">
      <c r="A10079" t="s">
        <v>7</v>
      </c>
      <c r="B10079" t="s">
        <v>30</v>
      </c>
      <c r="C10079" t="str">
        <f t="shared" si="31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15"/>
        <v>7</v>
      </c>
    </row>
    <row r="10080" spans="1:8" x14ac:dyDescent="0.2">
      <c r="A10080" t="s">
        <v>7</v>
      </c>
      <c r="B10080" t="s">
        <v>30</v>
      </c>
      <c r="C10080" t="str">
        <f t="shared" si="31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15"/>
        <v>9</v>
      </c>
    </row>
    <row r="10081" spans="1:8" x14ac:dyDescent="0.2">
      <c r="A10081" t="s">
        <v>7</v>
      </c>
      <c r="B10081" t="s">
        <v>30</v>
      </c>
      <c r="C10081" t="str">
        <f t="shared" si="31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15"/>
        <v>7</v>
      </c>
    </row>
    <row r="10082" spans="1:8" x14ac:dyDescent="0.2">
      <c r="A10082" t="s">
        <v>7</v>
      </c>
      <c r="B10082" t="s">
        <v>30</v>
      </c>
      <c r="C10082" t="str">
        <f t="shared" si="31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15"/>
        <v>7</v>
      </c>
    </row>
    <row r="10083" spans="1:8" x14ac:dyDescent="0.2">
      <c r="A10083" t="s">
        <v>7</v>
      </c>
      <c r="B10083" t="s">
        <v>30</v>
      </c>
      <c r="C10083" t="str">
        <f t="shared" si="31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15"/>
        <v>6</v>
      </c>
    </row>
    <row r="10084" spans="1:8" x14ac:dyDescent="0.2">
      <c r="A10084" t="s">
        <v>7</v>
      </c>
      <c r="B10084" t="s">
        <v>30</v>
      </c>
      <c r="C10084" t="str">
        <f t="shared" si="31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15"/>
        <v>6</v>
      </c>
    </row>
    <row r="10085" spans="1:8" x14ac:dyDescent="0.2">
      <c r="A10085" t="s">
        <v>7</v>
      </c>
      <c r="B10085" t="s">
        <v>30</v>
      </c>
      <c r="C10085" t="str">
        <f t="shared" si="31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15"/>
        <v>8</v>
      </c>
    </row>
    <row r="10086" spans="1:8" x14ac:dyDescent="0.2">
      <c r="A10086" t="s">
        <v>7</v>
      </c>
      <c r="B10086" t="s">
        <v>30</v>
      </c>
      <c r="C10086" t="str">
        <f t="shared" si="31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15"/>
        <v>8</v>
      </c>
    </row>
    <row r="10087" spans="1:8" x14ac:dyDescent="0.2">
      <c r="A10087" t="s">
        <v>7</v>
      </c>
      <c r="B10087" t="s">
        <v>30</v>
      </c>
      <c r="C10087" t="str">
        <f t="shared" si="31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15"/>
        <v>8</v>
      </c>
    </row>
    <row r="10088" spans="1:8" x14ac:dyDescent="0.2">
      <c r="A10088" t="s">
        <v>7</v>
      </c>
      <c r="B10088" t="s">
        <v>30</v>
      </c>
      <c r="C10088" t="str">
        <f t="shared" si="31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15"/>
        <v>6</v>
      </c>
    </row>
    <row r="10089" spans="1:8" x14ac:dyDescent="0.2">
      <c r="A10089" t="s">
        <v>7</v>
      </c>
      <c r="B10089" t="s">
        <v>30</v>
      </c>
      <c r="C10089" t="str">
        <f t="shared" si="31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15"/>
        <v>6</v>
      </c>
    </row>
    <row r="10090" spans="1:8" x14ac:dyDescent="0.2">
      <c r="A10090" t="s">
        <v>7</v>
      </c>
      <c r="B10090" t="s">
        <v>30</v>
      </c>
      <c r="C10090" t="str">
        <f t="shared" si="31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15"/>
        <v>5</v>
      </c>
    </row>
    <row r="10091" spans="1:8" x14ac:dyDescent="0.2">
      <c r="A10091" t="s">
        <v>7</v>
      </c>
      <c r="B10091" t="s">
        <v>30</v>
      </c>
      <c r="C10091" t="str">
        <f t="shared" si="31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15"/>
        <v>5</v>
      </c>
    </row>
    <row r="10092" spans="1:8" x14ac:dyDescent="0.2">
      <c r="A10092" t="s">
        <v>7</v>
      </c>
      <c r="B10092" t="s">
        <v>30</v>
      </c>
      <c r="C10092" t="str">
        <f t="shared" si="31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15"/>
        <v>7</v>
      </c>
    </row>
    <row r="10093" spans="1:8" x14ac:dyDescent="0.2">
      <c r="A10093" t="s">
        <v>7</v>
      </c>
      <c r="B10093" t="s">
        <v>30</v>
      </c>
      <c r="C10093" t="str">
        <f t="shared" si="31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15"/>
        <v>7</v>
      </c>
    </row>
    <row r="10094" spans="1:8" x14ac:dyDescent="0.2">
      <c r="A10094" t="s">
        <v>7</v>
      </c>
      <c r="B10094" t="s">
        <v>30</v>
      </c>
      <c r="C10094" t="str">
        <f t="shared" si="31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15"/>
        <v>7</v>
      </c>
    </row>
    <row r="10095" spans="1:8" x14ac:dyDescent="0.2">
      <c r="A10095" t="s">
        <v>7</v>
      </c>
      <c r="B10095" t="s">
        <v>30</v>
      </c>
      <c r="C10095" t="str">
        <f t="shared" si="31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15"/>
        <v>4</v>
      </c>
    </row>
    <row r="10096" spans="1:8" x14ac:dyDescent="0.2">
      <c r="A10096" t="s">
        <v>7</v>
      </c>
      <c r="B10096" t="s">
        <v>30</v>
      </c>
      <c r="C10096" t="str">
        <f t="shared" si="31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15"/>
        <v>6</v>
      </c>
    </row>
    <row r="10097" spans="1:8" x14ac:dyDescent="0.2">
      <c r="A10097" t="s">
        <v>7</v>
      </c>
      <c r="B10097" t="s">
        <v>30</v>
      </c>
      <c r="C10097" t="str">
        <f t="shared" si="31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15"/>
        <v>4</v>
      </c>
    </row>
    <row r="10098" spans="1:8" x14ac:dyDescent="0.2">
      <c r="A10098" t="s">
        <v>7</v>
      </c>
      <c r="B10098" t="s">
        <v>30</v>
      </c>
      <c r="C10098" t="str">
        <f t="shared" si="31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15"/>
        <v>6</v>
      </c>
    </row>
    <row r="10099" spans="1:8" x14ac:dyDescent="0.2">
      <c r="A10099" t="s">
        <v>7</v>
      </c>
      <c r="B10099" t="s">
        <v>30</v>
      </c>
      <c r="C10099" t="str">
        <f t="shared" si="31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15"/>
        <v>6</v>
      </c>
    </row>
    <row r="10100" spans="1:8" x14ac:dyDescent="0.2">
      <c r="A10100" t="s">
        <v>7</v>
      </c>
      <c r="B10100" t="s">
        <v>30</v>
      </c>
      <c r="C10100" t="str">
        <f t="shared" si="31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15"/>
        <v>4</v>
      </c>
    </row>
    <row r="10101" spans="1:8" x14ac:dyDescent="0.2">
      <c r="A10101" t="s">
        <v>7</v>
      </c>
      <c r="B10101" t="s">
        <v>30</v>
      </c>
      <c r="C10101" t="str">
        <f t="shared" si="31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15"/>
        <v>4</v>
      </c>
    </row>
    <row r="10102" spans="1:8" x14ac:dyDescent="0.2">
      <c r="A10102" t="s">
        <v>7</v>
      </c>
      <c r="B10102" t="s">
        <v>30</v>
      </c>
      <c r="C10102" t="str">
        <f t="shared" si="31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15"/>
        <v>4</v>
      </c>
    </row>
    <row r="10103" spans="1:8" x14ac:dyDescent="0.2">
      <c r="A10103" t="s">
        <v>7</v>
      </c>
      <c r="B10103" t="s">
        <v>30</v>
      </c>
      <c r="C10103" t="str">
        <f t="shared" si="31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15"/>
        <v>4</v>
      </c>
    </row>
    <row r="10104" spans="1:8" x14ac:dyDescent="0.2">
      <c r="A10104" t="s">
        <v>7</v>
      </c>
      <c r="B10104" t="s">
        <v>30</v>
      </c>
      <c r="C10104" t="str">
        <f t="shared" si="31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15"/>
        <v>5</v>
      </c>
    </row>
    <row r="10105" spans="1:8" x14ac:dyDescent="0.2">
      <c r="A10105" t="s">
        <v>7</v>
      </c>
      <c r="B10105" t="s">
        <v>30</v>
      </c>
      <c r="C10105" t="str">
        <f t="shared" si="31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15"/>
        <v>5</v>
      </c>
    </row>
    <row r="10106" spans="1:8" x14ac:dyDescent="0.2">
      <c r="A10106" t="s">
        <v>7</v>
      </c>
      <c r="B10106" t="s">
        <v>30</v>
      </c>
      <c r="C10106" t="str">
        <f t="shared" si="31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15"/>
        <v>3</v>
      </c>
    </row>
    <row r="10107" spans="1:8" x14ac:dyDescent="0.2">
      <c r="A10107" t="s">
        <v>7</v>
      </c>
      <c r="B10107" t="s">
        <v>30</v>
      </c>
      <c r="C10107" t="str">
        <f t="shared" si="31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15"/>
        <v>5</v>
      </c>
    </row>
    <row r="10108" spans="1:8" x14ac:dyDescent="0.2">
      <c r="A10108" t="s">
        <v>7</v>
      </c>
      <c r="B10108" t="s">
        <v>30</v>
      </c>
      <c r="C10108" t="str">
        <f t="shared" si="31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15"/>
        <v>3</v>
      </c>
    </row>
    <row r="10109" spans="1:8" x14ac:dyDescent="0.2">
      <c r="A10109" t="s">
        <v>7</v>
      </c>
      <c r="B10109" t="s">
        <v>30</v>
      </c>
      <c r="C10109" t="str">
        <f t="shared" si="31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15"/>
        <v>3</v>
      </c>
    </row>
    <row r="10110" spans="1:8" x14ac:dyDescent="0.2">
      <c r="A10110" t="s">
        <v>7</v>
      </c>
      <c r="B10110" t="s">
        <v>30</v>
      </c>
      <c r="C10110" t="str">
        <f t="shared" si="31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15"/>
        <v>5</v>
      </c>
    </row>
    <row r="10111" spans="1:8" x14ac:dyDescent="0.2">
      <c r="A10111" t="s">
        <v>7</v>
      </c>
      <c r="B10111" t="s">
        <v>30</v>
      </c>
      <c r="C10111" t="str">
        <f t="shared" si="31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15"/>
        <v>4</v>
      </c>
    </row>
    <row r="10112" spans="1:8" x14ac:dyDescent="0.2">
      <c r="A10112" t="s">
        <v>7</v>
      </c>
      <c r="B10112" t="s">
        <v>30</v>
      </c>
      <c r="C10112" t="str">
        <f t="shared" si="31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15"/>
        <v>4</v>
      </c>
    </row>
    <row r="10113" spans="1:8" x14ac:dyDescent="0.2">
      <c r="A10113" t="s">
        <v>7</v>
      </c>
      <c r="B10113" t="s">
        <v>30</v>
      </c>
      <c r="C10113" t="str">
        <f t="shared" si="31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15"/>
        <v>2</v>
      </c>
    </row>
    <row r="10114" spans="1:8" x14ac:dyDescent="0.2">
      <c r="A10114" t="s">
        <v>7</v>
      </c>
      <c r="B10114" t="s">
        <v>30</v>
      </c>
      <c r="C10114" t="str">
        <f t="shared" si="31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15"/>
        <v>4</v>
      </c>
    </row>
    <row r="10115" spans="1:8" x14ac:dyDescent="0.2">
      <c r="A10115" t="s">
        <v>7</v>
      </c>
      <c r="B10115" t="s">
        <v>30</v>
      </c>
      <c r="C10115" t="str">
        <f t="shared" si="31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ref="H10115:H10178" si="317">F10115-G10115</f>
        <v>4</v>
      </c>
    </row>
    <row r="10116" spans="1:8" x14ac:dyDescent="0.2">
      <c r="A10116" t="s">
        <v>7</v>
      </c>
      <c r="B10116" t="s">
        <v>30</v>
      </c>
      <c r="C10116" t="str">
        <f t="shared" si="31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17"/>
        <v>4</v>
      </c>
    </row>
    <row r="10117" spans="1:8" x14ac:dyDescent="0.2">
      <c r="A10117" t="s">
        <v>7</v>
      </c>
      <c r="B10117" t="s">
        <v>30</v>
      </c>
      <c r="C10117" t="str">
        <f t="shared" ref="C10117:C10180" si="318">IF(H10117&gt;=0,"Cumple","No cumple")</f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17"/>
        <v>4</v>
      </c>
    </row>
    <row r="10118" spans="1:8" x14ac:dyDescent="0.2">
      <c r="A10118" t="s">
        <v>7</v>
      </c>
      <c r="B10118" t="s">
        <v>30</v>
      </c>
      <c r="C10118" t="str">
        <f t="shared" si="318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17"/>
        <v>2</v>
      </c>
    </row>
    <row r="10119" spans="1:8" x14ac:dyDescent="0.2">
      <c r="A10119" t="s">
        <v>7</v>
      </c>
      <c r="B10119" t="s">
        <v>30</v>
      </c>
      <c r="C10119" t="str">
        <f t="shared" si="318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17"/>
        <v>4</v>
      </c>
    </row>
    <row r="10120" spans="1:8" x14ac:dyDescent="0.2">
      <c r="A10120" t="s">
        <v>7</v>
      </c>
      <c r="B10120" t="s">
        <v>30</v>
      </c>
      <c r="C10120" t="str">
        <f t="shared" si="318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17"/>
        <v>2</v>
      </c>
    </row>
    <row r="10121" spans="1:8" x14ac:dyDescent="0.2">
      <c r="A10121" t="s">
        <v>7</v>
      </c>
      <c r="B10121" t="s">
        <v>30</v>
      </c>
      <c r="C10121" t="str">
        <f t="shared" si="318"/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si="317"/>
        <v>4</v>
      </c>
    </row>
    <row r="10122" spans="1:8" x14ac:dyDescent="0.2">
      <c r="A10122" t="s">
        <v>7</v>
      </c>
      <c r="B10122" t="s">
        <v>30</v>
      </c>
      <c r="C10122" t="str">
        <f t="shared" si="31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17"/>
        <v>4</v>
      </c>
    </row>
    <row r="10123" spans="1:8" x14ac:dyDescent="0.2">
      <c r="A10123" t="s">
        <v>7</v>
      </c>
      <c r="B10123" t="s">
        <v>30</v>
      </c>
      <c r="C10123" t="str">
        <f t="shared" si="31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17"/>
        <v>4</v>
      </c>
    </row>
    <row r="10124" spans="1:8" x14ac:dyDescent="0.2">
      <c r="A10124" t="s">
        <v>7</v>
      </c>
      <c r="B10124" t="s">
        <v>30</v>
      </c>
      <c r="C10124" t="str">
        <f t="shared" si="31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17"/>
        <v>4</v>
      </c>
    </row>
    <row r="10125" spans="1:8" x14ac:dyDescent="0.2">
      <c r="A10125" t="s">
        <v>7</v>
      </c>
      <c r="B10125" t="s">
        <v>30</v>
      </c>
      <c r="C10125" t="str">
        <f t="shared" si="31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17"/>
        <v>3</v>
      </c>
    </row>
    <row r="10126" spans="1:8" x14ac:dyDescent="0.2">
      <c r="A10126" t="s">
        <v>7</v>
      </c>
      <c r="B10126" t="s">
        <v>30</v>
      </c>
      <c r="C10126" t="str">
        <f t="shared" si="31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17"/>
        <v>1</v>
      </c>
    </row>
    <row r="10127" spans="1:8" x14ac:dyDescent="0.2">
      <c r="A10127" t="s">
        <v>7</v>
      </c>
      <c r="B10127" t="s">
        <v>30</v>
      </c>
      <c r="C10127" t="str">
        <f t="shared" si="31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17"/>
        <v>3</v>
      </c>
    </row>
    <row r="10128" spans="1:8" x14ac:dyDescent="0.2">
      <c r="A10128" t="s">
        <v>7</v>
      </c>
      <c r="B10128" t="s">
        <v>30</v>
      </c>
      <c r="C10128" t="str">
        <f t="shared" si="31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17"/>
        <v>3</v>
      </c>
    </row>
    <row r="10129" spans="1:8" x14ac:dyDescent="0.2">
      <c r="A10129" t="s">
        <v>7</v>
      </c>
      <c r="B10129" t="s">
        <v>30</v>
      </c>
      <c r="C10129" t="str">
        <f t="shared" si="31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17"/>
        <v>3</v>
      </c>
    </row>
    <row r="10130" spans="1:8" x14ac:dyDescent="0.2">
      <c r="A10130" t="s">
        <v>7</v>
      </c>
      <c r="B10130" t="s">
        <v>30</v>
      </c>
      <c r="C10130" t="str">
        <f t="shared" si="31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17"/>
        <v>3</v>
      </c>
    </row>
    <row r="10131" spans="1:8" x14ac:dyDescent="0.2">
      <c r="A10131" t="s">
        <v>7</v>
      </c>
      <c r="B10131" t="s">
        <v>30</v>
      </c>
      <c r="C10131" t="str">
        <f t="shared" si="31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17"/>
        <v>3</v>
      </c>
    </row>
    <row r="10132" spans="1:8" x14ac:dyDescent="0.2">
      <c r="A10132" t="s">
        <v>7</v>
      </c>
      <c r="B10132" t="s">
        <v>30</v>
      </c>
      <c r="C10132" t="str">
        <f t="shared" si="31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17"/>
        <v>3</v>
      </c>
    </row>
    <row r="10133" spans="1:8" x14ac:dyDescent="0.2">
      <c r="A10133" t="s">
        <v>7</v>
      </c>
      <c r="B10133" t="s">
        <v>30</v>
      </c>
      <c r="C10133" t="str">
        <f t="shared" si="31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17"/>
        <v>3</v>
      </c>
    </row>
    <row r="10134" spans="1:8" x14ac:dyDescent="0.2">
      <c r="A10134" t="s">
        <v>7</v>
      </c>
      <c r="B10134" t="s">
        <v>30</v>
      </c>
      <c r="C10134" t="str">
        <f t="shared" si="31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17"/>
        <v>2</v>
      </c>
    </row>
    <row r="10135" spans="1:8" x14ac:dyDescent="0.2">
      <c r="A10135" t="s">
        <v>7</v>
      </c>
      <c r="B10135" t="s">
        <v>30</v>
      </c>
      <c r="C10135" t="str">
        <f t="shared" si="31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17"/>
        <v>0</v>
      </c>
    </row>
    <row r="10136" spans="1:8" x14ac:dyDescent="0.2">
      <c r="A10136" t="s">
        <v>7</v>
      </c>
      <c r="B10136" t="s">
        <v>30</v>
      </c>
      <c r="C10136" t="str">
        <f t="shared" si="31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17"/>
        <v>2</v>
      </c>
    </row>
    <row r="10137" spans="1:8" x14ac:dyDescent="0.2">
      <c r="A10137" t="s">
        <v>7</v>
      </c>
      <c r="B10137" t="s">
        <v>30</v>
      </c>
      <c r="C10137" t="str">
        <f t="shared" si="31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17"/>
        <v>2</v>
      </c>
    </row>
    <row r="10138" spans="1:8" x14ac:dyDescent="0.2">
      <c r="A10138" t="s">
        <v>7</v>
      </c>
      <c r="B10138" t="s">
        <v>30</v>
      </c>
      <c r="C10138" t="str">
        <f t="shared" si="31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17"/>
        <v>2</v>
      </c>
    </row>
    <row r="10139" spans="1:8" x14ac:dyDescent="0.2">
      <c r="A10139" t="s">
        <v>7</v>
      </c>
      <c r="B10139" t="s">
        <v>30</v>
      </c>
      <c r="C10139" t="str">
        <f t="shared" si="31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17"/>
        <v>2</v>
      </c>
    </row>
    <row r="10140" spans="1:8" x14ac:dyDescent="0.2">
      <c r="A10140" t="s">
        <v>7</v>
      </c>
      <c r="B10140" t="s">
        <v>30</v>
      </c>
      <c r="C10140" t="str">
        <f t="shared" si="31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17"/>
        <v>0</v>
      </c>
    </row>
    <row r="10141" spans="1:8" x14ac:dyDescent="0.2">
      <c r="A10141" t="s">
        <v>7</v>
      </c>
      <c r="B10141" t="s">
        <v>30</v>
      </c>
      <c r="C10141" t="str">
        <f t="shared" si="31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17"/>
        <v>0</v>
      </c>
    </row>
    <row r="10142" spans="1:8" x14ac:dyDescent="0.2">
      <c r="A10142" t="s">
        <v>7</v>
      </c>
      <c r="B10142" t="s">
        <v>30</v>
      </c>
      <c r="C10142" t="str">
        <f t="shared" si="31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17"/>
        <v>0</v>
      </c>
    </row>
    <row r="10143" spans="1:8" x14ac:dyDescent="0.2">
      <c r="A10143" t="s">
        <v>7</v>
      </c>
      <c r="B10143" t="s">
        <v>30</v>
      </c>
      <c r="C10143" t="str">
        <f t="shared" si="31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17"/>
        <v>2</v>
      </c>
    </row>
    <row r="10144" spans="1:8" x14ac:dyDescent="0.2">
      <c r="A10144" t="s">
        <v>7</v>
      </c>
      <c r="B10144" t="s">
        <v>30</v>
      </c>
      <c r="C10144" t="str">
        <f t="shared" si="31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17"/>
        <v>2</v>
      </c>
    </row>
    <row r="10145" spans="1:8" x14ac:dyDescent="0.2">
      <c r="A10145" t="s">
        <v>7</v>
      </c>
      <c r="B10145" t="s">
        <v>30</v>
      </c>
      <c r="C10145" t="str">
        <f t="shared" si="31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17"/>
        <v>2</v>
      </c>
    </row>
    <row r="10146" spans="1:8" x14ac:dyDescent="0.2">
      <c r="A10146" t="s">
        <v>7</v>
      </c>
      <c r="B10146" t="s">
        <v>30</v>
      </c>
      <c r="C10146" t="str">
        <f t="shared" si="318"/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17"/>
        <v>1</v>
      </c>
    </row>
    <row r="10147" spans="1:8" x14ac:dyDescent="0.2">
      <c r="A10147" t="s">
        <v>7</v>
      </c>
      <c r="B10147" t="s">
        <v>30</v>
      </c>
      <c r="C10147" t="str">
        <f t="shared" si="31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17"/>
        <v>1</v>
      </c>
    </row>
    <row r="10148" spans="1:8" x14ac:dyDescent="0.2">
      <c r="A10148" t="s">
        <v>7</v>
      </c>
      <c r="B10148" t="s">
        <v>30</v>
      </c>
      <c r="C10148" t="str">
        <f t="shared" si="31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17"/>
        <v>1</v>
      </c>
    </row>
    <row r="10149" spans="1:8" x14ac:dyDescent="0.2">
      <c r="A10149" t="s">
        <v>7</v>
      </c>
      <c r="B10149" t="s">
        <v>30</v>
      </c>
      <c r="C10149" t="str">
        <f t="shared" si="318"/>
        <v>Cumple</v>
      </c>
      <c r="D10149">
        <v>1440</v>
      </c>
      <c r="E10149" t="s">
        <v>8</v>
      </c>
      <c r="F10149">
        <v>7</v>
      </c>
      <c r="G10149">
        <v>6</v>
      </c>
      <c r="H10149">
        <f t="shared" si="317"/>
        <v>1</v>
      </c>
    </row>
    <row r="10150" spans="1:8" x14ac:dyDescent="0.2">
      <c r="A10150" t="s">
        <v>7</v>
      </c>
      <c r="B10150" t="s">
        <v>30</v>
      </c>
      <c r="C10150" t="str">
        <f t="shared" si="31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17"/>
        <v>1</v>
      </c>
    </row>
    <row r="10151" spans="1:8" x14ac:dyDescent="0.2">
      <c r="A10151" t="s">
        <v>7</v>
      </c>
      <c r="B10151" t="s">
        <v>30</v>
      </c>
      <c r="C10151" t="str">
        <f t="shared" si="31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17"/>
        <v>-1</v>
      </c>
    </row>
    <row r="10152" spans="1:8" x14ac:dyDescent="0.2">
      <c r="A10152" t="s">
        <v>7</v>
      </c>
      <c r="B10152" t="s">
        <v>30</v>
      </c>
      <c r="C10152" t="str">
        <f t="shared" si="31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17"/>
        <v>1</v>
      </c>
    </row>
    <row r="10153" spans="1:8" x14ac:dyDescent="0.2">
      <c r="A10153" t="s">
        <v>7</v>
      </c>
      <c r="B10153" t="s">
        <v>30</v>
      </c>
      <c r="C10153" t="str">
        <f t="shared" si="31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17"/>
        <v>1</v>
      </c>
    </row>
    <row r="10154" spans="1:8" x14ac:dyDescent="0.2">
      <c r="A10154" t="s">
        <v>7</v>
      </c>
      <c r="B10154" t="s">
        <v>30</v>
      </c>
      <c r="C10154" t="str">
        <f t="shared" si="31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17"/>
        <v>1</v>
      </c>
    </row>
    <row r="10155" spans="1:8" x14ac:dyDescent="0.2">
      <c r="A10155" t="s">
        <v>7</v>
      </c>
      <c r="B10155" t="s">
        <v>30</v>
      </c>
      <c r="C10155" t="str">
        <f t="shared" si="31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17"/>
        <v>1</v>
      </c>
    </row>
    <row r="10156" spans="1:8" x14ac:dyDescent="0.2">
      <c r="A10156" t="s">
        <v>7</v>
      </c>
      <c r="B10156" t="s">
        <v>30</v>
      </c>
      <c r="C10156" t="str">
        <f t="shared" si="31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17"/>
        <v>1</v>
      </c>
    </row>
    <row r="10157" spans="1:8" x14ac:dyDescent="0.2">
      <c r="A10157" t="s">
        <v>7</v>
      </c>
      <c r="B10157" t="s">
        <v>30</v>
      </c>
      <c r="C10157" t="str">
        <f t="shared" si="31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17"/>
        <v>1</v>
      </c>
    </row>
    <row r="10158" spans="1:8" x14ac:dyDescent="0.2">
      <c r="A10158" t="s">
        <v>7</v>
      </c>
      <c r="B10158" t="s">
        <v>30</v>
      </c>
      <c r="C10158" t="str">
        <f t="shared" si="31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17"/>
        <v>1</v>
      </c>
    </row>
    <row r="10159" spans="1:8" x14ac:dyDescent="0.2">
      <c r="A10159" t="s">
        <v>7</v>
      </c>
      <c r="B10159" t="s">
        <v>30</v>
      </c>
      <c r="C10159" t="str">
        <f t="shared" si="31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17"/>
        <v>-1</v>
      </c>
    </row>
    <row r="10160" spans="1:8" x14ac:dyDescent="0.2">
      <c r="A10160" t="s">
        <v>7</v>
      </c>
      <c r="B10160" t="s">
        <v>30</v>
      </c>
      <c r="C10160" t="str">
        <f t="shared" si="31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17"/>
        <v>0</v>
      </c>
    </row>
    <row r="10161" spans="1:8" x14ac:dyDescent="0.2">
      <c r="A10161" t="s">
        <v>7</v>
      </c>
      <c r="B10161" t="s">
        <v>30</v>
      </c>
      <c r="C10161" t="str">
        <f t="shared" si="31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17"/>
        <v>0</v>
      </c>
    </row>
    <row r="10162" spans="1:8" x14ac:dyDescent="0.2">
      <c r="A10162" t="s">
        <v>7</v>
      </c>
      <c r="B10162" t="s">
        <v>30</v>
      </c>
      <c r="C10162" t="str">
        <f t="shared" si="31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17"/>
        <v>0</v>
      </c>
    </row>
    <row r="10163" spans="1:8" x14ac:dyDescent="0.2">
      <c r="A10163" t="s">
        <v>7</v>
      </c>
      <c r="B10163" t="s">
        <v>30</v>
      </c>
      <c r="C10163" t="str">
        <f t="shared" si="31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17"/>
        <v>0</v>
      </c>
    </row>
    <row r="10164" spans="1:8" x14ac:dyDescent="0.2">
      <c r="A10164" t="s">
        <v>7</v>
      </c>
      <c r="B10164" t="s">
        <v>30</v>
      </c>
      <c r="C10164" t="str">
        <f t="shared" si="31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17"/>
        <v>0</v>
      </c>
    </row>
    <row r="10165" spans="1:8" x14ac:dyDescent="0.2">
      <c r="A10165" t="s">
        <v>7</v>
      </c>
      <c r="B10165" t="s">
        <v>30</v>
      </c>
      <c r="C10165" t="str">
        <f t="shared" si="31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17"/>
        <v>0</v>
      </c>
    </row>
    <row r="10166" spans="1:8" x14ac:dyDescent="0.2">
      <c r="A10166" t="s">
        <v>7</v>
      </c>
      <c r="B10166" t="s">
        <v>30</v>
      </c>
      <c r="C10166" t="str">
        <f t="shared" si="31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17"/>
        <v>0</v>
      </c>
    </row>
    <row r="10167" spans="1:8" x14ac:dyDescent="0.2">
      <c r="A10167" t="s">
        <v>7</v>
      </c>
      <c r="B10167" t="s">
        <v>30</v>
      </c>
      <c r="C10167" t="str">
        <f t="shared" si="31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17"/>
        <v>0</v>
      </c>
    </row>
    <row r="10168" spans="1:8" x14ac:dyDescent="0.2">
      <c r="A10168" t="s">
        <v>7</v>
      </c>
      <c r="B10168" t="s">
        <v>30</v>
      </c>
      <c r="C10168" t="str">
        <f t="shared" si="31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17"/>
        <v>0</v>
      </c>
    </row>
    <row r="10169" spans="1:8" x14ac:dyDescent="0.2">
      <c r="A10169" t="s">
        <v>7</v>
      </c>
      <c r="B10169" t="s">
        <v>30</v>
      </c>
      <c r="C10169" t="str">
        <f t="shared" si="31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17"/>
        <v>0</v>
      </c>
    </row>
    <row r="10170" spans="1:8" x14ac:dyDescent="0.2">
      <c r="A10170" t="s">
        <v>7</v>
      </c>
      <c r="B10170" t="s">
        <v>30</v>
      </c>
      <c r="C10170" t="str">
        <f t="shared" si="31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17"/>
        <v>0</v>
      </c>
    </row>
    <row r="10171" spans="1:8" x14ac:dyDescent="0.2">
      <c r="A10171" t="s">
        <v>7</v>
      </c>
      <c r="B10171" t="s">
        <v>30</v>
      </c>
      <c r="C10171" t="str">
        <f t="shared" si="31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17"/>
        <v>0</v>
      </c>
    </row>
    <row r="10172" spans="1:8" x14ac:dyDescent="0.2">
      <c r="A10172" t="s">
        <v>7</v>
      </c>
      <c r="B10172" t="s">
        <v>30</v>
      </c>
      <c r="C10172" t="str">
        <f t="shared" si="31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17"/>
        <v>-1</v>
      </c>
    </row>
    <row r="10173" spans="1:8" x14ac:dyDescent="0.2">
      <c r="A10173" t="s">
        <v>7</v>
      </c>
      <c r="B10173" t="s">
        <v>30</v>
      </c>
      <c r="C10173" t="str">
        <f t="shared" si="31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17"/>
        <v>-3</v>
      </c>
    </row>
    <row r="10174" spans="1:8" x14ac:dyDescent="0.2">
      <c r="A10174" t="s">
        <v>7</v>
      </c>
      <c r="B10174" t="s">
        <v>30</v>
      </c>
      <c r="C10174" t="str">
        <f t="shared" si="31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17"/>
        <v>-1</v>
      </c>
    </row>
    <row r="10175" spans="1:8" x14ac:dyDescent="0.2">
      <c r="A10175" t="s">
        <v>7</v>
      </c>
      <c r="B10175" t="s">
        <v>30</v>
      </c>
      <c r="C10175" t="str">
        <f t="shared" si="31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17"/>
        <v>-1</v>
      </c>
    </row>
    <row r="10176" spans="1:8" x14ac:dyDescent="0.2">
      <c r="A10176" t="s">
        <v>7</v>
      </c>
      <c r="B10176" t="s">
        <v>30</v>
      </c>
      <c r="C10176" t="str">
        <f t="shared" si="31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17"/>
        <v>-1</v>
      </c>
    </row>
    <row r="10177" spans="1:8" x14ac:dyDescent="0.2">
      <c r="A10177" t="s">
        <v>7</v>
      </c>
      <c r="B10177" t="s">
        <v>30</v>
      </c>
      <c r="C10177" t="str">
        <f t="shared" si="31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17"/>
        <v>-1</v>
      </c>
    </row>
    <row r="10178" spans="1:8" x14ac:dyDescent="0.2">
      <c r="A10178" t="s">
        <v>7</v>
      </c>
      <c r="B10178" t="s">
        <v>30</v>
      </c>
      <c r="C10178" t="str">
        <f t="shared" si="31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17"/>
        <v>-1</v>
      </c>
    </row>
    <row r="10179" spans="1:8" x14ac:dyDescent="0.2">
      <c r="A10179" t="s">
        <v>7</v>
      </c>
      <c r="B10179" t="s">
        <v>30</v>
      </c>
      <c r="C10179" t="str">
        <f t="shared" si="31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ref="H10179:H10242" si="319">F10179-G10179</f>
        <v>-1</v>
      </c>
    </row>
    <row r="10180" spans="1:8" x14ac:dyDescent="0.2">
      <c r="A10180" t="s">
        <v>7</v>
      </c>
      <c r="B10180" t="s">
        <v>30</v>
      </c>
      <c r="C10180" t="str">
        <f t="shared" si="31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19"/>
        <v>-1</v>
      </c>
    </row>
    <row r="10181" spans="1:8" x14ac:dyDescent="0.2">
      <c r="A10181" t="s">
        <v>7</v>
      </c>
      <c r="B10181" t="s">
        <v>30</v>
      </c>
      <c r="C10181" t="str">
        <f t="shared" ref="C10181:C10244" si="320">IF(H10181&gt;=0,"Cumple","No cumple")</f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19"/>
        <v>-1</v>
      </c>
    </row>
    <row r="10182" spans="1:8" x14ac:dyDescent="0.2">
      <c r="A10182" t="s">
        <v>7</v>
      </c>
      <c r="B10182" t="s">
        <v>30</v>
      </c>
      <c r="C10182" t="str">
        <f t="shared" si="320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19"/>
        <v>-1</v>
      </c>
    </row>
    <row r="10183" spans="1:8" x14ac:dyDescent="0.2">
      <c r="A10183" t="s">
        <v>7</v>
      </c>
      <c r="B10183" t="s">
        <v>30</v>
      </c>
      <c r="C10183" t="str">
        <f t="shared" si="320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19"/>
        <v>-1</v>
      </c>
    </row>
    <row r="10184" spans="1:8" x14ac:dyDescent="0.2">
      <c r="A10184" t="s">
        <v>7</v>
      </c>
      <c r="B10184" t="s">
        <v>30</v>
      </c>
      <c r="C10184" t="str">
        <f t="shared" si="320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19"/>
        <v>0</v>
      </c>
    </row>
    <row r="10185" spans="1:8" x14ac:dyDescent="0.2">
      <c r="A10185" t="s">
        <v>7</v>
      </c>
      <c r="B10185" t="s">
        <v>30</v>
      </c>
      <c r="C10185" t="str">
        <f t="shared" si="320"/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si="319"/>
        <v>-1</v>
      </c>
    </row>
    <row r="10186" spans="1:8" x14ac:dyDescent="0.2">
      <c r="A10186" t="s">
        <v>7</v>
      </c>
      <c r="B10186" t="s">
        <v>30</v>
      </c>
      <c r="C10186" t="str">
        <f t="shared" si="32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19"/>
        <v>-1</v>
      </c>
    </row>
    <row r="10187" spans="1:8" x14ac:dyDescent="0.2">
      <c r="A10187" t="s">
        <v>7</v>
      </c>
      <c r="B10187" t="s">
        <v>30</v>
      </c>
      <c r="C10187" t="str">
        <f t="shared" si="32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19"/>
        <v>-1</v>
      </c>
    </row>
    <row r="10188" spans="1:8" x14ac:dyDescent="0.2">
      <c r="A10188" t="s">
        <v>7</v>
      </c>
      <c r="B10188" t="s">
        <v>30</v>
      </c>
      <c r="C10188" t="str">
        <f t="shared" si="32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19"/>
        <v>-1</v>
      </c>
    </row>
    <row r="10189" spans="1:8" x14ac:dyDescent="0.2">
      <c r="A10189" t="s">
        <v>7</v>
      </c>
      <c r="B10189" t="s">
        <v>30</v>
      </c>
      <c r="C10189" t="str">
        <f t="shared" si="32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19"/>
        <v>-1</v>
      </c>
    </row>
    <row r="10190" spans="1:8" x14ac:dyDescent="0.2">
      <c r="A10190" t="s">
        <v>7</v>
      </c>
      <c r="B10190" t="s">
        <v>30</v>
      </c>
      <c r="C10190" t="str">
        <f t="shared" si="32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19"/>
        <v>-2</v>
      </c>
    </row>
    <row r="10191" spans="1:8" x14ac:dyDescent="0.2">
      <c r="A10191" t="s">
        <v>7</v>
      </c>
      <c r="B10191" t="s">
        <v>30</v>
      </c>
      <c r="C10191" t="str">
        <f t="shared" si="32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19"/>
        <v>-2</v>
      </c>
    </row>
    <row r="10192" spans="1:8" x14ac:dyDescent="0.2">
      <c r="A10192" t="s">
        <v>7</v>
      </c>
      <c r="B10192" t="s">
        <v>30</v>
      </c>
      <c r="C10192" t="str">
        <f t="shared" si="32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19"/>
        <v>-2</v>
      </c>
    </row>
    <row r="10193" spans="1:8" x14ac:dyDescent="0.2">
      <c r="A10193" t="s">
        <v>7</v>
      </c>
      <c r="B10193" t="s">
        <v>30</v>
      </c>
      <c r="C10193" t="str">
        <f t="shared" si="32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19"/>
        <v>-2</v>
      </c>
    </row>
    <row r="10194" spans="1:8" x14ac:dyDescent="0.2">
      <c r="A10194" t="s">
        <v>7</v>
      </c>
      <c r="B10194" t="s">
        <v>30</v>
      </c>
      <c r="C10194" t="str">
        <f t="shared" si="32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19"/>
        <v>-2</v>
      </c>
    </row>
    <row r="10195" spans="1:8" x14ac:dyDescent="0.2">
      <c r="A10195" t="s">
        <v>7</v>
      </c>
      <c r="B10195" t="s">
        <v>30</v>
      </c>
      <c r="C10195" t="str">
        <f t="shared" si="32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19"/>
        <v>-2</v>
      </c>
    </row>
    <row r="10196" spans="1:8" x14ac:dyDescent="0.2">
      <c r="A10196" t="s">
        <v>7</v>
      </c>
      <c r="B10196" t="s">
        <v>30</v>
      </c>
      <c r="C10196" t="str">
        <f t="shared" si="32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19"/>
        <v>0</v>
      </c>
    </row>
    <row r="10197" spans="1:8" x14ac:dyDescent="0.2">
      <c r="A10197" t="s">
        <v>7</v>
      </c>
      <c r="B10197" t="s">
        <v>30</v>
      </c>
      <c r="C10197" t="str">
        <f t="shared" si="32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19"/>
        <v>-2</v>
      </c>
    </row>
    <row r="10198" spans="1:8" x14ac:dyDescent="0.2">
      <c r="A10198" t="s">
        <v>7</v>
      </c>
      <c r="B10198" t="s">
        <v>30</v>
      </c>
      <c r="C10198" t="str">
        <f t="shared" si="32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19"/>
        <v>-2</v>
      </c>
    </row>
    <row r="10199" spans="1:8" x14ac:dyDescent="0.2">
      <c r="A10199" t="s">
        <v>7</v>
      </c>
      <c r="B10199" t="s">
        <v>30</v>
      </c>
      <c r="C10199" t="str">
        <f t="shared" si="32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19"/>
        <v>-2</v>
      </c>
    </row>
    <row r="10200" spans="1:8" x14ac:dyDescent="0.2">
      <c r="A10200" t="s">
        <v>7</v>
      </c>
      <c r="B10200" t="s">
        <v>30</v>
      </c>
      <c r="C10200" t="str">
        <f t="shared" si="32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19"/>
        <v>-2</v>
      </c>
    </row>
    <row r="10201" spans="1:8" x14ac:dyDescent="0.2">
      <c r="A10201" t="s">
        <v>7</v>
      </c>
      <c r="B10201" t="s">
        <v>30</v>
      </c>
      <c r="C10201" t="str">
        <f t="shared" si="32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19"/>
        <v>-2</v>
      </c>
    </row>
    <row r="10202" spans="1:8" x14ac:dyDescent="0.2">
      <c r="A10202" t="s">
        <v>7</v>
      </c>
      <c r="B10202" t="s">
        <v>30</v>
      </c>
      <c r="C10202" t="str">
        <f t="shared" si="32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19"/>
        <v>-2</v>
      </c>
    </row>
    <row r="10203" spans="1:8" x14ac:dyDescent="0.2">
      <c r="A10203" t="s">
        <v>7</v>
      </c>
      <c r="B10203" t="s">
        <v>30</v>
      </c>
      <c r="C10203" t="str">
        <f t="shared" si="32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19"/>
        <v>-2</v>
      </c>
    </row>
    <row r="10204" spans="1:8" x14ac:dyDescent="0.2">
      <c r="A10204" t="s">
        <v>7</v>
      </c>
      <c r="B10204" t="s">
        <v>30</v>
      </c>
      <c r="C10204" t="str">
        <f t="shared" si="32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19"/>
        <v>-3</v>
      </c>
    </row>
    <row r="10205" spans="1:8" x14ac:dyDescent="0.2">
      <c r="A10205" t="s">
        <v>7</v>
      </c>
      <c r="B10205" t="s">
        <v>30</v>
      </c>
      <c r="C10205" t="str">
        <f t="shared" si="32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19"/>
        <v>-3</v>
      </c>
    </row>
    <row r="10206" spans="1:8" x14ac:dyDescent="0.2">
      <c r="A10206" t="s">
        <v>7</v>
      </c>
      <c r="B10206" t="s">
        <v>30</v>
      </c>
      <c r="C10206" t="str">
        <f t="shared" si="32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19"/>
        <v>-3</v>
      </c>
    </row>
    <row r="10207" spans="1:8" x14ac:dyDescent="0.2">
      <c r="A10207" t="s">
        <v>19</v>
      </c>
      <c r="B10207" t="s">
        <v>30</v>
      </c>
      <c r="C10207" t="str">
        <f t="shared" si="32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19"/>
        <v>-3</v>
      </c>
    </row>
    <row r="10208" spans="1:8" x14ac:dyDescent="0.2">
      <c r="A10208" t="s">
        <v>7</v>
      </c>
      <c r="B10208" t="s">
        <v>30</v>
      </c>
      <c r="C10208" t="str">
        <f t="shared" si="32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19"/>
        <v>-3</v>
      </c>
    </row>
    <row r="10209" spans="1:8" x14ac:dyDescent="0.2">
      <c r="A10209" t="s">
        <v>7</v>
      </c>
      <c r="B10209" t="s">
        <v>30</v>
      </c>
      <c r="C10209" t="str">
        <f t="shared" si="32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19"/>
        <v>-3</v>
      </c>
    </row>
    <row r="10210" spans="1:8" x14ac:dyDescent="0.2">
      <c r="A10210" t="s">
        <v>7</v>
      </c>
      <c r="B10210" t="s">
        <v>30</v>
      </c>
      <c r="C10210" t="str">
        <f t="shared" si="32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19"/>
        <v>-3</v>
      </c>
    </row>
    <row r="10211" spans="1:8" x14ac:dyDescent="0.2">
      <c r="A10211" t="s">
        <v>7</v>
      </c>
      <c r="B10211" t="s">
        <v>30</v>
      </c>
      <c r="C10211" t="str">
        <f t="shared" si="32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19"/>
        <v>-3</v>
      </c>
    </row>
    <row r="10212" spans="1:8" x14ac:dyDescent="0.2">
      <c r="A10212" t="s">
        <v>7</v>
      </c>
      <c r="B10212" t="s">
        <v>30</v>
      </c>
      <c r="C10212" t="str">
        <f t="shared" si="32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19"/>
        <v>-3</v>
      </c>
    </row>
    <row r="10213" spans="1:8" x14ac:dyDescent="0.2">
      <c r="A10213" t="s">
        <v>7</v>
      </c>
      <c r="B10213" t="s">
        <v>30</v>
      </c>
      <c r="C10213" t="str">
        <f t="shared" si="32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19"/>
        <v>-3</v>
      </c>
    </row>
    <row r="10214" spans="1:8" x14ac:dyDescent="0.2">
      <c r="A10214" t="s">
        <v>7</v>
      </c>
      <c r="B10214" t="s">
        <v>30</v>
      </c>
      <c r="C10214" t="str">
        <f t="shared" si="32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19"/>
        <v>-3</v>
      </c>
    </row>
    <row r="10215" spans="1:8" x14ac:dyDescent="0.2">
      <c r="A10215" t="s">
        <v>7</v>
      </c>
      <c r="B10215" t="s">
        <v>30</v>
      </c>
      <c r="C10215" t="str">
        <f t="shared" si="32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19"/>
        <v>-3</v>
      </c>
    </row>
    <row r="10216" spans="1:8" x14ac:dyDescent="0.2">
      <c r="A10216" t="s">
        <v>7</v>
      </c>
      <c r="B10216" t="s">
        <v>30</v>
      </c>
      <c r="C10216" t="str">
        <f t="shared" si="32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19"/>
        <v>-3</v>
      </c>
    </row>
    <row r="10217" spans="1:8" x14ac:dyDescent="0.2">
      <c r="A10217" t="s">
        <v>7</v>
      </c>
      <c r="B10217" t="s">
        <v>30</v>
      </c>
      <c r="C10217" t="str">
        <f t="shared" si="32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19"/>
        <v>-3</v>
      </c>
    </row>
    <row r="10218" spans="1:8" x14ac:dyDescent="0.2">
      <c r="A10218" t="s">
        <v>7</v>
      </c>
      <c r="B10218" t="s">
        <v>30</v>
      </c>
      <c r="C10218" t="str">
        <f t="shared" si="32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19"/>
        <v>-3</v>
      </c>
    </row>
    <row r="10219" spans="1:8" x14ac:dyDescent="0.2">
      <c r="A10219" t="s">
        <v>7</v>
      </c>
      <c r="B10219" t="s">
        <v>30</v>
      </c>
      <c r="C10219" t="str">
        <f t="shared" si="32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19"/>
        <v>-3</v>
      </c>
    </row>
    <row r="10220" spans="1:8" x14ac:dyDescent="0.2">
      <c r="A10220" t="s">
        <v>7</v>
      </c>
      <c r="B10220" t="s">
        <v>30</v>
      </c>
      <c r="C10220" t="str">
        <f t="shared" si="32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19"/>
        <v>-3</v>
      </c>
    </row>
    <row r="10221" spans="1:8" x14ac:dyDescent="0.2">
      <c r="A10221" t="s">
        <v>7</v>
      </c>
      <c r="B10221" t="s">
        <v>30</v>
      </c>
      <c r="C10221" t="str">
        <f t="shared" si="32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19"/>
        <v>-3</v>
      </c>
    </row>
    <row r="10222" spans="1:8" x14ac:dyDescent="0.2">
      <c r="A10222" t="s">
        <v>7</v>
      </c>
      <c r="B10222" t="s">
        <v>30</v>
      </c>
      <c r="C10222" t="str">
        <f t="shared" si="32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19"/>
        <v>-3</v>
      </c>
    </row>
    <row r="10223" spans="1:8" x14ac:dyDescent="0.2">
      <c r="A10223" t="s">
        <v>7</v>
      </c>
      <c r="B10223" t="s">
        <v>30</v>
      </c>
      <c r="C10223" t="str">
        <f t="shared" si="32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19"/>
        <v>-3</v>
      </c>
    </row>
    <row r="10224" spans="1:8" x14ac:dyDescent="0.2">
      <c r="A10224" t="s">
        <v>7</v>
      </c>
      <c r="B10224" t="s">
        <v>30</v>
      </c>
      <c r="C10224" t="str">
        <f t="shared" si="32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19"/>
        <v>-3</v>
      </c>
    </row>
    <row r="10225" spans="1:8" x14ac:dyDescent="0.2">
      <c r="A10225" t="s">
        <v>7</v>
      </c>
      <c r="B10225" t="s">
        <v>30</v>
      </c>
      <c r="C10225" t="str">
        <f t="shared" si="32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19"/>
        <v>-3</v>
      </c>
    </row>
    <row r="10226" spans="1:8" x14ac:dyDescent="0.2">
      <c r="A10226" t="s">
        <v>7</v>
      </c>
      <c r="B10226" t="s">
        <v>30</v>
      </c>
      <c r="C10226" t="str">
        <f t="shared" si="32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19"/>
        <v>-3</v>
      </c>
    </row>
    <row r="10227" spans="1:8" x14ac:dyDescent="0.2">
      <c r="A10227" t="s">
        <v>7</v>
      </c>
      <c r="B10227" t="s">
        <v>30</v>
      </c>
      <c r="C10227" t="str">
        <f t="shared" si="32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19"/>
        <v>-3</v>
      </c>
    </row>
    <row r="10228" spans="1:8" x14ac:dyDescent="0.2">
      <c r="A10228" t="s">
        <v>7</v>
      </c>
      <c r="B10228" t="s">
        <v>30</v>
      </c>
      <c r="C10228" t="str">
        <f t="shared" si="32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19"/>
        <v>-3</v>
      </c>
    </row>
    <row r="10229" spans="1:8" x14ac:dyDescent="0.2">
      <c r="A10229" t="s">
        <v>7</v>
      </c>
      <c r="B10229" t="s">
        <v>30</v>
      </c>
      <c r="C10229" t="str">
        <f t="shared" si="32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19"/>
        <v>-3</v>
      </c>
    </row>
    <row r="10230" spans="1:8" x14ac:dyDescent="0.2">
      <c r="A10230" t="s">
        <v>7</v>
      </c>
      <c r="B10230" t="s">
        <v>30</v>
      </c>
      <c r="C10230" t="str">
        <f t="shared" si="32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19"/>
        <v>-3</v>
      </c>
    </row>
    <row r="10231" spans="1:8" x14ac:dyDescent="0.2">
      <c r="A10231" t="s">
        <v>7</v>
      </c>
      <c r="B10231" t="s">
        <v>30</v>
      </c>
      <c r="C10231" t="str">
        <f t="shared" si="32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19"/>
        <v>-3</v>
      </c>
    </row>
    <row r="10232" spans="1:8" x14ac:dyDescent="0.2">
      <c r="A10232" t="s">
        <v>7</v>
      </c>
      <c r="B10232" t="s">
        <v>30</v>
      </c>
      <c r="C10232" t="str">
        <f t="shared" si="32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19"/>
        <v>-3</v>
      </c>
    </row>
    <row r="10233" spans="1:8" x14ac:dyDescent="0.2">
      <c r="A10233" t="s">
        <v>7</v>
      </c>
      <c r="B10233" t="s">
        <v>30</v>
      </c>
      <c r="C10233" t="str">
        <f t="shared" si="32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19"/>
        <v>-3</v>
      </c>
    </row>
    <row r="10234" spans="1:8" x14ac:dyDescent="0.2">
      <c r="A10234" t="s">
        <v>7</v>
      </c>
      <c r="B10234" t="s">
        <v>30</v>
      </c>
      <c r="C10234" t="str">
        <f t="shared" si="32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19"/>
        <v>-4</v>
      </c>
    </row>
    <row r="10235" spans="1:8" x14ac:dyDescent="0.2">
      <c r="A10235" t="s">
        <v>7</v>
      </c>
      <c r="B10235" t="s">
        <v>30</v>
      </c>
      <c r="C10235" t="str">
        <f t="shared" si="32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19"/>
        <v>-4</v>
      </c>
    </row>
    <row r="10236" spans="1:8" x14ac:dyDescent="0.2">
      <c r="A10236" t="s">
        <v>7</v>
      </c>
      <c r="B10236" t="s">
        <v>30</v>
      </c>
      <c r="C10236" t="str">
        <f t="shared" si="32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19"/>
        <v>-4</v>
      </c>
    </row>
    <row r="10237" spans="1:8" x14ac:dyDescent="0.2">
      <c r="A10237" t="s">
        <v>7</v>
      </c>
      <c r="B10237" t="s">
        <v>30</v>
      </c>
      <c r="C10237" t="str">
        <f t="shared" si="32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19"/>
        <v>-4</v>
      </c>
    </row>
    <row r="10238" spans="1:8" x14ac:dyDescent="0.2">
      <c r="A10238" t="s">
        <v>7</v>
      </c>
      <c r="B10238" t="s">
        <v>30</v>
      </c>
      <c r="C10238" t="str">
        <f t="shared" si="32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19"/>
        <v>-4</v>
      </c>
    </row>
    <row r="10239" spans="1:8" x14ac:dyDescent="0.2">
      <c r="A10239" t="s">
        <v>7</v>
      </c>
      <c r="B10239" t="s">
        <v>30</v>
      </c>
      <c r="C10239" t="str">
        <f t="shared" si="32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19"/>
        <v>-4</v>
      </c>
    </row>
    <row r="10240" spans="1:8" x14ac:dyDescent="0.2">
      <c r="A10240" t="s">
        <v>7</v>
      </c>
      <c r="B10240" t="s">
        <v>30</v>
      </c>
      <c r="C10240" t="str">
        <f t="shared" si="32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19"/>
        <v>-4</v>
      </c>
    </row>
    <row r="10241" spans="1:8" x14ac:dyDescent="0.2">
      <c r="A10241" t="s">
        <v>7</v>
      </c>
      <c r="B10241" t="s">
        <v>30</v>
      </c>
      <c r="C10241" t="str">
        <f t="shared" si="32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19"/>
        <v>-4</v>
      </c>
    </row>
    <row r="10242" spans="1:8" x14ac:dyDescent="0.2">
      <c r="A10242" t="s">
        <v>7</v>
      </c>
      <c r="B10242" t="s">
        <v>30</v>
      </c>
      <c r="C10242" t="str">
        <f t="shared" si="32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19"/>
        <v>-4</v>
      </c>
    </row>
    <row r="10243" spans="1:8" x14ac:dyDescent="0.2">
      <c r="A10243" t="s">
        <v>7</v>
      </c>
      <c r="B10243" t="s">
        <v>30</v>
      </c>
      <c r="C10243" t="str">
        <f t="shared" si="32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ref="H10243:H10306" si="321">F10243-G10243</f>
        <v>-4</v>
      </c>
    </row>
    <row r="10244" spans="1:8" x14ac:dyDescent="0.2">
      <c r="A10244" t="s">
        <v>7</v>
      </c>
      <c r="B10244" t="s">
        <v>30</v>
      </c>
      <c r="C10244" t="str">
        <f t="shared" si="32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21"/>
        <v>-4</v>
      </c>
    </row>
    <row r="10245" spans="1:8" x14ac:dyDescent="0.2">
      <c r="A10245" t="s">
        <v>7</v>
      </c>
      <c r="B10245" t="s">
        <v>30</v>
      </c>
      <c r="C10245" t="str">
        <f t="shared" ref="C10245:C10308" si="322">IF(H10245&gt;=0,"Cumple","No cumple")</f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21"/>
        <v>-4</v>
      </c>
    </row>
    <row r="10246" spans="1:8" x14ac:dyDescent="0.2">
      <c r="A10246" t="s">
        <v>7</v>
      </c>
      <c r="B10246" t="s">
        <v>30</v>
      </c>
      <c r="C10246" t="str">
        <f t="shared" si="322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21"/>
        <v>-4</v>
      </c>
    </row>
    <row r="10247" spans="1:8" x14ac:dyDescent="0.2">
      <c r="A10247" t="s">
        <v>7</v>
      </c>
      <c r="B10247" t="s">
        <v>30</v>
      </c>
      <c r="C10247" t="str">
        <f t="shared" si="322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21"/>
        <v>-4</v>
      </c>
    </row>
    <row r="10248" spans="1:8" x14ac:dyDescent="0.2">
      <c r="A10248" t="s">
        <v>7</v>
      </c>
      <c r="B10248" t="s">
        <v>30</v>
      </c>
      <c r="C10248" t="str">
        <f t="shared" si="322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21"/>
        <v>-4</v>
      </c>
    </row>
    <row r="10249" spans="1:8" x14ac:dyDescent="0.2">
      <c r="A10249" t="s">
        <v>7</v>
      </c>
      <c r="B10249" t="s">
        <v>30</v>
      </c>
      <c r="C10249" t="str">
        <f t="shared" si="322"/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si="321"/>
        <v>-4</v>
      </c>
    </row>
    <row r="10250" spans="1:8" x14ac:dyDescent="0.2">
      <c r="A10250" t="s">
        <v>7</v>
      </c>
      <c r="B10250" t="s">
        <v>30</v>
      </c>
      <c r="C10250" t="str">
        <f t="shared" si="32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21"/>
        <v>-4</v>
      </c>
    </row>
    <row r="10251" spans="1:8" x14ac:dyDescent="0.2">
      <c r="A10251" t="s">
        <v>7</v>
      </c>
      <c r="B10251" t="s">
        <v>30</v>
      </c>
      <c r="C10251" t="str">
        <f t="shared" si="32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21"/>
        <v>-4</v>
      </c>
    </row>
    <row r="10252" spans="1:8" x14ac:dyDescent="0.2">
      <c r="A10252" t="s">
        <v>7</v>
      </c>
      <c r="B10252" t="s">
        <v>30</v>
      </c>
      <c r="C10252" t="str">
        <f t="shared" si="32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21"/>
        <v>-4</v>
      </c>
    </row>
    <row r="10253" spans="1:8" x14ac:dyDescent="0.2">
      <c r="A10253" t="s">
        <v>7</v>
      </c>
      <c r="B10253" t="s">
        <v>30</v>
      </c>
      <c r="C10253" t="str">
        <f t="shared" si="32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21"/>
        <v>-4</v>
      </c>
    </row>
    <row r="10254" spans="1:8" x14ac:dyDescent="0.2">
      <c r="A10254" t="s">
        <v>7</v>
      </c>
      <c r="B10254" t="s">
        <v>30</v>
      </c>
      <c r="C10254" t="str">
        <f t="shared" si="32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21"/>
        <v>-4</v>
      </c>
    </row>
    <row r="10255" spans="1:8" x14ac:dyDescent="0.2">
      <c r="A10255" t="s">
        <v>7</v>
      </c>
      <c r="B10255" t="s">
        <v>30</v>
      </c>
      <c r="C10255" t="str">
        <f t="shared" si="32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21"/>
        <v>-4</v>
      </c>
    </row>
    <row r="10256" spans="1:8" x14ac:dyDescent="0.2">
      <c r="A10256" t="s">
        <v>7</v>
      </c>
      <c r="B10256" t="s">
        <v>30</v>
      </c>
      <c r="C10256" t="str">
        <f t="shared" si="32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21"/>
        <v>-4</v>
      </c>
    </row>
    <row r="10257" spans="1:8" x14ac:dyDescent="0.2">
      <c r="A10257" t="s">
        <v>7</v>
      </c>
      <c r="B10257" t="s">
        <v>30</v>
      </c>
      <c r="C10257" t="str">
        <f t="shared" si="32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21"/>
        <v>-4</v>
      </c>
    </row>
    <row r="10258" spans="1:8" x14ac:dyDescent="0.2">
      <c r="A10258" t="s">
        <v>7</v>
      </c>
      <c r="B10258" t="s">
        <v>30</v>
      </c>
      <c r="C10258" t="str">
        <f t="shared" si="32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21"/>
        <v>-4</v>
      </c>
    </row>
    <row r="10259" spans="1:8" x14ac:dyDescent="0.2">
      <c r="A10259" t="s">
        <v>7</v>
      </c>
      <c r="B10259" t="s">
        <v>30</v>
      </c>
      <c r="C10259" t="str">
        <f t="shared" si="32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21"/>
        <v>-4</v>
      </c>
    </row>
    <row r="10260" spans="1:8" x14ac:dyDescent="0.2">
      <c r="A10260" t="s">
        <v>7</v>
      </c>
      <c r="B10260" t="s">
        <v>30</v>
      </c>
      <c r="C10260" t="str">
        <f t="shared" si="32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21"/>
        <v>-4</v>
      </c>
    </row>
    <row r="10261" spans="1:8" x14ac:dyDescent="0.2">
      <c r="A10261" t="s">
        <v>7</v>
      </c>
      <c r="B10261" t="s">
        <v>30</v>
      </c>
      <c r="C10261" t="str">
        <f t="shared" si="32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21"/>
        <v>-4</v>
      </c>
    </row>
    <row r="10262" spans="1:8" x14ac:dyDescent="0.2">
      <c r="A10262" t="s">
        <v>7</v>
      </c>
      <c r="B10262" t="s">
        <v>30</v>
      </c>
      <c r="C10262" t="str">
        <f t="shared" si="32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21"/>
        <v>-4</v>
      </c>
    </row>
    <row r="10263" spans="1:8" x14ac:dyDescent="0.2">
      <c r="A10263" t="s">
        <v>7</v>
      </c>
      <c r="B10263" t="s">
        <v>30</v>
      </c>
      <c r="C10263" t="str">
        <f t="shared" si="32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21"/>
        <v>-4</v>
      </c>
    </row>
    <row r="10264" spans="1:8" x14ac:dyDescent="0.2">
      <c r="A10264" t="s">
        <v>7</v>
      </c>
      <c r="B10264" t="s">
        <v>30</v>
      </c>
      <c r="C10264" t="str">
        <f t="shared" si="32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21"/>
        <v>-4</v>
      </c>
    </row>
    <row r="10265" spans="1:8" x14ac:dyDescent="0.2">
      <c r="A10265" t="s">
        <v>7</v>
      </c>
      <c r="B10265" t="s">
        <v>30</v>
      </c>
      <c r="C10265" t="str">
        <f t="shared" si="32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21"/>
        <v>-4</v>
      </c>
    </row>
    <row r="10266" spans="1:8" x14ac:dyDescent="0.2">
      <c r="A10266" t="s">
        <v>7</v>
      </c>
      <c r="B10266" t="s">
        <v>30</v>
      </c>
      <c r="C10266" t="str">
        <f t="shared" si="32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21"/>
        <v>-4</v>
      </c>
    </row>
    <row r="10267" spans="1:8" x14ac:dyDescent="0.2">
      <c r="A10267" t="s">
        <v>7</v>
      </c>
      <c r="B10267" t="s">
        <v>30</v>
      </c>
      <c r="C10267" t="str">
        <f t="shared" si="32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21"/>
        <v>-5</v>
      </c>
    </row>
    <row r="10268" spans="1:8" x14ac:dyDescent="0.2">
      <c r="A10268" t="s">
        <v>7</v>
      </c>
      <c r="B10268" t="s">
        <v>30</v>
      </c>
      <c r="C10268" t="str">
        <f t="shared" si="32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21"/>
        <v>-5</v>
      </c>
    </row>
    <row r="10269" spans="1:8" x14ac:dyDescent="0.2">
      <c r="A10269" t="s">
        <v>7</v>
      </c>
      <c r="B10269" t="s">
        <v>30</v>
      </c>
      <c r="C10269" t="str">
        <f t="shared" si="32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21"/>
        <v>-5</v>
      </c>
    </row>
    <row r="10270" spans="1:8" x14ac:dyDescent="0.2">
      <c r="A10270" t="s">
        <v>7</v>
      </c>
      <c r="B10270" t="s">
        <v>30</v>
      </c>
      <c r="C10270" t="str">
        <f t="shared" si="32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21"/>
        <v>-5</v>
      </c>
    </row>
    <row r="10271" spans="1:8" x14ac:dyDescent="0.2">
      <c r="A10271" t="s">
        <v>7</v>
      </c>
      <c r="B10271" t="s">
        <v>30</v>
      </c>
      <c r="C10271" t="str">
        <f t="shared" si="32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21"/>
        <v>-5</v>
      </c>
    </row>
    <row r="10272" spans="1:8" x14ac:dyDescent="0.2">
      <c r="A10272" t="s">
        <v>7</v>
      </c>
      <c r="B10272" t="s">
        <v>30</v>
      </c>
      <c r="C10272" t="str">
        <f t="shared" si="32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21"/>
        <v>-5</v>
      </c>
    </row>
    <row r="10273" spans="1:8" x14ac:dyDescent="0.2">
      <c r="A10273" t="s">
        <v>7</v>
      </c>
      <c r="B10273" t="s">
        <v>30</v>
      </c>
      <c r="C10273" t="str">
        <f t="shared" si="32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21"/>
        <v>-5</v>
      </c>
    </row>
    <row r="10274" spans="1:8" x14ac:dyDescent="0.2">
      <c r="A10274" t="s">
        <v>7</v>
      </c>
      <c r="B10274" t="s">
        <v>30</v>
      </c>
      <c r="C10274" t="str">
        <f t="shared" si="32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21"/>
        <v>-5</v>
      </c>
    </row>
    <row r="10275" spans="1:8" x14ac:dyDescent="0.2">
      <c r="A10275" t="s">
        <v>7</v>
      </c>
      <c r="B10275" t="s">
        <v>30</v>
      </c>
      <c r="C10275" t="str">
        <f t="shared" si="32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21"/>
        <v>-5</v>
      </c>
    </row>
    <row r="10276" spans="1:8" x14ac:dyDescent="0.2">
      <c r="A10276" t="s">
        <v>7</v>
      </c>
      <c r="B10276" t="s">
        <v>30</v>
      </c>
      <c r="C10276" t="str">
        <f t="shared" si="32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21"/>
        <v>-5</v>
      </c>
    </row>
    <row r="10277" spans="1:8" x14ac:dyDescent="0.2">
      <c r="A10277" t="s">
        <v>7</v>
      </c>
      <c r="B10277" t="s">
        <v>30</v>
      </c>
      <c r="C10277" t="str">
        <f t="shared" si="32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21"/>
        <v>-5</v>
      </c>
    </row>
    <row r="10278" spans="1:8" x14ac:dyDescent="0.2">
      <c r="A10278" t="s">
        <v>7</v>
      </c>
      <c r="B10278" t="s">
        <v>30</v>
      </c>
      <c r="C10278" t="str">
        <f t="shared" si="32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21"/>
        <v>-5</v>
      </c>
    </row>
    <row r="10279" spans="1:8" x14ac:dyDescent="0.2">
      <c r="A10279" t="s">
        <v>7</v>
      </c>
      <c r="B10279" t="s">
        <v>30</v>
      </c>
      <c r="C10279" t="str">
        <f t="shared" si="32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21"/>
        <v>-5</v>
      </c>
    </row>
    <row r="10280" spans="1:8" x14ac:dyDescent="0.2">
      <c r="A10280" t="s">
        <v>7</v>
      </c>
      <c r="B10280" t="s">
        <v>30</v>
      </c>
      <c r="C10280" t="str">
        <f t="shared" si="32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21"/>
        <v>-5</v>
      </c>
    </row>
    <row r="10281" spans="1:8" x14ac:dyDescent="0.2">
      <c r="A10281" t="s">
        <v>7</v>
      </c>
      <c r="B10281" t="s">
        <v>30</v>
      </c>
      <c r="C10281" t="str">
        <f t="shared" si="32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21"/>
        <v>-5</v>
      </c>
    </row>
    <row r="10282" spans="1:8" x14ac:dyDescent="0.2">
      <c r="A10282" t="s">
        <v>7</v>
      </c>
      <c r="B10282" t="s">
        <v>30</v>
      </c>
      <c r="C10282" t="str">
        <f t="shared" si="32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21"/>
        <v>-5</v>
      </c>
    </row>
    <row r="10283" spans="1:8" x14ac:dyDescent="0.2">
      <c r="A10283" t="s">
        <v>7</v>
      </c>
      <c r="B10283" t="s">
        <v>30</v>
      </c>
      <c r="C10283" t="str">
        <f t="shared" si="32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21"/>
        <v>-5</v>
      </c>
    </row>
    <row r="10284" spans="1:8" x14ac:dyDescent="0.2">
      <c r="A10284" t="s">
        <v>7</v>
      </c>
      <c r="B10284" t="s">
        <v>30</v>
      </c>
      <c r="C10284" t="str">
        <f t="shared" si="32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21"/>
        <v>-5</v>
      </c>
    </row>
    <row r="10285" spans="1:8" x14ac:dyDescent="0.2">
      <c r="A10285" t="s">
        <v>7</v>
      </c>
      <c r="B10285" t="s">
        <v>30</v>
      </c>
      <c r="C10285" t="str">
        <f t="shared" si="32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21"/>
        <v>-5</v>
      </c>
    </row>
    <row r="10286" spans="1:8" x14ac:dyDescent="0.2">
      <c r="A10286" t="s">
        <v>7</v>
      </c>
      <c r="B10286" t="s">
        <v>30</v>
      </c>
      <c r="C10286" t="str">
        <f t="shared" si="32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21"/>
        <v>-5</v>
      </c>
    </row>
    <row r="10287" spans="1:8" x14ac:dyDescent="0.2">
      <c r="A10287" t="s">
        <v>7</v>
      </c>
      <c r="B10287" t="s">
        <v>30</v>
      </c>
      <c r="C10287" t="str">
        <f t="shared" si="32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21"/>
        <v>-5</v>
      </c>
    </row>
    <row r="10288" spans="1:8" x14ac:dyDescent="0.2">
      <c r="A10288" t="s">
        <v>7</v>
      </c>
      <c r="B10288" t="s">
        <v>30</v>
      </c>
      <c r="C10288" t="str">
        <f t="shared" si="32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21"/>
        <v>-5</v>
      </c>
    </row>
    <row r="10289" spans="1:8" x14ac:dyDescent="0.2">
      <c r="A10289" t="s">
        <v>7</v>
      </c>
      <c r="B10289" t="s">
        <v>30</v>
      </c>
      <c r="C10289" t="str">
        <f t="shared" si="32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21"/>
        <v>-5</v>
      </c>
    </row>
    <row r="10290" spans="1:8" x14ac:dyDescent="0.2">
      <c r="A10290" t="s">
        <v>7</v>
      </c>
      <c r="B10290" t="s">
        <v>30</v>
      </c>
      <c r="C10290" t="str">
        <f t="shared" si="32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21"/>
        <v>-5</v>
      </c>
    </row>
    <row r="10291" spans="1:8" x14ac:dyDescent="0.2">
      <c r="A10291" t="s">
        <v>7</v>
      </c>
      <c r="B10291" t="s">
        <v>30</v>
      </c>
      <c r="C10291" t="str">
        <f t="shared" si="32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21"/>
        <v>-5</v>
      </c>
    </row>
    <row r="10292" spans="1:8" x14ac:dyDescent="0.2">
      <c r="A10292" t="s">
        <v>7</v>
      </c>
      <c r="B10292" t="s">
        <v>30</v>
      </c>
      <c r="C10292" t="str">
        <f t="shared" si="32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21"/>
        <v>-5</v>
      </c>
    </row>
    <row r="10293" spans="1:8" x14ac:dyDescent="0.2">
      <c r="A10293" t="s">
        <v>7</v>
      </c>
      <c r="B10293" t="s">
        <v>30</v>
      </c>
      <c r="C10293" t="str">
        <f t="shared" si="32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21"/>
        <v>-5</v>
      </c>
    </row>
    <row r="10294" spans="1:8" x14ac:dyDescent="0.2">
      <c r="A10294" t="s">
        <v>7</v>
      </c>
      <c r="B10294" t="s">
        <v>30</v>
      </c>
      <c r="C10294" t="str">
        <f t="shared" si="32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21"/>
        <v>-5</v>
      </c>
    </row>
    <row r="10295" spans="1:8" x14ac:dyDescent="0.2">
      <c r="A10295" t="s">
        <v>7</v>
      </c>
      <c r="B10295" t="s">
        <v>30</v>
      </c>
      <c r="C10295" t="str">
        <f t="shared" si="32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21"/>
        <v>-5</v>
      </c>
    </row>
    <row r="10296" spans="1:8" x14ac:dyDescent="0.2">
      <c r="A10296" t="s">
        <v>7</v>
      </c>
      <c r="B10296" t="s">
        <v>30</v>
      </c>
      <c r="C10296" t="str">
        <f t="shared" si="32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21"/>
        <v>-5</v>
      </c>
    </row>
    <row r="10297" spans="1:8" x14ac:dyDescent="0.2">
      <c r="A10297" t="s">
        <v>7</v>
      </c>
      <c r="B10297" t="s">
        <v>30</v>
      </c>
      <c r="C10297" t="str">
        <f t="shared" si="32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21"/>
        <v>-5</v>
      </c>
    </row>
    <row r="10298" spans="1:8" x14ac:dyDescent="0.2">
      <c r="A10298" t="s">
        <v>7</v>
      </c>
      <c r="B10298" t="s">
        <v>30</v>
      </c>
      <c r="C10298" t="str">
        <f t="shared" si="32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21"/>
        <v>-5</v>
      </c>
    </row>
    <row r="10299" spans="1:8" x14ac:dyDescent="0.2">
      <c r="A10299" t="s">
        <v>7</v>
      </c>
      <c r="B10299" t="s">
        <v>30</v>
      </c>
      <c r="C10299" t="str">
        <f t="shared" si="32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21"/>
        <v>-5</v>
      </c>
    </row>
    <row r="10300" spans="1:8" x14ac:dyDescent="0.2">
      <c r="A10300" t="s">
        <v>7</v>
      </c>
      <c r="B10300" t="s">
        <v>30</v>
      </c>
      <c r="C10300" t="str">
        <f t="shared" si="32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21"/>
        <v>-5</v>
      </c>
    </row>
    <row r="10301" spans="1:8" x14ac:dyDescent="0.2">
      <c r="A10301" t="s">
        <v>7</v>
      </c>
      <c r="B10301" t="s">
        <v>30</v>
      </c>
      <c r="C10301" t="str">
        <f t="shared" si="32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21"/>
        <v>-7</v>
      </c>
    </row>
    <row r="10302" spans="1:8" x14ac:dyDescent="0.2">
      <c r="A10302" t="s">
        <v>7</v>
      </c>
      <c r="B10302" t="s">
        <v>30</v>
      </c>
      <c r="C10302" t="str">
        <f t="shared" si="32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21"/>
        <v>-5</v>
      </c>
    </row>
    <row r="10303" spans="1:8" x14ac:dyDescent="0.2">
      <c r="A10303" t="s">
        <v>7</v>
      </c>
      <c r="B10303" t="s">
        <v>30</v>
      </c>
      <c r="C10303" t="str">
        <f t="shared" si="32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21"/>
        <v>-5</v>
      </c>
    </row>
    <row r="10304" spans="1:8" x14ac:dyDescent="0.2">
      <c r="A10304" t="s">
        <v>7</v>
      </c>
      <c r="B10304" t="s">
        <v>30</v>
      </c>
      <c r="C10304" t="str">
        <f t="shared" si="32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21"/>
        <v>-5</v>
      </c>
    </row>
    <row r="10305" spans="1:8" x14ac:dyDescent="0.2">
      <c r="A10305" t="s">
        <v>7</v>
      </c>
      <c r="B10305" t="s">
        <v>30</v>
      </c>
      <c r="C10305" t="str">
        <f t="shared" si="32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21"/>
        <v>-5</v>
      </c>
    </row>
    <row r="10306" spans="1:8" x14ac:dyDescent="0.2">
      <c r="A10306" t="s">
        <v>7</v>
      </c>
      <c r="B10306" t="s">
        <v>30</v>
      </c>
      <c r="C10306" t="str">
        <f t="shared" si="32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21"/>
        <v>-5</v>
      </c>
    </row>
    <row r="10307" spans="1:8" x14ac:dyDescent="0.2">
      <c r="A10307" t="s">
        <v>7</v>
      </c>
      <c r="B10307" t="s">
        <v>30</v>
      </c>
      <c r="C10307" t="str">
        <f t="shared" si="32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ref="H10307:H10370" si="323">F10307-G10307</f>
        <v>-5</v>
      </c>
    </row>
    <row r="10308" spans="1:8" x14ac:dyDescent="0.2">
      <c r="A10308" t="s">
        <v>7</v>
      </c>
      <c r="B10308" t="s">
        <v>30</v>
      </c>
      <c r="C10308" t="str">
        <f t="shared" si="32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23"/>
        <v>-5</v>
      </c>
    </row>
    <row r="10309" spans="1:8" x14ac:dyDescent="0.2">
      <c r="A10309" t="s">
        <v>7</v>
      </c>
      <c r="B10309" t="s">
        <v>30</v>
      </c>
      <c r="C10309" t="str">
        <f t="shared" ref="C10309:C10372" si="324">IF(H10309&gt;=0,"Cumple","No cumple")</f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23"/>
        <v>-6</v>
      </c>
    </row>
    <row r="10310" spans="1:8" x14ac:dyDescent="0.2">
      <c r="A10310" t="s">
        <v>7</v>
      </c>
      <c r="B10310" t="s">
        <v>30</v>
      </c>
      <c r="C10310" t="str">
        <f t="shared" si="324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23"/>
        <v>-6</v>
      </c>
    </row>
    <row r="10311" spans="1:8" x14ac:dyDescent="0.2">
      <c r="A10311" t="s">
        <v>18</v>
      </c>
      <c r="B10311" t="s">
        <v>30</v>
      </c>
      <c r="C10311" t="str">
        <f t="shared" si="324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23"/>
        <v>-6</v>
      </c>
    </row>
    <row r="10312" spans="1:8" x14ac:dyDescent="0.2">
      <c r="A10312" t="s">
        <v>18</v>
      </c>
      <c r="B10312" t="s">
        <v>30</v>
      </c>
      <c r="C10312" t="str">
        <f t="shared" si="324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23"/>
        <v>-6</v>
      </c>
    </row>
    <row r="10313" spans="1:8" x14ac:dyDescent="0.2">
      <c r="A10313" t="s">
        <v>7</v>
      </c>
      <c r="B10313" t="s">
        <v>30</v>
      </c>
      <c r="C10313" t="str">
        <f t="shared" si="324"/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si="323"/>
        <v>-6</v>
      </c>
    </row>
    <row r="10314" spans="1:8" x14ac:dyDescent="0.2">
      <c r="A10314" t="s">
        <v>7</v>
      </c>
      <c r="B10314" t="s">
        <v>30</v>
      </c>
      <c r="C10314" t="str">
        <f t="shared" si="32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23"/>
        <v>-6</v>
      </c>
    </row>
    <row r="10315" spans="1:8" x14ac:dyDescent="0.2">
      <c r="A10315" t="s">
        <v>18</v>
      </c>
      <c r="B10315" t="s">
        <v>30</v>
      </c>
      <c r="C10315" t="str">
        <f t="shared" si="32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23"/>
        <v>-6</v>
      </c>
    </row>
    <row r="10316" spans="1:8" x14ac:dyDescent="0.2">
      <c r="A10316" t="s">
        <v>18</v>
      </c>
      <c r="B10316" t="s">
        <v>30</v>
      </c>
      <c r="C10316" t="str">
        <f t="shared" si="32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23"/>
        <v>-6</v>
      </c>
    </row>
    <row r="10317" spans="1:8" x14ac:dyDescent="0.2">
      <c r="A10317" t="s">
        <v>7</v>
      </c>
      <c r="B10317" t="s">
        <v>30</v>
      </c>
      <c r="C10317" t="str">
        <f t="shared" si="32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23"/>
        <v>-6</v>
      </c>
    </row>
    <row r="10318" spans="1:8" x14ac:dyDescent="0.2">
      <c r="A10318" t="s">
        <v>18</v>
      </c>
      <c r="B10318" t="s">
        <v>30</v>
      </c>
      <c r="C10318" t="str">
        <f t="shared" si="32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23"/>
        <v>-6</v>
      </c>
    </row>
    <row r="10319" spans="1:8" x14ac:dyDescent="0.2">
      <c r="A10319" t="s">
        <v>7</v>
      </c>
      <c r="B10319" t="s">
        <v>30</v>
      </c>
      <c r="C10319" t="str">
        <f t="shared" si="32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23"/>
        <v>-6</v>
      </c>
    </row>
    <row r="10320" spans="1:8" x14ac:dyDescent="0.2">
      <c r="A10320" t="s">
        <v>7</v>
      </c>
      <c r="B10320" t="s">
        <v>30</v>
      </c>
      <c r="C10320" t="str">
        <f t="shared" si="32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23"/>
        <v>-6</v>
      </c>
    </row>
    <row r="10321" spans="1:8" x14ac:dyDescent="0.2">
      <c r="A10321" t="s">
        <v>18</v>
      </c>
      <c r="B10321" t="s">
        <v>30</v>
      </c>
      <c r="C10321" t="str">
        <f t="shared" si="32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23"/>
        <v>-6</v>
      </c>
    </row>
    <row r="10322" spans="1:8" x14ac:dyDescent="0.2">
      <c r="A10322" t="s">
        <v>19</v>
      </c>
      <c r="B10322" t="s">
        <v>30</v>
      </c>
      <c r="C10322" t="str">
        <f t="shared" si="32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23"/>
        <v>-6</v>
      </c>
    </row>
    <row r="10323" spans="1:8" x14ac:dyDescent="0.2">
      <c r="A10323" t="s">
        <v>7</v>
      </c>
      <c r="B10323" t="s">
        <v>30</v>
      </c>
      <c r="C10323" t="str">
        <f t="shared" si="32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23"/>
        <v>-6</v>
      </c>
    </row>
    <row r="10324" spans="1:8" x14ac:dyDescent="0.2">
      <c r="A10324" t="s">
        <v>7</v>
      </c>
      <c r="B10324" t="s">
        <v>30</v>
      </c>
      <c r="C10324" t="str">
        <f t="shared" si="32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23"/>
        <v>-6</v>
      </c>
    </row>
    <row r="10325" spans="1:8" x14ac:dyDescent="0.2">
      <c r="A10325" t="s">
        <v>7</v>
      </c>
      <c r="B10325" t="s">
        <v>30</v>
      </c>
      <c r="C10325" t="str">
        <f t="shared" si="32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23"/>
        <v>-8</v>
      </c>
    </row>
    <row r="10326" spans="1:8" x14ac:dyDescent="0.2">
      <c r="A10326" t="s">
        <v>18</v>
      </c>
      <c r="B10326" t="s">
        <v>30</v>
      </c>
      <c r="C10326" t="str">
        <f t="shared" si="32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23"/>
        <v>-6</v>
      </c>
    </row>
    <row r="10327" spans="1:8" x14ac:dyDescent="0.2">
      <c r="A10327" t="s">
        <v>18</v>
      </c>
      <c r="B10327" t="s">
        <v>30</v>
      </c>
      <c r="C10327" t="str">
        <f t="shared" si="32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23"/>
        <v>-6</v>
      </c>
    </row>
    <row r="10328" spans="1:8" x14ac:dyDescent="0.2">
      <c r="A10328" t="s">
        <v>18</v>
      </c>
      <c r="B10328" t="s">
        <v>30</v>
      </c>
      <c r="C10328" t="str">
        <f t="shared" si="32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23"/>
        <v>-6</v>
      </c>
    </row>
    <row r="10329" spans="1:8" x14ac:dyDescent="0.2">
      <c r="A10329" t="s">
        <v>18</v>
      </c>
      <c r="B10329" t="s">
        <v>30</v>
      </c>
      <c r="C10329" t="str">
        <f t="shared" si="32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23"/>
        <v>-6</v>
      </c>
    </row>
    <row r="10330" spans="1:8" x14ac:dyDescent="0.2">
      <c r="A10330" t="s">
        <v>7</v>
      </c>
      <c r="B10330" t="s">
        <v>30</v>
      </c>
      <c r="C10330" t="str">
        <f t="shared" si="32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23"/>
        <v>-6</v>
      </c>
    </row>
    <row r="10331" spans="1:8" x14ac:dyDescent="0.2">
      <c r="A10331" t="s">
        <v>7</v>
      </c>
      <c r="B10331" t="s">
        <v>30</v>
      </c>
      <c r="C10331" t="str">
        <f t="shared" si="32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23"/>
        <v>-6</v>
      </c>
    </row>
    <row r="10332" spans="1:8" x14ac:dyDescent="0.2">
      <c r="A10332" t="s">
        <v>7</v>
      </c>
      <c r="B10332" t="s">
        <v>30</v>
      </c>
      <c r="C10332" t="str">
        <f t="shared" si="32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23"/>
        <v>-6</v>
      </c>
    </row>
    <row r="10333" spans="1:8" x14ac:dyDescent="0.2">
      <c r="A10333" t="s">
        <v>7</v>
      </c>
      <c r="B10333" t="s">
        <v>30</v>
      </c>
      <c r="C10333" t="str">
        <f t="shared" si="32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23"/>
        <v>-6</v>
      </c>
    </row>
    <row r="10334" spans="1:8" x14ac:dyDescent="0.2">
      <c r="A10334" t="s">
        <v>18</v>
      </c>
      <c r="B10334" t="s">
        <v>30</v>
      </c>
      <c r="C10334" t="str">
        <f t="shared" si="32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23"/>
        <v>-6</v>
      </c>
    </row>
    <row r="10335" spans="1:8" x14ac:dyDescent="0.2">
      <c r="A10335" t="s">
        <v>18</v>
      </c>
      <c r="B10335" t="s">
        <v>30</v>
      </c>
      <c r="C10335" t="str">
        <f t="shared" si="32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23"/>
        <v>-8</v>
      </c>
    </row>
    <row r="10336" spans="1:8" x14ac:dyDescent="0.2">
      <c r="A10336" t="s">
        <v>18</v>
      </c>
      <c r="B10336" t="s">
        <v>30</v>
      </c>
      <c r="C10336" t="str">
        <f t="shared" si="32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23"/>
        <v>-6</v>
      </c>
    </row>
    <row r="10337" spans="1:8" x14ac:dyDescent="0.2">
      <c r="A10337" t="s">
        <v>18</v>
      </c>
      <c r="B10337" t="s">
        <v>30</v>
      </c>
      <c r="C10337" t="str">
        <f t="shared" si="32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23"/>
        <v>-6</v>
      </c>
    </row>
    <row r="10338" spans="1:8" x14ac:dyDescent="0.2">
      <c r="A10338" t="s">
        <v>7</v>
      </c>
      <c r="B10338" t="s">
        <v>30</v>
      </c>
      <c r="C10338" t="str">
        <f t="shared" si="32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23"/>
        <v>-6</v>
      </c>
    </row>
    <row r="10339" spans="1:8" x14ac:dyDescent="0.2">
      <c r="A10339" t="s">
        <v>7</v>
      </c>
      <c r="B10339" t="s">
        <v>30</v>
      </c>
      <c r="C10339" t="str">
        <f t="shared" si="32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23"/>
        <v>-6</v>
      </c>
    </row>
    <row r="10340" spans="1:8" x14ac:dyDescent="0.2">
      <c r="A10340" t="s">
        <v>7</v>
      </c>
      <c r="B10340" t="s">
        <v>30</v>
      </c>
      <c r="C10340" t="str">
        <f t="shared" si="32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23"/>
        <v>-6</v>
      </c>
    </row>
    <row r="10341" spans="1:8" x14ac:dyDescent="0.2">
      <c r="A10341" t="s">
        <v>19</v>
      </c>
      <c r="B10341" t="s">
        <v>30</v>
      </c>
      <c r="C10341" t="str">
        <f t="shared" si="32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23"/>
        <v>-6</v>
      </c>
    </row>
    <row r="10342" spans="1:8" x14ac:dyDescent="0.2">
      <c r="A10342" t="s">
        <v>7</v>
      </c>
      <c r="B10342" t="s">
        <v>30</v>
      </c>
      <c r="C10342" t="str">
        <f t="shared" si="32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23"/>
        <v>-6</v>
      </c>
    </row>
    <row r="10343" spans="1:8" x14ac:dyDescent="0.2">
      <c r="A10343" t="s">
        <v>18</v>
      </c>
      <c r="B10343" t="s">
        <v>30</v>
      </c>
      <c r="C10343" t="str">
        <f t="shared" si="32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23"/>
        <v>-6</v>
      </c>
    </row>
    <row r="10344" spans="1:8" x14ac:dyDescent="0.2">
      <c r="A10344" t="s">
        <v>7</v>
      </c>
      <c r="B10344" t="s">
        <v>30</v>
      </c>
      <c r="C10344" t="str">
        <f t="shared" si="32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23"/>
        <v>-6</v>
      </c>
    </row>
    <row r="10345" spans="1:8" x14ac:dyDescent="0.2">
      <c r="A10345" t="s">
        <v>18</v>
      </c>
      <c r="B10345" t="s">
        <v>30</v>
      </c>
      <c r="C10345" t="str">
        <f t="shared" si="324"/>
        <v>Cumple</v>
      </c>
      <c r="D10345">
        <v>2672</v>
      </c>
      <c r="E10345" t="s">
        <v>8</v>
      </c>
      <c r="F10345" s="9">
        <v>6</v>
      </c>
      <c r="G10345">
        <v>6</v>
      </c>
      <c r="H10345">
        <f t="shared" si="323"/>
        <v>0</v>
      </c>
    </row>
    <row r="10346" spans="1:8" x14ac:dyDescent="0.2">
      <c r="A10346" t="s">
        <v>18</v>
      </c>
      <c r="B10346" t="s">
        <v>30</v>
      </c>
      <c r="C10346" t="str">
        <f t="shared" si="32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23"/>
        <v>-6</v>
      </c>
    </row>
    <row r="10347" spans="1:8" x14ac:dyDescent="0.2">
      <c r="A10347" t="s">
        <v>18</v>
      </c>
      <c r="B10347" t="s">
        <v>30</v>
      </c>
      <c r="C10347" t="str">
        <f t="shared" si="32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23"/>
        <v>-6</v>
      </c>
    </row>
    <row r="10348" spans="1:8" x14ac:dyDescent="0.2">
      <c r="A10348" t="s">
        <v>18</v>
      </c>
      <c r="B10348" t="s">
        <v>30</v>
      </c>
      <c r="C10348" t="str">
        <f t="shared" si="32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23"/>
        <v>-6</v>
      </c>
    </row>
    <row r="10349" spans="1:8" x14ac:dyDescent="0.2">
      <c r="A10349" t="s">
        <v>18</v>
      </c>
      <c r="B10349" t="s">
        <v>30</v>
      </c>
      <c r="C10349" t="str">
        <f t="shared" si="32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23"/>
        <v>-6</v>
      </c>
    </row>
    <row r="10350" spans="1:8" x14ac:dyDescent="0.2">
      <c r="A10350" t="s">
        <v>18</v>
      </c>
      <c r="B10350" t="s">
        <v>30</v>
      </c>
      <c r="C10350" t="str">
        <f t="shared" si="32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23"/>
        <v>-6</v>
      </c>
    </row>
    <row r="10351" spans="1:8" x14ac:dyDescent="0.2">
      <c r="A10351" t="s">
        <v>18</v>
      </c>
      <c r="B10351" t="s">
        <v>30</v>
      </c>
      <c r="C10351" t="str">
        <f t="shared" si="32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23"/>
        <v>-6</v>
      </c>
    </row>
    <row r="10352" spans="1:8" x14ac:dyDescent="0.2">
      <c r="A10352" t="s">
        <v>19</v>
      </c>
      <c r="B10352" t="s">
        <v>30</v>
      </c>
      <c r="C10352" t="str">
        <f t="shared" si="32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23"/>
        <v>-6</v>
      </c>
    </row>
    <row r="10353" spans="1:8" x14ac:dyDescent="0.2">
      <c r="A10353" t="s">
        <v>18</v>
      </c>
      <c r="B10353" t="s">
        <v>30</v>
      </c>
      <c r="C10353" t="str">
        <f t="shared" si="32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23"/>
        <v>-6</v>
      </c>
    </row>
    <row r="10354" spans="1:8" x14ac:dyDescent="0.2">
      <c r="A10354" t="s">
        <v>19</v>
      </c>
      <c r="B10354" t="s">
        <v>30</v>
      </c>
      <c r="C10354" t="str">
        <f t="shared" si="32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23"/>
        <v>-6</v>
      </c>
    </row>
    <row r="10355" spans="1:8" x14ac:dyDescent="0.2">
      <c r="A10355" t="s">
        <v>18</v>
      </c>
      <c r="B10355" t="s">
        <v>30</v>
      </c>
      <c r="C10355" t="str">
        <f t="shared" si="32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23"/>
        <v>-6</v>
      </c>
    </row>
    <row r="10356" spans="1:8" x14ac:dyDescent="0.2">
      <c r="A10356" t="s">
        <v>18</v>
      </c>
      <c r="B10356" t="s">
        <v>30</v>
      </c>
      <c r="C10356" t="str">
        <f t="shared" si="32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23"/>
        <v>-6</v>
      </c>
    </row>
    <row r="10357" spans="1:8" x14ac:dyDescent="0.2">
      <c r="A10357" t="s">
        <v>18</v>
      </c>
      <c r="B10357" t="s">
        <v>30</v>
      </c>
      <c r="C10357" t="str">
        <f t="shared" si="32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23"/>
        <v>-6</v>
      </c>
    </row>
    <row r="10358" spans="1:8" x14ac:dyDescent="0.2">
      <c r="A10358" t="s">
        <v>7</v>
      </c>
      <c r="B10358" t="s">
        <v>30</v>
      </c>
      <c r="C10358" t="str">
        <f t="shared" si="32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23"/>
        <v>-6</v>
      </c>
    </row>
    <row r="10359" spans="1:8" x14ac:dyDescent="0.2">
      <c r="A10359" t="s">
        <v>7</v>
      </c>
      <c r="B10359" t="s">
        <v>30</v>
      </c>
      <c r="C10359" t="str">
        <f t="shared" si="32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23"/>
        <v>-6</v>
      </c>
    </row>
    <row r="10360" spans="1:8" x14ac:dyDescent="0.2">
      <c r="A10360" t="s">
        <v>18</v>
      </c>
      <c r="B10360" t="s">
        <v>30</v>
      </c>
      <c r="C10360" t="str">
        <f t="shared" si="32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23"/>
        <v>-6</v>
      </c>
    </row>
    <row r="10361" spans="1:8" x14ac:dyDescent="0.2">
      <c r="A10361" t="s">
        <v>7</v>
      </c>
      <c r="B10361" t="s">
        <v>30</v>
      </c>
      <c r="C10361" t="str">
        <f t="shared" si="32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23"/>
        <v>-6</v>
      </c>
    </row>
    <row r="10362" spans="1:8" x14ac:dyDescent="0.2">
      <c r="A10362" t="s">
        <v>7</v>
      </c>
      <c r="B10362" t="s">
        <v>30</v>
      </c>
      <c r="C10362" t="str">
        <f t="shared" si="32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23"/>
        <v>-6</v>
      </c>
    </row>
    <row r="10363" spans="1:8" x14ac:dyDescent="0.2">
      <c r="A10363" t="s">
        <v>18</v>
      </c>
      <c r="B10363" t="s">
        <v>30</v>
      </c>
      <c r="C10363" t="str">
        <f t="shared" si="32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23"/>
        <v>-6</v>
      </c>
    </row>
    <row r="10364" spans="1:8" x14ac:dyDescent="0.2">
      <c r="A10364" t="s">
        <v>18</v>
      </c>
      <c r="B10364" t="s">
        <v>30</v>
      </c>
      <c r="C10364" t="str">
        <f t="shared" si="32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23"/>
        <v>-6</v>
      </c>
    </row>
    <row r="10365" spans="1:8" x14ac:dyDescent="0.2">
      <c r="A10365" t="s">
        <v>18</v>
      </c>
      <c r="B10365" t="s">
        <v>30</v>
      </c>
      <c r="C10365" t="str">
        <f t="shared" si="32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23"/>
        <v>-6</v>
      </c>
    </row>
    <row r="10366" spans="1:8" x14ac:dyDescent="0.2">
      <c r="A10366" t="s">
        <v>18</v>
      </c>
      <c r="B10366" t="s">
        <v>30</v>
      </c>
      <c r="C10366" t="str">
        <f t="shared" si="32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23"/>
        <v>-6</v>
      </c>
    </row>
    <row r="10367" spans="1:8" x14ac:dyDescent="0.2">
      <c r="A10367" t="s">
        <v>7</v>
      </c>
      <c r="B10367" t="s">
        <v>30</v>
      </c>
      <c r="C10367" t="str">
        <f t="shared" si="32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23"/>
        <v>-6</v>
      </c>
    </row>
    <row r="10368" spans="1:8" x14ac:dyDescent="0.2">
      <c r="A10368" t="s">
        <v>18</v>
      </c>
      <c r="B10368" t="s">
        <v>30</v>
      </c>
      <c r="C10368" t="str">
        <f t="shared" si="32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23"/>
        <v>-6</v>
      </c>
    </row>
    <row r="10369" spans="1:8" x14ac:dyDescent="0.2">
      <c r="A10369" t="s">
        <v>7</v>
      </c>
      <c r="B10369" t="s">
        <v>30</v>
      </c>
      <c r="C10369" t="str">
        <f t="shared" si="32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23"/>
        <v>-6</v>
      </c>
    </row>
    <row r="10370" spans="1:8" x14ac:dyDescent="0.2">
      <c r="A10370" t="s">
        <v>7</v>
      </c>
      <c r="B10370" t="s">
        <v>30</v>
      </c>
      <c r="C10370" t="str">
        <f t="shared" si="32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23"/>
        <v>-6</v>
      </c>
    </row>
    <row r="10371" spans="1:8" x14ac:dyDescent="0.2">
      <c r="A10371" t="s">
        <v>7</v>
      </c>
      <c r="B10371" t="s">
        <v>30</v>
      </c>
      <c r="C10371" t="str">
        <f t="shared" si="32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ref="H10371:H10434" si="325">F10371-G10371</f>
        <v>-6</v>
      </c>
    </row>
    <row r="10372" spans="1:8" x14ac:dyDescent="0.2">
      <c r="A10372" t="s">
        <v>7</v>
      </c>
      <c r="B10372" t="s">
        <v>30</v>
      </c>
      <c r="C10372" t="str">
        <f t="shared" si="32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25"/>
        <v>-6</v>
      </c>
    </row>
    <row r="10373" spans="1:8" x14ac:dyDescent="0.2">
      <c r="A10373" t="s">
        <v>18</v>
      </c>
      <c r="B10373" t="s">
        <v>30</v>
      </c>
      <c r="C10373" t="str">
        <f t="shared" ref="C10373:C10436" si="326">IF(H10373&gt;=0,"Cumple","No cumple")</f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25"/>
        <v>-6</v>
      </c>
    </row>
    <row r="10374" spans="1:8" x14ac:dyDescent="0.2">
      <c r="A10374" t="s">
        <v>7</v>
      </c>
      <c r="B10374" t="s">
        <v>30</v>
      </c>
      <c r="C10374" t="str">
        <f t="shared" si="326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25"/>
        <v>-6</v>
      </c>
    </row>
    <row r="10375" spans="1:8" x14ac:dyDescent="0.2">
      <c r="A10375" t="s">
        <v>18</v>
      </c>
      <c r="B10375" t="s">
        <v>30</v>
      </c>
      <c r="C10375" t="str">
        <f t="shared" si="326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25"/>
        <v>-6</v>
      </c>
    </row>
    <row r="10376" spans="1:8" x14ac:dyDescent="0.2">
      <c r="A10376" t="s">
        <v>18</v>
      </c>
      <c r="B10376" t="s">
        <v>30</v>
      </c>
      <c r="C10376" t="str">
        <f t="shared" si="326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25"/>
        <v>-6</v>
      </c>
    </row>
    <row r="10377" spans="1:8" x14ac:dyDescent="0.2">
      <c r="A10377" t="s">
        <v>19</v>
      </c>
      <c r="B10377" t="s">
        <v>30</v>
      </c>
      <c r="C10377" t="str">
        <f t="shared" si="326"/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si="325"/>
        <v>-6</v>
      </c>
    </row>
    <row r="10378" spans="1:8" x14ac:dyDescent="0.2">
      <c r="A10378" t="s">
        <v>18</v>
      </c>
      <c r="B10378" t="s">
        <v>30</v>
      </c>
      <c r="C10378" t="str">
        <f t="shared" si="32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25"/>
        <v>-6</v>
      </c>
    </row>
    <row r="10379" spans="1:8" x14ac:dyDescent="0.2">
      <c r="A10379" t="s">
        <v>18</v>
      </c>
      <c r="B10379" t="s">
        <v>30</v>
      </c>
      <c r="C10379" t="str">
        <f t="shared" si="32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25"/>
        <v>-6</v>
      </c>
    </row>
    <row r="10380" spans="1:8" x14ac:dyDescent="0.2">
      <c r="A10380" t="s">
        <v>7</v>
      </c>
      <c r="B10380" t="s">
        <v>30</v>
      </c>
      <c r="C10380" t="str">
        <f t="shared" si="32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25"/>
        <v>-6</v>
      </c>
    </row>
    <row r="10381" spans="1:8" x14ac:dyDescent="0.2">
      <c r="A10381" t="s">
        <v>18</v>
      </c>
      <c r="B10381" t="s">
        <v>30</v>
      </c>
      <c r="C10381" t="str">
        <f t="shared" si="32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25"/>
        <v>-6</v>
      </c>
    </row>
    <row r="10382" spans="1:8" x14ac:dyDescent="0.2">
      <c r="A10382" t="s">
        <v>19</v>
      </c>
      <c r="B10382" t="s">
        <v>30</v>
      </c>
      <c r="C10382" t="str">
        <f t="shared" si="32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25"/>
        <v>-6</v>
      </c>
    </row>
    <row r="10383" spans="1:8" x14ac:dyDescent="0.2">
      <c r="A10383" t="s">
        <v>7</v>
      </c>
      <c r="B10383" t="s">
        <v>30</v>
      </c>
      <c r="C10383" t="str">
        <f t="shared" si="32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25"/>
        <v>-6</v>
      </c>
    </row>
    <row r="10384" spans="1:8" x14ac:dyDescent="0.2">
      <c r="A10384" t="s">
        <v>18</v>
      </c>
      <c r="B10384" t="s">
        <v>30</v>
      </c>
      <c r="C10384" t="str">
        <f t="shared" si="32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25"/>
        <v>-6</v>
      </c>
    </row>
    <row r="10385" spans="1:8" x14ac:dyDescent="0.2">
      <c r="A10385" t="s">
        <v>7</v>
      </c>
      <c r="B10385" t="s">
        <v>30</v>
      </c>
      <c r="C10385" t="str">
        <f t="shared" si="32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25"/>
        <v>-6</v>
      </c>
    </row>
    <row r="10386" spans="1:8" x14ac:dyDescent="0.2">
      <c r="A10386" t="s">
        <v>18</v>
      </c>
      <c r="B10386" t="s">
        <v>30</v>
      </c>
      <c r="C10386" t="str">
        <f t="shared" si="32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25"/>
        <v>-6</v>
      </c>
    </row>
    <row r="10387" spans="1:8" x14ac:dyDescent="0.2">
      <c r="A10387" t="s">
        <v>7</v>
      </c>
      <c r="B10387" t="s">
        <v>30</v>
      </c>
      <c r="C10387" t="str">
        <f t="shared" si="32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25"/>
        <v>-6</v>
      </c>
    </row>
    <row r="10388" spans="1:8" x14ac:dyDescent="0.2">
      <c r="A10388" t="s">
        <v>18</v>
      </c>
      <c r="B10388" t="s">
        <v>30</v>
      </c>
      <c r="C10388" t="str">
        <f t="shared" si="32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25"/>
        <v>-6</v>
      </c>
    </row>
    <row r="10389" spans="1:8" x14ac:dyDescent="0.2">
      <c r="A10389" t="s">
        <v>18</v>
      </c>
      <c r="B10389" t="s">
        <v>30</v>
      </c>
      <c r="C10389" t="str">
        <f t="shared" si="32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25"/>
        <v>-6</v>
      </c>
    </row>
    <row r="10390" spans="1:8" x14ac:dyDescent="0.2">
      <c r="A10390" t="s">
        <v>18</v>
      </c>
      <c r="B10390" t="s">
        <v>30</v>
      </c>
      <c r="C10390" t="str">
        <f t="shared" si="32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25"/>
        <v>-6</v>
      </c>
    </row>
    <row r="10391" spans="1:8" x14ac:dyDescent="0.2">
      <c r="A10391" t="s">
        <v>7</v>
      </c>
      <c r="B10391" t="s">
        <v>30</v>
      </c>
      <c r="C10391" t="str">
        <f t="shared" si="32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25"/>
        <v>-6</v>
      </c>
    </row>
    <row r="10392" spans="1:8" x14ac:dyDescent="0.2">
      <c r="A10392" t="s">
        <v>7</v>
      </c>
      <c r="B10392" t="s">
        <v>30</v>
      </c>
      <c r="C10392" t="str">
        <f t="shared" si="32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25"/>
        <v>-6</v>
      </c>
    </row>
    <row r="10393" spans="1:8" x14ac:dyDescent="0.2">
      <c r="A10393" t="s">
        <v>18</v>
      </c>
      <c r="B10393" t="s">
        <v>30</v>
      </c>
      <c r="C10393" t="str">
        <f t="shared" si="32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25"/>
        <v>-6</v>
      </c>
    </row>
    <row r="10394" spans="1:8" x14ac:dyDescent="0.2">
      <c r="A10394" t="s">
        <v>7</v>
      </c>
      <c r="B10394" t="s">
        <v>30</v>
      </c>
      <c r="C10394" t="str">
        <f t="shared" si="32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25"/>
        <v>-6</v>
      </c>
    </row>
    <row r="10395" spans="1:8" x14ac:dyDescent="0.2">
      <c r="A10395" t="s">
        <v>18</v>
      </c>
      <c r="B10395" t="s">
        <v>30</v>
      </c>
      <c r="C10395" t="str">
        <f t="shared" si="32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25"/>
        <v>-6</v>
      </c>
    </row>
    <row r="10396" spans="1:8" x14ac:dyDescent="0.2">
      <c r="A10396" t="s">
        <v>7</v>
      </c>
      <c r="B10396" t="s">
        <v>30</v>
      </c>
      <c r="C10396" t="str">
        <f t="shared" si="32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25"/>
        <v>-6</v>
      </c>
    </row>
    <row r="10397" spans="1:8" x14ac:dyDescent="0.2">
      <c r="A10397" t="s">
        <v>18</v>
      </c>
      <c r="B10397" t="s">
        <v>30</v>
      </c>
      <c r="C10397" t="str">
        <f t="shared" si="32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25"/>
        <v>-6</v>
      </c>
    </row>
    <row r="10398" spans="1:8" x14ac:dyDescent="0.2">
      <c r="A10398" t="s">
        <v>18</v>
      </c>
      <c r="B10398" t="s">
        <v>30</v>
      </c>
      <c r="C10398" t="str">
        <f t="shared" si="32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25"/>
        <v>-6</v>
      </c>
    </row>
    <row r="10399" spans="1:8" x14ac:dyDescent="0.2">
      <c r="A10399" t="s">
        <v>18</v>
      </c>
      <c r="B10399" t="s">
        <v>30</v>
      </c>
      <c r="C10399" t="str">
        <f t="shared" si="32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25"/>
        <v>-6</v>
      </c>
    </row>
    <row r="10400" spans="1:8" x14ac:dyDescent="0.2">
      <c r="A10400" t="s">
        <v>7</v>
      </c>
      <c r="B10400" t="s">
        <v>30</v>
      </c>
      <c r="C10400" t="str">
        <f t="shared" si="32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25"/>
        <v>-6</v>
      </c>
    </row>
    <row r="10401" spans="1:8" x14ac:dyDescent="0.2">
      <c r="A10401" t="s">
        <v>18</v>
      </c>
      <c r="B10401" t="s">
        <v>30</v>
      </c>
      <c r="C10401" t="str">
        <f t="shared" si="32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25"/>
        <v>-6</v>
      </c>
    </row>
    <row r="10402" spans="1:8" x14ac:dyDescent="0.2">
      <c r="A10402" t="s">
        <v>18</v>
      </c>
      <c r="B10402" t="s">
        <v>30</v>
      </c>
      <c r="C10402" t="str">
        <f t="shared" si="32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25"/>
        <v>0</v>
      </c>
    </row>
    <row r="10403" spans="1:8" x14ac:dyDescent="0.2">
      <c r="A10403" t="s">
        <v>18</v>
      </c>
      <c r="B10403" t="s">
        <v>30</v>
      </c>
      <c r="C10403" t="str">
        <f t="shared" si="32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25"/>
        <v>-6</v>
      </c>
    </row>
    <row r="10404" spans="1:8" x14ac:dyDescent="0.2">
      <c r="A10404" t="s">
        <v>7</v>
      </c>
      <c r="B10404" t="s">
        <v>30</v>
      </c>
      <c r="C10404" t="str">
        <f t="shared" si="32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25"/>
        <v>-6</v>
      </c>
    </row>
    <row r="10405" spans="1:8" x14ac:dyDescent="0.2">
      <c r="A10405" t="s">
        <v>18</v>
      </c>
      <c r="B10405" t="s">
        <v>30</v>
      </c>
      <c r="C10405" t="str">
        <f t="shared" si="32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25"/>
        <v>-6</v>
      </c>
    </row>
    <row r="10406" spans="1:8" x14ac:dyDescent="0.2">
      <c r="A10406" t="s">
        <v>18</v>
      </c>
      <c r="B10406" t="s">
        <v>30</v>
      </c>
      <c r="C10406" t="str">
        <f t="shared" si="32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25"/>
        <v>-6</v>
      </c>
    </row>
    <row r="10407" spans="1:8" x14ac:dyDescent="0.2">
      <c r="A10407" t="s">
        <v>7</v>
      </c>
      <c r="B10407" t="s">
        <v>30</v>
      </c>
      <c r="C10407" t="str">
        <f t="shared" si="32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25"/>
        <v>-6</v>
      </c>
    </row>
    <row r="10408" spans="1:8" x14ac:dyDescent="0.2">
      <c r="A10408" t="s">
        <v>18</v>
      </c>
      <c r="B10408" t="s">
        <v>30</v>
      </c>
      <c r="C10408" t="str">
        <f t="shared" si="32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25"/>
        <v>-6</v>
      </c>
    </row>
    <row r="10409" spans="1:8" x14ac:dyDescent="0.2">
      <c r="A10409" t="s">
        <v>7</v>
      </c>
      <c r="B10409" t="s">
        <v>30</v>
      </c>
      <c r="C10409" t="str">
        <f t="shared" si="32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25"/>
        <v>-6</v>
      </c>
    </row>
    <row r="10410" spans="1:8" x14ac:dyDescent="0.2">
      <c r="A10410" t="s">
        <v>18</v>
      </c>
      <c r="B10410" t="s">
        <v>30</v>
      </c>
      <c r="C10410" t="str">
        <f t="shared" si="32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25"/>
        <v>-6</v>
      </c>
    </row>
    <row r="10411" spans="1:8" x14ac:dyDescent="0.2">
      <c r="A10411" t="s">
        <v>18</v>
      </c>
      <c r="B10411" t="s">
        <v>30</v>
      </c>
      <c r="C10411" t="str">
        <f t="shared" si="32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25"/>
        <v>-6</v>
      </c>
    </row>
    <row r="10412" spans="1:8" x14ac:dyDescent="0.2">
      <c r="A10412" t="s">
        <v>7</v>
      </c>
      <c r="B10412" t="s">
        <v>30</v>
      </c>
      <c r="C10412" t="str">
        <f t="shared" si="32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25"/>
        <v>-6</v>
      </c>
    </row>
    <row r="10413" spans="1:8" x14ac:dyDescent="0.2">
      <c r="A10413" t="s">
        <v>18</v>
      </c>
      <c r="B10413" t="s">
        <v>30</v>
      </c>
      <c r="C10413" t="str">
        <f t="shared" si="32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25"/>
        <v>-6</v>
      </c>
    </row>
    <row r="10414" spans="1:8" x14ac:dyDescent="0.2">
      <c r="A10414" t="s">
        <v>18</v>
      </c>
      <c r="B10414" t="s">
        <v>30</v>
      </c>
      <c r="C10414" t="str">
        <f t="shared" si="32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25"/>
        <v>-6</v>
      </c>
    </row>
    <row r="10415" spans="1:8" x14ac:dyDescent="0.2">
      <c r="A10415" t="s">
        <v>7</v>
      </c>
      <c r="B10415" t="s">
        <v>30</v>
      </c>
      <c r="C10415" t="str">
        <f t="shared" si="326"/>
        <v>Cumple</v>
      </c>
      <c r="D10415">
        <v>9476</v>
      </c>
      <c r="E10415" t="s">
        <v>11</v>
      </c>
      <c r="F10415">
        <v>58</v>
      </c>
      <c r="G10415">
        <v>20</v>
      </c>
      <c r="H10415">
        <f t="shared" si="325"/>
        <v>38</v>
      </c>
    </row>
    <row r="10416" spans="1:8" x14ac:dyDescent="0.2">
      <c r="A10416" t="s">
        <v>7</v>
      </c>
      <c r="B10416" t="s">
        <v>30</v>
      </c>
      <c r="C10416" t="str">
        <f t="shared" si="32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si="325"/>
        <v>30</v>
      </c>
    </row>
    <row r="10417" spans="1:8" x14ac:dyDescent="0.2">
      <c r="A10417" t="s">
        <v>7</v>
      </c>
      <c r="B10417" t="s">
        <v>30</v>
      </c>
      <c r="C10417" t="str">
        <f t="shared" si="32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25"/>
        <v>32</v>
      </c>
    </row>
    <row r="10418" spans="1:8" x14ac:dyDescent="0.2">
      <c r="A10418" t="s">
        <v>7</v>
      </c>
      <c r="B10418" t="s">
        <v>30</v>
      </c>
      <c r="C10418" t="str">
        <f t="shared" si="32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25"/>
        <v>26</v>
      </c>
    </row>
    <row r="10419" spans="1:8" x14ac:dyDescent="0.2">
      <c r="A10419" t="s">
        <v>7</v>
      </c>
      <c r="B10419" t="s">
        <v>30</v>
      </c>
      <c r="C10419" t="str">
        <f t="shared" si="32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25"/>
        <v>21</v>
      </c>
    </row>
    <row r="10420" spans="1:8" x14ac:dyDescent="0.2">
      <c r="A10420" t="s">
        <v>7</v>
      </c>
      <c r="B10420" t="s">
        <v>30</v>
      </c>
      <c r="C10420" t="str">
        <f t="shared" si="32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25"/>
        <v>21</v>
      </c>
    </row>
    <row r="10421" spans="1:8" x14ac:dyDescent="0.2">
      <c r="A10421" t="s">
        <v>7</v>
      </c>
      <c r="B10421" t="s">
        <v>30</v>
      </c>
      <c r="C10421" t="str">
        <f t="shared" si="32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25"/>
        <v>21</v>
      </c>
    </row>
    <row r="10422" spans="1:8" x14ac:dyDescent="0.2">
      <c r="A10422" t="s">
        <v>7</v>
      </c>
      <c r="B10422" t="s">
        <v>30</v>
      </c>
      <c r="C10422" t="str">
        <f t="shared" si="32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25"/>
        <v>20</v>
      </c>
    </row>
    <row r="10423" spans="1:8" x14ac:dyDescent="0.2">
      <c r="A10423" t="s">
        <v>7</v>
      </c>
      <c r="B10423" t="s">
        <v>30</v>
      </c>
      <c r="C10423" t="str">
        <f t="shared" si="32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25"/>
        <v>19</v>
      </c>
    </row>
    <row r="10424" spans="1:8" x14ac:dyDescent="0.2">
      <c r="A10424" t="s">
        <v>7</v>
      </c>
      <c r="B10424" t="s">
        <v>30</v>
      </c>
      <c r="C10424" t="str">
        <f t="shared" si="32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25"/>
        <v>24</v>
      </c>
    </row>
    <row r="10425" spans="1:8" x14ac:dyDescent="0.2">
      <c r="A10425" t="s">
        <v>7</v>
      </c>
      <c r="B10425" t="s">
        <v>30</v>
      </c>
      <c r="C10425" t="str">
        <f t="shared" si="32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25"/>
        <v>18</v>
      </c>
    </row>
    <row r="10426" spans="1:8" x14ac:dyDescent="0.2">
      <c r="A10426" t="s">
        <v>7</v>
      </c>
      <c r="B10426" t="s">
        <v>30</v>
      </c>
      <c r="C10426" t="str">
        <f t="shared" si="32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25"/>
        <v>18</v>
      </c>
    </row>
    <row r="10427" spans="1:8" x14ac:dyDescent="0.2">
      <c r="A10427" t="s">
        <v>7</v>
      </c>
      <c r="B10427" t="s">
        <v>30</v>
      </c>
      <c r="C10427" t="str">
        <f t="shared" si="32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25"/>
        <v>23</v>
      </c>
    </row>
    <row r="10428" spans="1:8" x14ac:dyDescent="0.2">
      <c r="A10428" t="s">
        <v>7</v>
      </c>
      <c r="B10428" t="s">
        <v>30</v>
      </c>
      <c r="C10428" t="str">
        <f t="shared" si="32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25"/>
        <v>18</v>
      </c>
    </row>
    <row r="10429" spans="1:8" x14ac:dyDescent="0.2">
      <c r="A10429" t="s">
        <v>7</v>
      </c>
      <c r="B10429" t="s">
        <v>30</v>
      </c>
      <c r="C10429" t="str">
        <f t="shared" si="32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25"/>
        <v>16</v>
      </c>
    </row>
    <row r="10430" spans="1:8" x14ac:dyDescent="0.2">
      <c r="A10430" t="s">
        <v>7</v>
      </c>
      <c r="B10430" t="s">
        <v>30</v>
      </c>
      <c r="C10430" t="str">
        <f t="shared" si="32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25"/>
        <v>16</v>
      </c>
    </row>
    <row r="10431" spans="1:8" x14ac:dyDescent="0.2">
      <c r="A10431" t="s">
        <v>7</v>
      </c>
      <c r="B10431" t="s">
        <v>30</v>
      </c>
      <c r="C10431" t="str">
        <f t="shared" si="32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25"/>
        <v>16</v>
      </c>
    </row>
    <row r="10432" spans="1:8" x14ac:dyDescent="0.2">
      <c r="A10432" t="s">
        <v>7</v>
      </c>
      <c r="B10432" t="s">
        <v>30</v>
      </c>
      <c r="C10432" t="str">
        <f t="shared" si="32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25"/>
        <v>16</v>
      </c>
    </row>
    <row r="10433" spans="1:8" x14ac:dyDescent="0.2">
      <c r="A10433" t="s">
        <v>7</v>
      </c>
      <c r="B10433" t="s">
        <v>30</v>
      </c>
      <c r="C10433" t="str">
        <f t="shared" si="32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25"/>
        <v>16</v>
      </c>
    </row>
    <row r="10434" spans="1:8" x14ac:dyDescent="0.2">
      <c r="A10434" t="s">
        <v>7</v>
      </c>
      <c r="B10434" t="s">
        <v>30</v>
      </c>
      <c r="C10434" t="str">
        <f t="shared" si="32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25"/>
        <v>15</v>
      </c>
    </row>
    <row r="10435" spans="1:8" x14ac:dyDescent="0.2">
      <c r="A10435" t="s">
        <v>7</v>
      </c>
      <c r="B10435" t="s">
        <v>30</v>
      </c>
      <c r="C10435" t="str">
        <f t="shared" si="32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ref="H10435:H10498" si="327">F10435-G10435</f>
        <v>15</v>
      </c>
    </row>
    <row r="10436" spans="1:8" x14ac:dyDescent="0.2">
      <c r="A10436" t="s">
        <v>7</v>
      </c>
      <c r="B10436" t="s">
        <v>30</v>
      </c>
      <c r="C10436" t="str">
        <f t="shared" si="32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27"/>
        <v>15</v>
      </c>
    </row>
    <row r="10437" spans="1:8" x14ac:dyDescent="0.2">
      <c r="A10437" t="s">
        <v>7</v>
      </c>
      <c r="B10437" t="s">
        <v>30</v>
      </c>
      <c r="C10437" t="str">
        <f t="shared" ref="C10437:C10500" si="328">IF(H10437&gt;=0,"Cumple","No cumple")</f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27"/>
        <v>20</v>
      </c>
    </row>
    <row r="10438" spans="1:8" x14ac:dyDescent="0.2">
      <c r="A10438" t="s">
        <v>7</v>
      </c>
      <c r="B10438" t="s">
        <v>30</v>
      </c>
      <c r="C10438" t="str">
        <f t="shared" si="328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27"/>
        <v>20</v>
      </c>
    </row>
    <row r="10439" spans="1:8" x14ac:dyDescent="0.2">
      <c r="A10439" t="s">
        <v>7</v>
      </c>
      <c r="B10439" t="s">
        <v>30</v>
      </c>
      <c r="C10439" t="str">
        <f t="shared" si="328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27"/>
        <v>14</v>
      </c>
    </row>
    <row r="10440" spans="1:8" x14ac:dyDescent="0.2">
      <c r="A10440" t="s">
        <v>7</v>
      </c>
      <c r="B10440" t="s">
        <v>30</v>
      </c>
      <c r="C10440" t="str">
        <f t="shared" si="328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27"/>
        <v>14</v>
      </c>
    </row>
    <row r="10441" spans="1:8" x14ac:dyDescent="0.2">
      <c r="A10441" t="s">
        <v>7</v>
      </c>
      <c r="B10441" t="s">
        <v>30</v>
      </c>
      <c r="C10441" t="str">
        <f t="shared" si="328"/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27"/>
        <v>14</v>
      </c>
    </row>
    <row r="10442" spans="1:8" x14ac:dyDescent="0.2">
      <c r="A10442" t="s">
        <v>7</v>
      </c>
      <c r="B10442" t="s">
        <v>30</v>
      </c>
      <c r="C10442" t="str">
        <f t="shared" si="328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27"/>
        <v>13</v>
      </c>
    </row>
    <row r="10443" spans="1:8" x14ac:dyDescent="0.2">
      <c r="A10443" t="s">
        <v>7</v>
      </c>
      <c r="B10443" t="s">
        <v>30</v>
      </c>
      <c r="C10443" t="str">
        <f t="shared" si="328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27"/>
        <v>13</v>
      </c>
    </row>
    <row r="10444" spans="1:8" x14ac:dyDescent="0.2">
      <c r="A10444" t="s">
        <v>7</v>
      </c>
      <c r="B10444" t="s">
        <v>30</v>
      </c>
      <c r="C10444" t="str">
        <f t="shared" si="328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27"/>
        <v>17</v>
      </c>
    </row>
    <row r="10445" spans="1:8" x14ac:dyDescent="0.2">
      <c r="A10445" t="s">
        <v>7</v>
      </c>
      <c r="B10445" t="s">
        <v>30</v>
      </c>
      <c r="C10445" t="str">
        <f t="shared" si="328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27"/>
        <v>12</v>
      </c>
    </row>
    <row r="10446" spans="1:8" x14ac:dyDescent="0.2">
      <c r="A10446" t="s">
        <v>7</v>
      </c>
      <c r="B10446" t="s">
        <v>30</v>
      </c>
      <c r="C10446" t="str">
        <f t="shared" si="328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27"/>
        <v>12</v>
      </c>
    </row>
    <row r="10447" spans="1:8" x14ac:dyDescent="0.2">
      <c r="A10447" t="s">
        <v>7</v>
      </c>
      <c r="B10447" t="s">
        <v>30</v>
      </c>
      <c r="C10447" t="str">
        <f t="shared" si="328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27"/>
        <v>17</v>
      </c>
    </row>
    <row r="10448" spans="1:8" x14ac:dyDescent="0.2">
      <c r="A10448" t="s">
        <v>7</v>
      </c>
      <c r="B10448" t="s">
        <v>30</v>
      </c>
      <c r="C10448" t="str">
        <f t="shared" si="328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27"/>
        <v>17</v>
      </c>
    </row>
    <row r="10449" spans="1:8" x14ac:dyDescent="0.2">
      <c r="A10449" t="s">
        <v>7</v>
      </c>
      <c r="B10449" t="s">
        <v>30</v>
      </c>
      <c r="C10449" t="str">
        <f t="shared" si="328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27"/>
        <v>11</v>
      </c>
    </row>
    <row r="10450" spans="1:8" x14ac:dyDescent="0.2">
      <c r="A10450" t="s">
        <v>7</v>
      </c>
      <c r="B10450" t="s">
        <v>30</v>
      </c>
      <c r="C10450" t="str">
        <f t="shared" si="328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27"/>
        <v>16</v>
      </c>
    </row>
    <row r="10451" spans="1:8" x14ac:dyDescent="0.2">
      <c r="A10451" t="s">
        <v>7</v>
      </c>
      <c r="B10451" t="s">
        <v>30</v>
      </c>
      <c r="C10451" t="str">
        <f t="shared" si="328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27"/>
        <v>11</v>
      </c>
    </row>
    <row r="10452" spans="1:8" x14ac:dyDescent="0.2">
      <c r="A10452" t="s">
        <v>7</v>
      </c>
      <c r="B10452" t="s">
        <v>30</v>
      </c>
      <c r="C10452" t="str">
        <f t="shared" si="328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27"/>
        <v>16</v>
      </c>
    </row>
    <row r="10453" spans="1:8" x14ac:dyDescent="0.2">
      <c r="A10453" t="s">
        <v>7</v>
      </c>
      <c r="B10453" t="s">
        <v>30</v>
      </c>
      <c r="C10453" t="str">
        <f t="shared" si="328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27"/>
        <v>16</v>
      </c>
    </row>
    <row r="10454" spans="1:8" x14ac:dyDescent="0.2">
      <c r="A10454" t="s">
        <v>7</v>
      </c>
      <c r="B10454" t="s">
        <v>30</v>
      </c>
      <c r="C10454" t="str">
        <f t="shared" si="328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27"/>
        <v>11</v>
      </c>
    </row>
    <row r="10455" spans="1:8" x14ac:dyDescent="0.2">
      <c r="A10455" t="s">
        <v>7</v>
      </c>
      <c r="B10455" t="s">
        <v>30</v>
      </c>
      <c r="C10455" t="str">
        <f t="shared" si="328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27"/>
        <v>11</v>
      </c>
    </row>
    <row r="10456" spans="1:8" x14ac:dyDescent="0.2">
      <c r="A10456" t="s">
        <v>7</v>
      </c>
      <c r="B10456" t="s">
        <v>30</v>
      </c>
      <c r="C10456" t="str">
        <f t="shared" si="328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27"/>
        <v>11</v>
      </c>
    </row>
    <row r="10457" spans="1:8" x14ac:dyDescent="0.2">
      <c r="A10457" t="s">
        <v>7</v>
      </c>
      <c r="B10457" t="s">
        <v>30</v>
      </c>
      <c r="C10457" t="str">
        <f t="shared" si="328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27"/>
        <v>11</v>
      </c>
    </row>
    <row r="10458" spans="1:8" x14ac:dyDescent="0.2">
      <c r="A10458" t="s">
        <v>7</v>
      </c>
      <c r="B10458" t="s">
        <v>30</v>
      </c>
      <c r="C10458" t="str">
        <f t="shared" si="328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27"/>
        <v>16</v>
      </c>
    </row>
    <row r="10459" spans="1:8" x14ac:dyDescent="0.2">
      <c r="A10459" t="s">
        <v>7</v>
      </c>
      <c r="B10459" t="s">
        <v>30</v>
      </c>
      <c r="C10459" t="str">
        <f t="shared" si="328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27"/>
        <v>11</v>
      </c>
    </row>
    <row r="10460" spans="1:8" x14ac:dyDescent="0.2">
      <c r="A10460" t="s">
        <v>7</v>
      </c>
      <c r="B10460" t="s">
        <v>30</v>
      </c>
      <c r="C10460" t="str">
        <f t="shared" si="328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27"/>
        <v>11</v>
      </c>
    </row>
    <row r="10461" spans="1:8" x14ac:dyDescent="0.2">
      <c r="A10461" t="s">
        <v>7</v>
      </c>
      <c r="B10461" t="s">
        <v>30</v>
      </c>
      <c r="C10461" t="str">
        <f t="shared" si="328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27"/>
        <v>10</v>
      </c>
    </row>
    <row r="10462" spans="1:8" x14ac:dyDescent="0.2">
      <c r="A10462" t="s">
        <v>7</v>
      </c>
      <c r="B10462" t="s">
        <v>30</v>
      </c>
      <c r="C10462" t="str">
        <f t="shared" si="328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27"/>
        <v>10</v>
      </c>
    </row>
    <row r="10463" spans="1:8" x14ac:dyDescent="0.2">
      <c r="A10463" t="s">
        <v>7</v>
      </c>
      <c r="B10463" t="s">
        <v>30</v>
      </c>
      <c r="C10463" t="str">
        <f t="shared" si="328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27"/>
        <v>10</v>
      </c>
    </row>
    <row r="10464" spans="1:8" x14ac:dyDescent="0.2">
      <c r="A10464" t="s">
        <v>7</v>
      </c>
      <c r="B10464" t="s">
        <v>30</v>
      </c>
      <c r="C10464" t="str">
        <f t="shared" si="328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27"/>
        <v>10</v>
      </c>
    </row>
    <row r="10465" spans="1:8" x14ac:dyDescent="0.2">
      <c r="A10465" t="s">
        <v>7</v>
      </c>
      <c r="B10465" t="s">
        <v>30</v>
      </c>
      <c r="C10465" t="str">
        <f t="shared" si="328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27"/>
        <v>10</v>
      </c>
    </row>
    <row r="10466" spans="1:8" x14ac:dyDescent="0.2">
      <c r="A10466" t="s">
        <v>7</v>
      </c>
      <c r="B10466" t="s">
        <v>30</v>
      </c>
      <c r="C10466" t="str">
        <f t="shared" si="328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27"/>
        <v>9</v>
      </c>
    </row>
    <row r="10467" spans="1:8" x14ac:dyDescent="0.2">
      <c r="A10467" t="s">
        <v>7</v>
      </c>
      <c r="B10467" t="s">
        <v>30</v>
      </c>
      <c r="C10467" t="str">
        <f t="shared" si="328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27"/>
        <v>9</v>
      </c>
    </row>
    <row r="10468" spans="1:8" x14ac:dyDescent="0.2">
      <c r="A10468" t="s">
        <v>7</v>
      </c>
      <c r="B10468" t="s">
        <v>30</v>
      </c>
      <c r="C10468" t="str">
        <f t="shared" si="328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27"/>
        <v>9</v>
      </c>
    </row>
    <row r="10469" spans="1:8" x14ac:dyDescent="0.2">
      <c r="A10469" t="s">
        <v>7</v>
      </c>
      <c r="B10469" t="s">
        <v>30</v>
      </c>
      <c r="C10469" t="str">
        <f t="shared" si="328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27"/>
        <v>9</v>
      </c>
    </row>
    <row r="10470" spans="1:8" x14ac:dyDescent="0.2">
      <c r="A10470" t="s">
        <v>7</v>
      </c>
      <c r="B10470" t="s">
        <v>30</v>
      </c>
      <c r="C10470" t="str">
        <f t="shared" si="328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27"/>
        <v>9</v>
      </c>
    </row>
    <row r="10471" spans="1:8" x14ac:dyDescent="0.2">
      <c r="A10471" t="s">
        <v>7</v>
      </c>
      <c r="B10471" t="s">
        <v>30</v>
      </c>
      <c r="C10471" t="str">
        <f t="shared" si="328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27"/>
        <v>9</v>
      </c>
    </row>
    <row r="10472" spans="1:8" x14ac:dyDescent="0.2">
      <c r="A10472" t="s">
        <v>7</v>
      </c>
      <c r="B10472" t="s">
        <v>30</v>
      </c>
      <c r="C10472" t="str">
        <f t="shared" si="328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27"/>
        <v>14</v>
      </c>
    </row>
    <row r="10473" spans="1:8" x14ac:dyDescent="0.2">
      <c r="A10473" t="s">
        <v>7</v>
      </c>
      <c r="B10473" t="s">
        <v>30</v>
      </c>
      <c r="C10473" t="str">
        <f t="shared" si="328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27"/>
        <v>9</v>
      </c>
    </row>
    <row r="10474" spans="1:8" x14ac:dyDescent="0.2">
      <c r="A10474" t="s">
        <v>7</v>
      </c>
      <c r="B10474" t="s">
        <v>30</v>
      </c>
      <c r="C10474" t="str">
        <f t="shared" si="328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27"/>
        <v>9</v>
      </c>
    </row>
    <row r="10475" spans="1:8" x14ac:dyDescent="0.2">
      <c r="A10475" t="s">
        <v>7</v>
      </c>
      <c r="B10475" t="s">
        <v>30</v>
      </c>
      <c r="C10475" t="str">
        <f t="shared" si="328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27"/>
        <v>8</v>
      </c>
    </row>
    <row r="10476" spans="1:8" x14ac:dyDescent="0.2">
      <c r="A10476" t="s">
        <v>7</v>
      </c>
      <c r="B10476" t="s">
        <v>30</v>
      </c>
      <c r="C10476" t="str">
        <f t="shared" si="328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27"/>
        <v>8</v>
      </c>
    </row>
    <row r="10477" spans="1:8" x14ac:dyDescent="0.2">
      <c r="A10477" t="s">
        <v>7</v>
      </c>
      <c r="B10477" t="s">
        <v>30</v>
      </c>
      <c r="C10477" t="str">
        <f t="shared" si="328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27"/>
        <v>8</v>
      </c>
    </row>
    <row r="10478" spans="1:8" x14ac:dyDescent="0.2">
      <c r="A10478" t="s">
        <v>7</v>
      </c>
      <c r="B10478" t="s">
        <v>30</v>
      </c>
      <c r="C10478" t="str">
        <f t="shared" si="328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27"/>
        <v>8</v>
      </c>
    </row>
    <row r="10479" spans="1:8" x14ac:dyDescent="0.2">
      <c r="A10479" t="s">
        <v>7</v>
      </c>
      <c r="B10479" t="s">
        <v>30</v>
      </c>
      <c r="C10479" t="str">
        <f t="shared" si="328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27"/>
        <v>8</v>
      </c>
    </row>
    <row r="10480" spans="1:8" x14ac:dyDescent="0.2">
      <c r="A10480" t="s">
        <v>7</v>
      </c>
      <c r="B10480" t="s">
        <v>30</v>
      </c>
      <c r="C10480" t="str">
        <f t="shared" si="328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si="327"/>
        <v>8</v>
      </c>
    </row>
    <row r="10481" spans="1:8" x14ac:dyDescent="0.2">
      <c r="A10481" t="s">
        <v>7</v>
      </c>
      <c r="B10481" t="s">
        <v>30</v>
      </c>
      <c r="C10481" t="str">
        <f t="shared" si="328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27"/>
        <v>8</v>
      </c>
    </row>
    <row r="10482" spans="1:8" x14ac:dyDescent="0.2">
      <c r="A10482" t="s">
        <v>7</v>
      </c>
      <c r="B10482" t="s">
        <v>30</v>
      </c>
      <c r="C10482" t="str">
        <f t="shared" si="328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27"/>
        <v>8</v>
      </c>
    </row>
    <row r="10483" spans="1:8" x14ac:dyDescent="0.2">
      <c r="A10483" t="s">
        <v>7</v>
      </c>
      <c r="B10483" t="s">
        <v>30</v>
      </c>
      <c r="C10483" t="str">
        <f t="shared" si="328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27"/>
        <v>7</v>
      </c>
    </row>
    <row r="10484" spans="1:8" x14ac:dyDescent="0.2">
      <c r="A10484" t="s">
        <v>7</v>
      </c>
      <c r="B10484" t="s">
        <v>30</v>
      </c>
      <c r="C10484" t="str">
        <f t="shared" si="328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27"/>
        <v>7</v>
      </c>
    </row>
    <row r="10485" spans="1:8" x14ac:dyDescent="0.2">
      <c r="A10485" t="s">
        <v>7</v>
      </c>
      <c r="B10485" t="s">
        <v>30</v>
      </c>
      <c r="C10485" t="str">
        <f t="shared" si="328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27"/>
        <v>7</v>
      </c>
    </row>
    <row r="10486" spans="1:8" x14ac:dyDescent="0.2">
      <c r="A10486" t="s">
        <v>7</v>
      </c>
      <c r="B10486" t="s">
        <v>30</v>
      </c>
      <c r="C10486" t="str">
        <f t="shared" si="328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27"/>
        <v>7</v>
      </c>
    </row>
    <row r="10487" spans="1:8" x14ac:dyDescent="0.2">
      <c r="A10487" t="s">
        <v>7</v>
      </c>
      <c r="B10487" t="s">
        <v>30</v>
      </c>
      <c r="C10487" t="str">
        <f t="shared" si="328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27"/>
        <v>12</v>
      </c>
    </row>
    <row r="10488" spans="1:8" x14ac:dyDescent="0.2">
      <c r="A10488" t="s">
        <v>7</v>
      </c>
      <c r="B10488" t="s">
        <v>30</v>
      </c>
      <c r="C10488" t="str">
        <f t="shared" si="328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27"/>
        <v>12</v>
      </c>
    </row>
    <row r="10489" spans="1:8" x14ac:dyDescent="0.2">
      <c r="A10489" t="s">
        <v>7</v>
      </c>
      <c r="B10489" t="s">
        <v>30</v>
      </c>
      <c r="C10489" t="str">
        <f t="shared" si="328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27"/>
        <v>11</v>
      </c>
    </row>
    <row r="10490" spans="1:8" x14ac:dyDescent="0.2">
      <c r="A10490" t="s">
        <v>7</v>
      </c>
      <c r="B10490" t="s">
        <v>30</v>
      </c>
      <c r="C10490" t="str">
        <f t="shared" si="328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27"/>
        <v>6</v>
      </c>
    </row>
    <row r="10491" spans="1:8" x14ac:dyDescent="0.2">
      <c r="A10491" t="s">
        <v>7</v>
      </c>
      <c r="B10491" t="s">
        <v>30</v>
      </c>
      <c r="C10491" t="str">
        <f t="shared" si="328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27"/>
        <v>6</v>
      </c>
    </row>
    <row r="10492" spans="1:8" x14ac:dyDescent="0.2">
      <c r="A10492" t="s">
        <v>7</v>
      </c>
      <c r="B10492" t="s">
        <v>30</v>
      </c>
      <c r="C10492" t="str">
        <f t="shared" si="328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27"/>
        <v>11</v>
      </c>
    </row>
    <row r="10493" spans="1:8" x14ac:dyDescent="0.2">
      <c r="A10493" t="s">
        <v>7</v>
      </c>
      <c r="B10493" t="s">
        <v>30</v>
      </c>
      <c r="C10493" t="str">
        <f t="shared" si="328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27"/>
        <v>6</v>
      </c>
    </row>
    <row r="10494" spans="1:8" x14ac:dyDescent="0.2">
      <c r="A10494" t="s">
        <v>7</v>
      </c>
      <c r="B10494" t="s">
        <v>30</v>
      </c>
      <c r="C10494" t="str">
        <f t="shared" si="328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27"/>
        <v>10</v>
      </c>
    </row>
    <row r="10495" spans="1:8" x14ac:dyDescent="0.2">
      <c r="A10495" t="s">
        <v>7</v>
      </c>
      <c r="B10495" t="s">
        <v>30</v>
      </c>
      <c r="C10495" t="str">
        <f t="shared" si="328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27"/>
        <v>5</v>
      </c>
    </row>
    <row r="10496" spans="1:8" x14ac:dyDescent="0.2">
      <c r="A10496" t="s">
        <v>7</v>
      </c>
      <c r="B10496" t="s">
        <v>30</v>
      </c>
      <c r="C10496" t="str">
        <f t="shared" si="328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27"/>
        <v>5</v>
      </c>
    </row>
    <row r="10497" spans="1:8" x14ac:dyDescent="0.2">
      <c r="A10497" t="s">
        <v>7</v>
      </c>
      <c r="B10497" t="s">
        <v>30</v>
      </c>
      <c r="C10497" t="str">
        <f t="shared" si="328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27"/>
        <v>5</v>
      </c>
    </row>
    <row r="10498" spans="1:8" x14ac:dyDescent="0.2">
      <c r="A10498" t="s">
        <v>7</v>
      </c>
      <c r="B10498" t="s">
        <v>30</v>
      </c>
      <c r="C10498" t="str">
        <f t="shared" si="328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27"/>
        <v>5</v>
      </c>
    </row>
    <row r="10499" spans="1:8" x14ac:dyDescent="0.2">
      <c r="A10499" t="s">
        <v>7</v>
      </c>
      <c r="B10499" t="s">
        <v>30</v>
      </c>
      <c r="C10499" t="str">
        <f t="shared" si="328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ref="H10499:H10562" si="329">F10499-G10499</f>
        <v>10</v>
      </c>
    </row>
    <row r="10500" spans="1:8" x14ac:dyDescent="0.2">
      <c r="A10500" t="s">
        <v>7</v>
      </c>
      <c r="B10500" t="s">
        <v>30</v>
      </c>
      <c r="C10500" t="str">
        <f t="shared" si="328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29"/>
        <v>10</v>
      </c>
    </row>
    <row r="10501" spans="1:8" x14ac:dyDescent="0.2">
      <c r="A10501" t="s">
        <v>7</v>
      </c>
      <c r="B10501" t="s">
        <v>30</v>
      </c>
      <c r="C10501" t="str">
        <f t="shared" ref="C10501:C10564" si="330">IF(H10501&gt;=0,"Cumple","No cumple")</f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29"/>
        <v>5</v>
      </c>
    </row>
    <row r="10502" spans="1:8" x14ac:dyDescent="0.2">
      <c r="A10502" t="s">
        <v>7</v>
      </c>
      <c r="B10502" t="s">
        <v>30</v>
      </c>
      <c r="C10502" t="str">
        <f t="shared" si="330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29"/>
        <v>10</v>
      </c>
    </row>
    <row r="10503" spans="1:8" x14ac:dyDescent="0.2">
      <c r="A10503" t="s">
        <v>7</v>
      </c>
      <c r="B10503" t="s">
        <v>30</v>
      </c>
      <c r="C10503" t="str">
        <f t="shared" si="330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29"/>
        <v>5</v>
      </c>
    </row>
    <row r="10504" spans="1:8" x14ac:dyDescent="0.2">
      <c r="A10504" t="s">
        <v>7</v>
      </c>
      <c r="B10504" t="s">
        <v>30</v>
      </c>
      <c r="C10504" t="str">
        <f t="shared" si="330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29"/>
        <v>5</v>
      </c>
    </row>
    <row r="10505" spans="1:8" x14ac:dyDescent="0.2">
      <c r="A10505" t="s">
        <v>7</v>
      </c>
      <c r="B10505" t="s">
        <v>30</v>
      </c>
      <c r="C10505" t="str">
        <f t="shared" si="330"/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29"/>
        <v>10</v>
      </c>
    </row>
    <row r="10506" spans="1:8" x14ac:dyDescent="0.2">
      <c r="A10506" t="s">
        <v>7</v>
      </c>
      <c r="B10506" t="s">
        <v>30</v>
      </c>
      <c r="C10506" t="str">
        <f t="shared" si="330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29"/>
        <v>4</v>
      </c>
    </row>
    <row r="10507" spans="1:8" x14ac:dyDescent="0.2">
      <c r="A10507" t="s">
        <v>7</v>
      </c>
      <c r="B10507" t="s">
        <v>30</v>
      </c>
      <c r="C10507" t="str">
        <f t="shared" si="330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29"/>
        <v>9</v>
      </c>
    </row>
    <row r="10508" spans="1:8" x14ac:dyDescent="0.2">
      <c r="A10508" t="s">
        <v>7</v>
      </c>
      <c r="B10508" t="s">
        <v>30</v>
      </c>
      <c r="C10508" t="str">
        <f t="shared" si="330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29"/>
        <v>4</v>
      </c>
    </row>
    <row r="10509" spans="1:8" x14ac:dyDescent="0.2">
      <c r="A10509" t="s">
        <v>7</v>
      </c>
      <c r="B10509" t="s">
        <v>30</v>
      </c>
      <c r="C10509" t="str">
        <f t="shared" si="330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29"/>
        <v>4</v>
      </c>
    </row>
    <row r="10510" spans="1:8" x14ac:dyDescent="0.2">
      <c r="A10510" t="s">
        <v>7</v>
      </c>
      <c r="B10510" t="s">
        <v>30</v>
      </c>
      <c r="C10510" t="str">
        <f t="shared" si="330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29"/>
        <v>9</v>
      </c>
    </row>
    <row r="10511" spans="1:8" x14ac:dyDescent="0.2">
      <c r="A10511" t="s">
        <v>7</v>
      </c>
      <c r="B10511" t="s">
        <v>30</v>
      </c>
      <c r="C10511" t="str">
        <f t="shared" si="330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29"/>
        <v>9</v>
      </c>
    </row>
    <row r="10512" spans="1:8" x14ac:dyDescent="0.2">
      <c r="A10512" t="s">
        <v>7</v>
      </c>
      <c r="B10512" t="s">
        <v>30</v>
      </c>
      <c r="C10512" t="str">
        <f t="shared" si="330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29"/>
        <v>3</v>
      </c>
    </row>
    <row r="10513" spans="1:8" x14ac:dyDescent="0.2">
      <c r="A10513" t="s">
        <v>7</v>
      </c>
      <c r="B10513" t="s">
        <v>30</v>
      </c>
      <c r="C10513" t="str">
        <f t="shared" si="330"/>
        <v>Cumple</v>
      </c>
      <c r="D10513">
        <v>3924</v>
      </c>
      <c r="E10513" s="19" t="s">
        <v>12</v>
      </c>
      <c r="F10513">
        <v>23</v>
      </c>
      <c r="G10513">
        <v>20</v>
      </c>
      <c r="H10513">
        <f t="shared" si="329"/>
        <v>3</v>
      </c>
    </row>
    <row r="10514" spans="1:8" x14ac:dyDescent="0.2">
      <c r="A10514" t="s">
        <v>7</v>
      </c>
      <c r="B10514" t="s">
        <v>30</v>
      </c>
      <c r="C10514" t="str">
        <f t="shared" si="330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29"/>
        <v>8</v>
      </c>
    </row>
    <row r="10515" spans="1:8" x14ac:dyDescent="0.2">
      <c r="A10515" t="s">
        <v>7</v>
      </c>
      <c r="B10515" t="s">
        <v>30</v>
      </c>
      <c r="C10515" t="str">
        <f t="shared" si="330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29"/>
        <v>3</v>
      </c>
    </row>
    <row r="10516" spans="1:8" x14ac:dyDescent="0.2">
      <c r="A10516" t="s">
        <v>7</v>
      </c>
      <c r="B10516" t="s">
        <v>30</v>
      </c>
      <c r="C10516" t="str">
        <f t="shared" si="330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29"/>
        <v>3</v>
      </c>
    </row>
    <row r="10517" spans="1:8" x14ac:dyDescent="0.2">
      <c r="A10517" t="s">
        <v>7</v>
      </c>
      <c r="B10517" t="s">
        <v>30</v>
      </c>
      <c r="C10517" t="str">
        <f t="shared" si="330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29"/>
        <v>2</v>
      </c>
    </row>
    <row r="10518" spans="1:8" x14ac:dyDescent="0.2">
      <c r="A10518" t="s">
        <v>7</v>
      </c>
      <c r="B10518" t="s">
        <v>30</v>
      </c>
      <c r="C10518" t="str">
        <f t="shared" si="330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29"/>
        <v>2</v>
      </c>
    </row>
    <row r="10519" spans="1:8" x14ac:dyDescent="0.2">
      <c r="A10519" t="s">
        <v>7</v>
      </c>
      <c r="B10519" t="s">
        <v>30</v>
      </c>
      <c r="C10519" t="str">
        <f t="shared" si="330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29"/>
        <v>2</v>
      </c>
    </row>
    <row r="10520" spans="1:8" x14ac:dyDescent="0.2">
      <c r="A10520" t="s">
        <v>7</v>
      </c>
      <c r="B10520" t="s">
        <v>30</v>
      </c>
      <c r="C10520" t="str">
        <f t="shared" si="330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29"/>
        <v>2</v>
      </c>
    </row>
    <row r="10521" spans="1:8" x14ac:dyDescent="0.2">
      <c r="A10521" t="s">
        <v>7</v>
      </c>
      <c r="B10521" t="s">
        <v>30</v>
      </c>
      <c r="C10521" t="str">
        <f t="shared" si="330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29"/>
        <v>7</v>
      </c>
    </row>
    <row r="10522" spans="1:8" x14ac:dyDescent="0.2">
      <c r="A10522" t="s">
        <v>7</v>
      </c>
      <c r="B10522" t="s">
        <v>30</v>
      </c>
      <c r="C10522" t="str">
        <f t="shared" si="330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29"/>
        <v>2</v>
      </c>
    </row>
    <row r="10523" spans="1:8" x14ac:dyDescent="0.2">
      <c r="A10523" t="s">
        <v>7</v>
      </c>
      <c r="B10523" t="s">
        <v>30</v>
      </c>
      <c r="C10523" t="str">
        <f t="shared" si="330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29"/>
        <v>2</v>
      </c>
    </row>
    <row r="10524" spans="1:8" x14ac:dyDescent="0.2">
      <c r="A10524" t="s">
        <v>7</v>
      </c>
      <c r="B10524" t="s">
        <v>30</v>
      </c>
      <c r="C10524" t="str">
        <f t="shared" si="330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29"/>
        <v>2</v>
      </c>
    </row>
    <row r="10525" spans="1:8" x14ac:dyDescent="0.2">
      <c r="A10525" t="s">
        <v>7</v>
      </c>
      <c r="B10525" t="s">
        <v>30</v>
      </c>
      <c r="C10525" t="str">
        <f t="shared" si="330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29"/>
        <v>1</v>
      </c>
    </row>
    <row r="10526" spans="1:8" x14ac:dyDescent="0.2">
      <c r="A10526" t="s">
        <v>7</v>
      </c>
      <c r="B10526" t="s">
        <v>30</v>
      </c>
      <c r="C10526" t="str">
        <f t="shared" si="330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29"/>
        <v>6</v>
      </c>
    </row>
    <row r="10527" spans="1:8" x14ac:dyDescent="0.2">
      <c r="A10527" t="s">
        <v>7</v>
      </c>
      <c r="B10527" t="s">
        <v>30</v>
      </c>
      <c r="C10527" t="str">
        <f t="shared" si="330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29"/>
        <v>6</v>
      </c>
    </row>
    <row r="10528" spans="1:8" x14ac:dyDescent="0.2">
      <c r="A10528" t="s">
        <v>7</v>
      </c>
      <c r="B10528" t="s">
        <v>30</v>
      </c>
      <c r="C10528" t="str">
        <f t="shared" si="330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29"/>
        <v>6</v>
      </c>
    </row>
    <row r="10529" spans="1:8" x14ac:dyDescent="0.2">
      <c r="A10529" t="s">
        <v>7</v>
      </c>
      <c r="B10529" t="s">
        <v>30</v>
      </c>
      <c r="C10529" t="str">
        <f t="shared" si="330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29"/>
        <v>1</v>
      </c>
    </row>
    <row r="10530" spans="1:8" x14ac:dyDescent="0.2">
      <c r="A10530" t="s">
        <v>7</v>
      </c>
      <c r="B10530" t="s">
        <v>30</v>
      </c>
      <c r="C10530" t="str">
        <f t="shared" si="330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29"/>
        <v>1</v>
      </c>
    </row>
    <row r="10531" spans="1:8" x14ac:dyDescent="0.2">
      <c r="A10531" t="s">
        <v>7</v>
      </c>
      <c r="B10531" t="s">
        <v>30</v>
      </c>
      <c r="C10531" t="str">
        <f t="shared" si="330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29"/>
        <v>0</v>
      </c>
    </row>
    <row r="10532" spans="1:8" x14ac:dyDescent="0.2">
      <c r="A10532" t="s">
        <v>7</v>
      </c>
      <c r="B10532" t="s">
        <v>30</v>
      </c>
      <c r="C10532" t="str">
        <f t="shared" si="330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29"/>
        <v>5</v>
      </c>
    </row>
    <row r="10533" spans="1:8" x14ac:dyDescent="0.2">
      <c r="A10533" t="s">
        <v>7</v>
      </c>
      <c r="B10533" t="s">
        <v>30</v>
      </c>
      <c r="C10533" t="str">
        <f t="shared" si="330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29"/>
        <v>0</v>
      </c>
    </row>
    <row r="10534" spans="1:8" x14ac:dyDescent="0.2">
      <c r="A10534" t="s">
        <v>7</v>
      </c>
      <c r="B10534" t="s">
        <v>30</v>
      </c>
      <c r="C10534" t="str">
        <f t="shared" si="330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29"/>
        <v>0</v>
      </c>
    </row>
    <row r="10535" spans="1:8" x14ac:dyDescent="0.2">
      <c r="A10535" t="s">
        <v>7</v>
      </c>
      <c r="B10535" t="s">
        <v>30</v>
      </c>
      <c r="C10535" t="str">
        <f t="shared" si="330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29"/>
        <v>4</v>
      </c>
    </row>
    <row r="10536" spans="1:8" x14ac:dyDescent="0.2">
      <c r="A10536" t="s">
        <v>7</v>
      </c>
      <c r="B10536" t="s">
        <v>30</v>
      </c>
      <c r="C10536" t="str">
        <f t="shared" si="330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29"/>
        <v>4</v>
      </c>
    </row>
    <row r="10537" spans="1:8" x14ac:dyDescent="0.2">
      <c r="A10537" t="s">
        <v>7</v>
      </c>
      <c r="B10537" t="s">
        <v>30</v>
      </c>
      <c r="C10537" t="str">
        <f t="shared" si="330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29"/>
        <v>4</v>
      </c>
    </row>
    <row r="10538" spans="1:8" x14ac:dyDescent="0.2">
      <c r="A10538" t="s">
        <v>7</v>
      </c>
      <c r="B10538" t="s">
        <v>30</v>
      </c>
      <c r="C10538" t="str">
        <f t="shared" si="330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29"/>
        <v>4</v>
      </c>
    </row>
    <row r="10539" spans="1:8" x14ac:dyDescent="0.2">
      <c r="A10539" t="s">
        <v>7</v>
      </c>
      <c r="B10539" t="s">
        <v>30</v>
      </c>
      <c r="C10539" t="str">
        <f t="shared" si="330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29"/>
        <v>4</v>
      </c>
    </row>
    <row r="10540" spans="1:8" x14ac:dyDescent="0.2">
      <c r="A10540" t="s">
        <v>7</v>
      </c>
      <c r="B10540" t="s">
        <v>30</v>
      </c>
      <c r="C10540" t="str">
        <f t="shared" si="330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29"/>
        <v>3</v>
      </c>
    </row>
    <row r="10541" spans="1:8" x14ac:dyDescent="0.2">
      <c r="A10541" t="s">
        <v>7</v>
      </c>
      <c r="B10541" t="s">
        <v>30</v>
      </c>
      <c r="C10541" t="str">
        <f t="shared" si="330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29"/>
        <v>3</v>
      </c>
    </row>
    <row r="10542" spans="1:8" x14ac:dyDescent="0.2">
      <c r="A10542" t="s">
        <v>7</v>
      </c>
      <c r="B10542" t="s">
        <v>30</v>
      </c>
      <c r="C10542" t="str">
        <f t="shared" si="330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29"/>
        <v>3</v>
      </c>
    </row>
    <row r="10543" spans="1:8" x14ac:dyDescent="0.2">
      <c r="A10543" t="s">
        <v>7</v>
      </c>
      <c r="B10543" t="s">
        <v>30</v>
      </c>
      <c r="C10543" t="str">
        <f t="shared" si="330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29"/>
        <v>-3</v>
      </c>
    </row>
    <row r="10544" spans="1:8" x14ac:dyDescent="0.2">
      <c r="A10544" t="s">
        <v>7</v>
      </c>
      <c r="B10544" t="s">
        <v>30</v>
      </c>
      <c r="C10544" t="str">
        <f t="shared" si="330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si="329"/>
        <v>2</v>
      </c>
    </row>
    <row r="10545" spans="1:8" x14ac:dyDescent="0.2">
      <c r="A10545" t="s">
        <v>7</v>
      </c>
      <c r="B10545" t="s">
        <v>30</v>
      </c>
      <c r="C10545" t="str">
        <f t="shared" si="330"/>
        <v>Cumple</v>
      </c>
      <c r="D10545">
        <v>3788</v>
      </c>
      <c r="E10545" t="s">
        <v>11</v>
      </c>
      <c r="F10545">
        <v>17</v>
      </c>
      <c r="G10545">
        <v>15</v>
      </c>
      <c r="H10545">
        <f t="shared" si="329"/>
        <v>2</v>
      </c>
    </row>
    <row r="10546" spans="1:8" x14ac:dyDescent="0.2">
      <c r="A10546" t="s">
        <v>7</v>
      </c>
      <c r="B10546" t="s">
        <v>30</v>
      </c>
      <c r="C10546" t="str">
        <f t="shared" si="330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29"/>
        <v>2</v>
      </c>
    </row>
    <row r="10547" spans="1:8" x14ac:dyDescent="0.2">
      <c r="A10547" t="s">
        <v>7</v>
      </c>
      <c r="B10547" t="s">
        <v>30</v>
      </c>
      <c r="C10547" t="str">
        <f t="shared" si="330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29"/>
        <v>1</v>
      </c>
    </row>
    <row r="10548" spans="1:8" x14ac:dyDescent="0.2">
      <c r="A10548" t="s">
        <v>7</v>
      </c>
      <c r="B10548" t="s">
        <v>30</v>
      </c>
      <c r="C10548" t="str">
        <f t="shared" si="330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29"/>
        <v>1</v>
      </c>
    </row>
    <row r="10549" spans="1:8" x14ac:dyDescent="0.2">
      <c r="A10549" t="s">
        <v>7</v>
      </c>
      <c r="B10549" t="s">
        <v>30</v>
      </c>
      <c r="C10549" t="str">
        <f t="shared" si="330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29"/>
        <v>0</v>
      </c>
    </row>
    <row r="10550" spans="1:8" x14ac:dyDescent="0.2">
      <c r="A10550" t="s">
        <v>7</v>
      </c>
      <c r="B10550" t="s">
        <v>30</v>
      </c>
      <c r="C10550" t="str">
        <f t="shared" si="330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29"/>
        <v>0</v>
      </c>
    </row>
    <row r="10551" spans="1:8" x14ac:dyDescent="0.2">
      <c r="A10551" t="s">
        <v>7</v>
      </c>
      <c r="B10551" t="s">
        <v>30</v>
      </c>
      <c r="C10551" t="str">
        <f t="shared" si="330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29"/>
        <v>0</v>
      </c>
    </row>
    <row r="10552" spans="1:8" x14ac:dyDescent="0.2">
      <c r="A10552" t="s">
        <v>7</v>
      </c>
      <c r="B10552" t="s">
        <v>30</v>
      </c>
      <c r="C10552" t="str">
        <f t="shared" si="330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29"/>
        <v>0</v>
      </c>
    </row>
    <row r="10553" spans="1:8" x14ac:dyDescent="0.2">
      <c r="A10553" t="s">
        <v>7</v>
      </c>
      <c r="B10553" t="s">
        <v>30</v>
      </c>
      <c r="C10553" t="str">
        <f t="shared" si="330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29"/>
        <v>0</v>
      </c>
    </row>
    <row r="10554" spans="1:8" x14ac:dyDescent="0.2">
      <c r="A10554" t="s">
        <v>7</v>
      </c>
      <c r="B10554" t="s">
        <v>30</v>
      </c>
      <c r="C10554" t="str">
        <f t="shared" si="330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29"/>
        <v>0</v>
      </c>
    </row>
    <row r="10555" spans="1:8" x14ac:dyDescent="0.2">
      <c r="A10555" t="s">
        <v>7</v>
      </c>
      <c r="B10555" t="s">
        <v>30</v>
      </c>
      <c r="C10555" t="str">
        <f t="shared" si="330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29"/>
        <v>0</v>
      </c>
    </row>
    <row r="10556" spans="1:8" x14ac:dyDescent="0.2">
      <c r="A10556" t="s">
        <v>7</v>
      </c>
      <c r="B10556" t="s">
        <v>30</v>
      </c>
      <c r="C10556" t="str">
        <f t="shared" si="330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29"/>
        <v>-1</v>
      </c>
    </row>
    <row r="10557" spans="1:8" x14ac:dyDescent="0.2">
      <c r="A10557" t="s">
        <v>7</v>
      </c>
      <c r="B10557" t="s">
        <v>30</v>
      </c>
      <c r="C10557" t="str">
        <f t="shared" si="330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29"/>
        <v>-6</v>
      </c>
    </row>
    <row r="10558" spans="1:8" x14ac:dyDescent="0.2">
      <c r="A10558" t="s">
        <v>7</v>
      </c>
      <c r="B10558" t="s">
        <v>30</v>
      </c>
      <c r="C10558" t="str">
        <f t="shared" si="330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29"/>
        <v>-1</v>
      </c>
    </row>
    <row r="10559" spans="1:8" x14ac:dyDescent="0.2">
      <c r="A10559" t="s">
        <v>7</v>
      </c>
      <c r="B10559" t="s">
        <v>30</v>
      </c>
      <c r="C10559" t="str">
        <f t="shared" si="330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29"/>
        <v>-6</v>
      </c>
    </row>
    <row r="10560" spans="1:8" x14ac:dyDescent="0.2">
      <c r="A10560" t="s">
        <v>7</v>
      </c>
      <c r="B10560" t="s">
        <v>30</v>
      </c>
      <c r="C10560" t="str">
        <f t="shared" si="330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29"/>
        <v>-2</v>
      </c>
    </row>
    <row r="10561" spans="1:8" x14ac:dyDescent="0.2">
      <c r="A10561" t="s">
        <v>7</v>
      </c>
      <c r="B10561" t="s">
        <v>30</v>
      </c>
      <c r="C10561" t="str">
        <f t="shared" si="330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29"/>
        <v>-2</v>
      </c>
    </row>
    <row r="10562" spans="1:8" x14ac:dyDescent="0.2">
      <c r="A10562" t="s">
        <v>7</v>
      </c>
      <c r="B10562" t="s">
        <v>30</v>
      </c>
      <c r="C10562" t="str">
        <f t="shared" si="330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29"/>
        <v>-7</v>
      </c>
    </row>
    <row r="10563" spans="1:8" x14ac:dyDescent="0.2">
      <c r="A10563" t="s">
        <v>7</v>
      </c>
      <c r="B10563" t="s">
        <v>30</v>
      </c>
      <c r="C10563" t="str">
        <f t="shared" si="330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ref="H10563:H10626" si="331">F10563-G10563</f>
        <v>-7</v>
      </c>
    </row>
    <row r="10564" spans="1:8" x14ac:dyDescent="0.2">
      <c r="A10564" t="s">
        <v>7</v>
      </c>
      <c r="B10564" t="s">
        <v>30</v>
      </c>
      <c r="C10564" t="str">
        <f t="shared" si="330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31"/>
        <v>-3</v>
      </c>
    </row>
    <row r="10565" spans="1:8" x14ac:dyDescent="0.2">
      <c r="A10565" t="s">
        <v>7</v>
      </c>
      <c r="B10565" t="s">
        <v>30</v>
      </c>
      <c r="C10565" t="str">
        <f t="shared" ref="C10565:C10628" si="332">IF(H10565&gt;=0,"Cumple","No cumple")</f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31"/>
        <v>-3</v>
      </c>
    </row>
    <row r="10566" spans="1:8" x14ac:dyDescent="0.2">
      <c r="A10566" t="s">
        <v>7</v>
      </c>
      <c r="B10566" t="s">
        <v>30</v>
      </c>
      <c r="C10566" t="str">
        <f t="shared" si="332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31"/>
        <v>-3</v>
      </c>
    </row>
    <row r="10567" spans="1:8" x14ac:dyDescent="0.2">
      <c r="A10567" t="s">
        <v>7</v>
      </c>
      <c r="B10567" t="s">
        <v>30</v>
      </c>
      <c r="C10567" t="str">
        <f t="shared" si="332"/>
        <v>Cumple</v>
      </c>
      <c r="D10567">
        <v>4027</v>
      </c>
      <c r="E10567" t="s">
        <v>11</v>
      </c>
      <c r="F10567" s="9">
        <v>15</v>
      </c>
      <c r="G10567">
        <v>15</v>
      </c>
      <c r="H10567">
        <f t="shared" si="331"/>
        <v>0</v>
      </c>
    </row>
    <row r="10568" spans="1:8" x14ac:dyDescent="0.2">
      <c r="A10568" t="s">
        <v>7</v>
      </c>
      <c r="B10568" t="s">
        <v>30</v>
      </c>
      <c r="C10568" t="str">
        <f t="shared" si="332"/>
        <v>Cumple</v>
      </c>
      <c r="D10568">
        <v>3518</v>
      </c>
      <c r="E10568" t="s">
        <v>12</v>
      </c>
      <c r="F10568" s="9">
        <v>20</v>
      </c>
      <c r="G10568">
        <v>20</v>
      </c>
      <c r="H10568">
        <f t="shared" si="331"/>
        <v>0</v>
      </c>
    </row>
    <row r="10569" spans="1:8" x14ac:dyDescent="0.2">
      <c r="A10569" t="s">
        <v>7</v>
      </c>
      <c r="B10569" t="s">
        <v>30</v>
      </c>
      <c r="C10569" t="str">
        <f t="shared" si="332"/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31"/>
        <v>-4</v>
      </c>
    </row>
    <row r="10570" spans="1:8" x14ac:dyDescent="0.2">
      <c r="A10570" t="s">
        <v>7</v>
      </c>
      <c r="B10570" t="s">
        <v>30</v>
      </c>
      <c r="C10570" t="str">
        <f t="shared" si="332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31"/>
        <v>-4</v>
      </c>
    </row>
    <row r="10571" spans="1:8" x14ac:dyDescent="0.2">
      <c r="A10571" t="s">
        <v>7</v>
      </c>
      <c r="B10571" t="s">
        <v>30</v>
      </c>
      <c r="C10571" t="str">
        <f t="shared" si="332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31"/>
        <v>-4</v>
      </c>
    </row>
    <row r="10572" spans="1:8" x14ac:dyDescent="0.2">
      <c r="A10572" t="s">
        <v>7</v>
      </c>
      <c r="B10572" t="s">
        <v>30</v>
      </c>
      <c r="C10572" t="str">
        <f t="shared" si="332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31"/>
        <v>-4</v>
      </c>
    </row>
    <row r="10573" spans="1:8" x14ac:dyDescent="0.2">
      <c r="A10573" t="s">
        <v>7</v>
      </c>
      <c r="B10573" t="s">
        <v>30</v>
      </c>
      <c r="C10573" t="str">
        <f t="shared" si="332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31"/>
        <v>-5</v>
      </c>
    </row>
    <row r="10574" spans="1:8" x14ac:dyDescent="0.2">
      <c r="A10574" t="s">
        <v>7</v>
      </c>
      <c r="B10574" t="s">
        <v>30</v>
      </c>
      <c r="C10574" t="str">
        <f t="shared" si="332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31"/>
        <v>-5</v>
      </c>
    </row>
    <row r="10575" spans="1:8" x14ac:dyDescent="0.2">
      <c r="A10575" t="s">
        <v>7</v>
      </c>
      <c r="B10575" t="s">
        <v>30</v>
      </c>
      <c r="C10575" t="str">
        <f t="shared" si="332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31"/>
        <v>-6</v>
      </c>
    </row>
    <row r="10576" spans="1:8" x14ac:dyDescent="0.2">
      <c r="A10576" t="s">
        <v>7</v>
      </c>
      <c r="B10576" t="s">
        <v>30</v>
      </c>
      <c r="C10576" t="str">
        <f t="shared" si="332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31"/>
        <v>-7</v>
      </c>
    </row>
    <row r="10577" spans="1:8" x14ac:dyDescent="0.2">
      <c r="A10577" t="s">
        <v>7</v>
      </c>
      <c r="B10577" t="s">
        <v>30</v>
      </c>
      <c r="C10577" t="str">
        <f t="shared" si="332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31"/>
        <v>-7</v>
      </c>
    </row>
    <row r="10578" spans="1:8" x14ac:dyDescent="0.2">
      <c r="A10578" t="s">
        <v>7</v>
      </c>
      <c r="B10578" t="s">
        <v>30</v>
      </c>
      <c r="C10578" t="str">
        <f t="shared" si="332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31"/>
        <v>-7</v>
      </c>
    </row>
    <row r="10579" spans="1:8" x14ac:dyDescent="0.2">
      <c r="A10579" t="s">
        <v>7</v>
      </c>
      <c r="B10579" t="s">
        <v>30</v>
      </c>
      <c r="C10579" t="str">
        <f t="shared" si="332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31"/>
        <v>-8</v>
      </c>
    </row>
    <row r="10580" spans="1:8" x14ac:dyDescent="0.2">
      <c r="A10580" t="s">
        <v>7</v>
      </c>
      <c r="B10580" t="s">
        <v>30</v>
      </c>
      <c r="C10580" t="str">
        <f t="shared" si="332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31"/>
        <v>-8</v>
      </c>
    </row>
    <row r="10581" spans="1:8" x14ac:dyDescent="0.2">
      <c r="A10581" t="s">
        <v>7</v>
      </c>
      <c r="B10581" t="s">
        <v>30</v>
      </c>
      <c r="C10581" t="str">
        <f t="shared" si="332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31"/>
        <v>-8</v>
      </c>
    </row>
    <row r="10582" spans="1:8" x14ac:dyDescent="0.2">
      <c r="A10582" t="s">
        <v>7</v>
      </c>
      <c r="B10582" t="s">
        <v>30</v>
      </c>
      <c r="C10582" t="str">
        <f t="shared" si="332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31"/>
        <v>-9</v>
      </c>
    </row>
    <row r="10583" spans="1:8" x14ac:dyDescent="0.2">
      <c r="A10583" t="s">
        <v>7</v>
      </c>
      <c r="B10583" t="s">
        <v>30</v>
      </c>
      <c r="C10583" t="str">
        <f t="shared" si="332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31"/>
        <v>-9</v>
      </c>
    </row>
    <row r="10584" spans="1:8" x14ac:dyDescent="0.2">
      <c r="A10584" t="s">
        <v>7</v>
      </c>
      <c r="B10584" t="s">
        <v>30</v>
      </c>
      <c r="C10584" t="str">
        <f t="shared" si="332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31"/>
        <v>-9</v>
      </c>
    </row>
    <row r="10585" spans="1:8" x14ac:dyDescent="0.2">
      <c r="A10585" t="s">
        <v>7</v>
      </c>
      <c r="B10585" t="s">
        <v>30</v>
      </c>
      <c r="C10585" t="str">
        <f t="shared" si="332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31"/>
        <v>-10</v>
      </c>
    </row>
    <row r="10586" spans="1:8" x14ac:dyDescent="0.2">
      <c r="A10586" t="s">
        <v>7</v>
      </c>
      <c r="B10586" t="s">
        <v>30</v>
      </c>
      <c r="C10586" t="str">
        <f t="shared" si="332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31"/>
        <v>-10</v>
      </c>
    </row>
    <row r="10587" spans="1:8" x14ac:dyDescent="0.2">
      <c r="A10587" t="s">
        <v>7</v>
      </c>
      <c r="B10587" t="s">
        <v>30</v>
      </c>
      <c r="C10587" t="str">
        <f t="shared" si="332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31"/>
        <v>-15</v>
      </c>
    </row>
    <row r="10588" spans="1:8" x14ac:dyDescent="0.2">
      <c r="A10588" t="s">
        <v>7</v>
      </c>
      <c r="B10588" t="s">
        <v>30</v>
      </c>
      <c r="C10588" t="str">
        <f t="shared" si="332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31"/>
        <v>-10</v>
      </c>
    </row>
    <row r="10589" spans="1:8" x14ac:dyDescent="0.2">
      <c r="A10589" t="s">
        <v>7</v>
      </c>
      <c r="B10589" t="s">
        <v>30</v>
      </c>
      <c r="C10589" t="str">
        <f t="shared" si="332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31"/>
        <v>-10</v>
      </c>
    </row>
    <row r="10590" spans="1:8" x14ac:dyDescent="0.2">
      <c r="A10590" t="s">
        <v>7</v>
      </c>
      <c r="B10590" t="s">
        <v>30</v>
      </c>
      <c r="C10590" t="str">
        <f t="shared" si="332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31"/>
        <v>-11</v>
      </c>
    </row>
    <row r="10591" spans="1:8" x14ac:dyDescent="0.2">
      <c r="A10591" t="s">
        <v>7</v>
      </c>
      <c r="B10591" t="s">
        <v>30</v>
      </c>
      <c r="C10591" t="str">
        <f t="shared" si="332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31"/>
        <v>-12</v>
      </c>
    </row>
    <row r="10592" spans="1:8" x14ac:dyDescent="0.2">
      <c r="A10592" t="s">
        <v>7</v>
      </c>
      <c r="B10592" t="s">
        <v>30</v>
      </c>
      <c r="C10592" t="str">
        <f t="shared" si="332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31"/>
        <v>-12</v>
      </c>
    </row>
    <row r="10593" spans="1:8" x14ac:dyDescent="0.2">
      <c r="A10593" t="s">
        <v>7</v>
      </c>
      <c r="B10593" t="s">
        <v>30</v>
      </c>
      <c r="C10593" t="str">
        <f t="shared" si="332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31"/>
        <v>-13</v>
      </c>
    </row>
    <row r="10594" spans="1:8" x14ac:dyDescent="0.2">
      <c r="A10594" t="s">
        <v>7</v>
      </c>
      <c r="B10594" t="s">
        <v>30</v>
      </c>
      <c r="C10594" t="str">
        <f t="shared" si="332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31"/>
        <v>-13</v>
      </c>
    </row>
    <row r="10595" spans="1:8" x14ac:dyDescent="0.2">
      <c r="A10595" t="s">
        <v>7</v>
      </c>
      <c r="B10595" t="s">
        <v>30</v>
      </c>
      <c r="C10595" t="str">
        <f t="shared" si="332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31"/>
        <v>-13</v>
      </c>
    </row>
    <row r="10596" spans="1:8" x14ac:dyDescent="0.2">
      <c r="A10596" t="s">
        <v>7</v>
      </c>
      <c r="B10596" t="s">
        <v>30</v>
      </c>
      <c r="C10596" t="str">
        <f t="shared" si="332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31"/>
        <v>-14</v>
      </c>
    </row>
    <row r="10597" spans="1:8" x14ac:dyDescent="0.2">
      <c r="A10597" t="s">
        <v>7</v>
      </c>
      <c r="B10597" t="s">
        <v>30</v>
      </c>
      <c r="C10597" t="str">
        <f t="shared" si="332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31"/>
        <v>-14</v>
      </c>
    </row>
    <row r="10598" spans="1:8" x14ac:dyDescent="0.2">
      <c r="A10598" t="s">
        <v>7</v>
      </c>
      <c r="B10598" t="s">
        <v>30</v>
      </c>
      <c r="C10598" t="str">
        <f t="shared" si="332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31"/>
        <v>-14</v>
      </c>
    </row>
    <row r="10599" spans="1:8" x14ac:dyDescent="0.2">
      <c r="A10599" t="s">
        <v>7</v>
      </c>
      <c r="B10599" t="s">
        <v>30</v>
      </c>
      <c r="C10599" t="str">
        <f t="shared" si="332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31"/>
        <v>-14</v>
      </c>
    </row>
    <row r="10600" spans="1:8" x14ac:dyDescent="0.2">
      <c r="A10600" t="s">
        <v>7</v>
      </c>
      <c r="B10600" t="s">
        <v>30</v>
      </c>
      <c r="C10600" t="str">
        <f t="shared" si="332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31"/>
        <v>-14</v>
      </c>
    </row>
    <row r="10601" spans="1:8" x14ac:dyDescent="0.2">
      <c r="A10601" t="s">
        <v>7</v>
      </c>
      <c r="B10601" t="s">
        <v>30</v>
      </c>
      <c r="C10601" t="str">
        <f t="shared" si="332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31"/>
        <v>-14</v>
      </c>
    </row>
    <row r="10602" spans="1:8" x14ac:dyDescent="0.2">
      <c r="A10602" t="s">
        <v>7</v>
      </c>
      <c r="B10602" t="s">
        <v>30</v>
      </c>
      <c r="C10602" t="str">
        <f t="shared" si="332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31"/>
        <v>-14</v>
      </c>
    </row>
    <row r="10603" spans="1:8" x14ac:dyDescent="0.2">
      <c r="A10603" t="s">
        <v>18</v>
      </c>
      <c r="B10603" t="s">
        <v>30</v>
      </c>
      <c r="C10603" t="str">
        <f t="shared" si="332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31"/>
        <v>-20</v>
      </c>
    </row>
    <row r="10604" spans="1:8" x14ac:dyDescent="0.2">
      <c r="A10604" t="s">
        <v>18</v>
      </c>
      <c r="B10604" t="s">
        <v>30</v>
      </c>
      <c r="C10604" t="str">
        <f t="shared" si="332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31"/>
        <v>-15</v>
      </c>
    </row>
    <row r="10605" spans="1:8" x14ac:dyDescent="0.2">
      <c r="A10605" t="s">
        <v>18</v>
      </c>
      <c r="B10605" t="s">
        <v>30</v>
      </c>
      <c r="C10605" t="str">
        <f t="shared" si="332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31"/>
        <v>-15</v>
      </c>
    </row>
    <row r="10606" spans="1:8" x14ac:dyDescent="0.2">
      <c r="A10606" t="s">
        <v>18</v>
      </c>
      <c r="B10606" t="s">
        <v>30</v>
      </c>
      <c r="C10606" t="str">
        <f t="shared" si="332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31"/>
        <v>-15</v>
      </c>
    </row>
    <row r="10607" spans="1:8" x14ac:dyDescent="0.2">
      <c r="A10607" t="s">
        <v>18</v>
      </c>
      <c r="B10607" t="s">
        <v>30</v>
      </c>
      <c r="C10607" t="str">
        <f t="shared" si="332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31"/>
        <v>-15</v>
      </c>
    </row>
    <row r="10608" spans="1:8" x14ac:dyDescent="0.2">
      <c r="A10608" t="s">
        <v>19</v>
      </c>
      <c r="B10608" t="s">
        <v>30</v>
      </c>
      <c r="C10608" t="str">
        <f t="shared" si="332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si="331"/>
        <v>-15</v>
      </c>
    </row>
    <row r="10609" spans="1:8" x14ac:dyDescent="0.2">
      <c r="A10609" t="s">
        <v>18</v>
      </c>
      <c r="B10609" t="s">
        <v>30</v>
      </c>
      <c r="C10609" t="str">
        <f t="shared" si="332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31"/>
        <v>-15</v>
      </c>
    </row>
    <row r="10610" spans="1:8" x14ac:dyDescent="0.2">
      <c r="A10610" t="s">
        <v>19</v>
      </c>
      <c r="B10610" t="s">
        <v>30</v>
      </c>
      <c r="C10610" t="str">
        <f t="shared" si="332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31"/>
        <v>-15</v>
      </c>
    </row>
    <row r="10611" spans="1:8" x14ac:dyDescent="0.2">
      <c r="A10611" t="s">
        <v>18</v>
      </c>
      <c r="B10611" t="s">
        <v>30</v>
      </c>
      <c r="C10611" t="str">
        <f t="shared" si="332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31"/>
        <v>-20</v>
      </c>
    </row>
    <row r="10612" spans="1:8" x14ac:dyDescent="0.2">
      <c r="A10612" t="s">
        <v>18</v>
      </c>
      <c r="B10612" t="s">
        <v>30</v>
      </c>
      <c r="C10612" t="str">
        <f t="shared" si="332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31"/>
        <v>-15</v>
      </c>
    </row>
    <row r="10613" spans="1:8" x14ac:dyDescent="0.2">
      <c r="A10613" t="s">
        <v>18</v>
      </c>
      <c r="B10613" t="s">
        <v>30</v>
      </c>
      <c r="C10613" t="str">
        <f t="shared" si="332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31"/>
        <v>-15</v>
      </c>
    </row>
    <row r="10614" spans="1:8" x14ac:dyDescent="0.2">
      <c r="A10614" t="s">
        <v>18</v>
      </c>
      <c r="B10614" t="s">
        <v>30</v>
      </c>
      <c r="C10614" t="str">
        <f t="shared" si="332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31"/>
        <v>-15</v>
      </c>
    </row>
    <row r="10615" spans="1:8" x14ac:dyDescent="0.2">
      <c r="A10615" t="s">
        <v>18</v>
      </c>
      <c r="B10615" t="s">
        <v>30</v>
      </c>
      <c r="C10615" t="str">
        <f t="shared" si="332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31"/>
        <v>-15</v>
      </c>
    </row>
    <row r="10616" spans="1:8" x14ac:dyDescent="0.2">
      <c r="A10616" t="s">
        <v>18</v>
      </c>
      <c r="B10616" t="s">
        <v>30</v>
      </c>
      <c r="C10616" t="str">
        <f t="shared" si="332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31"/>
        <v>-15</v>
      </c>
    </row>
    <row r="10617" spans="1:8" x14ac:dyDescent="0.2">
      <c r="A10617" t="s">
        <v>19</v>
      </c>
      <c r="B10617" t="s">
        <v>30</v>
      </c>
      <c r="C10617" t="str">
        <f t="shared" si="332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31"/>
        <v>-15</v>
      </c>
    </row>
    <row r="10618" spans="1:8" x14ac:dyDescent="0.2">
      <c r="A10618" t="s">
        <v>18</v>
      </c>
      <c r="B10618" t="s">
        <v>30</v>
      </c>
      <c r="C10618" t="str">
        <f t="shared" si="332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31"/>
        <v>-15</v>
      </c>
    </row>
    <row r="10619" spans="1:8" x14ac:dyDescent="0.2">
      <c r="A10619" t="s">
        <v>18</v>
      </c>
      <c r="B10619" t="s">
        <v>30</v>
      </c>
      <c r="C10619" t="str">
        <f t="shared" si="332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31"/>
        <v>-15</v>
      </c>
    </row>
    <row r="10620" spans="1:8" x14ac:dyDescent="0.2">
      <c r="A10620" t="s">
        <v>18</v>
      </c>
      <c r="B10620" t="s">
        <v>30</v>
      </c>
      <c r="C10620" t="str">
        <f t="shared" si="332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31"/>
        <v>-15</v>
      </c>
    </row>
    <row r="10621" spans="1:8" x14ac:dyDescent="0.2">
      <c r="A10621" t="s">
        <v>19</v>
      </c>
      <c r="B10621" t="s">
        <v>30</v>
      </c>
      <c r="C10621" t="str">
        <f t="shared" si="332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31"/>
        <v>-15</v>
      </c>
    </row>
    <row r="10622" spans="1:8" x14ac:dyDescent="0.2">
      <c r="A10622" t="s">
        <v>18</v>
      </c>
      <c r="B10622" t="s">
        <v>30</v>
      </c>
      <c r="C10622" t="str">
        <f t="shared" si="332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31"/>
        <v>-15</v>
      </c>
    </row>
    <row r="10623" spans="1:8" x14ac:dyDescent="0.2">
      <c r="A10623" t="s">
        <v>18</v>
      </c>
      <c r="B10623" t="s">
        <v>30</v>
      </c>
      <c r="C10623" t="str">
        <f t="shared" si="332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31"/>
        <v>-15</v>
      </c>
    </row>
    <row r="10624" spans="1:8" x14ac:dyDescent="0.2">
      <c r="A10624" t="s">
        <v>18</v>
      </c>
      <c r="B10624" t="s">
        <v>30</v>
      </c>
      <c r="C10624" t="str">
        <f t="shared" si="332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31"/>
        <v>-15</v>
      </c>
    </row>
    <row r="10625" spans="1:8" x14ac:dyDescent="0.2">
      <c r="A10625" t="s">
        <v>18</v>
      </c>
      <c r="B10625" t="s">
        <v>30</v>
      </c>
      <c r="C10625" t="str">
        <f t="shared" si="332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31"/>
        <v>-15</v>
      </c>
    </row>
    <row r="10626" spans="1:8" x14ac:dyDescent="0.2">
      <c r="A10626" t="s">
        <v>19</v>
      </c>
      <c r="B10626" t="s">
        <v>30</v>
      </c>
      <c r="C10626" t="str">
        <f t="shared" si="332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31"/>
        <v>-15</v>
      </c>
    </row>
    <row r="10627" spans="1:8" x14ac:dyDescent="0.2">
      <c r="A10627" t="s">
        <v>18</v>
      </c>
      <c r="B10627" t="s">
        <v>30</v>
      </c>
      <c r="C10627" t="str">
        <f t="shared" si="332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ref="H10627:H10690" si="333">F10627-G10627</f>
        <v>-15</v>
      </c>
    </row>
    <row r="10628" spans="1:8" x14ac:dyDescent="0.2">
      <c r="A10628" t="s">
        <v>18</v>
      </c>
      <c r="B10628" t="s">
        <v>30</v>
      </c>
      <c r="C10628" t="str">
        <f t="shared" si="332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33"/>
        <v>-15</v>
      </c>
    </row>
    <row r="10629" spans="1:8" x14ac:dyDescent="0.2">
      <c r="A10629" t="s">
        <v>18</v>
      </c>
      <c r="B10629" t="s">
        <v>30</v>
      </c>
      <c r="C10629" t="str">
        <f t="shared" ref="C10629:C10692" si="334">IF(H10629&gt;=0,"Cumple","No cumple")</f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33"/>
        <v>-15</v>
      </c>
    </row>
    <row r="10630" spans="1:8" x14ac:dyDescent="0.2">
      <c r="A10630" t="s">
        <v>18</v>
      </c>
      <c r="B10630" t="s">
        <v>30</v>
      </c>
      <c r="C10630" t="str">
        <f t="shared" si="334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33"/>
        <v>-15</v>
      </c>
    </row>
    <row r="10631" spans="1:8" x14ac:dyDescent="0.2">
      <c r="A10631" t="s">
        <v>18</v>
      </c>
      <c r="B10631" t="s">
        <v>30</v>
      </c>
      <c r="C10631" t="str">
        <f t="shared" si="334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33"/>
        <v>-20</v>
      </c>
    </row>
    <row r="10632" spans="1:8" x14ac:dyDescent="0.2">
      <c r="A10632" t="s">
        <v>18</v>
      </c>
      <c r="B10632" t="s">
        <v>30</v>
      </c>
      <c r="C10632" t="str">
        <f t="shared" si="334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33"/>
        <v>-15</v>
      </c>
    </row>
    <row r="10633" spans="1:8" x14ac:dyDescent="0.2">
      <c r="A10633" t="s">
        <v>18</v>
      </c>
      <c r="B10633" t="s">
        <v>30</v>
      </c>
      <c r="C10633" t="str">
        <f t="shared" si="334"/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33"/>
        <v>-15</v>
      </c>
    </row>
    <row r="10634" spans="1:8" x14ac:dyDescent="0.2">
      <c r="A10634" t="s">
        <v>18</v>
      </c>
      <c r="B10634" t="s">
        <v>30</v>
      </c>
      <c r="C10634" t="str">
        <f t="shared" si="334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33"/>
        <v>-15</v>
      </c>
    </row>
    <row r="10635" spans="1:8" x14ac:dyDescent="0.2">
      <c r="A10635" t="s">
        <v>18</v>
      </c>
      <c r="B10635" t="s">
        <v>30</v>
      </c>
      <c r="C10635" t="str">
        <f t="shared" si="334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33"/>
        <v>-15</v>
      </c>
    </row>
    <row r="10636" spans="1:8" x14ac:dyDescent="0.2">
      <c r="A10636" t="s">
        <v>18</v>
      </c>
      <c r="B10636" t="s">
        <v>30</v>
      </c>
      <c r="C10636" t="str">
        <f t="shared" si="334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33"/>
        <v>-15</v>
      </c>
    </row>
    <row r="10637" spans="1:8" x14ac:dyDescent="0.2">
      <c r="A10637" t="s">
        <v>18</v>
      </c>
      <c r="B10637" t="s">
        <v>30</v>
      </c>
      <c r="C10637" t="str">
        <f t="shared" si="334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33"/>
        <v>-15</v>
      </c>
    </row>
    <row r="10638" spans="1:8" x14ac:dyDescent="0.2">
      <c r="A10638" t="s">
        <v>7</v>
      </c>
      <c r="B10638" t="s">
        <v>30</v>
      </c>
      <c r="C10638" t="str">
        <f t="shared" si="334"/>
        <v>Cumple</v>
      </c>
      <c r="D10638">
        <v>9575</v>
      </c>
      <c r="E10638" t="s">
        <v>13</v>
      </c>
      <c r="F10638">
        <v>16</v>
      </c>
      <c r="G10638">
        <v>6</v>
      </c>
      <c r="H10638">
        <f t="shared" si="333"/>
        <v>10</v>
      </c>
    </row>
    <row r="10639" spans="1:8" x14ac:dyDescent="0.2">
      <c r="A10639" t="s">
        <v>7</v>
      </c>
      <c r="B10639" t="s">
        <v>30</v>
      </c>
      <c r="C10639" t="str">
        <f t="shared" si="334"/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si="333"/>
        <v>7</v>
      </c>
    </row>
    <row r="10640" spans="1:8" x14ac:dyDescent="0.2">
      <c r="A10640" t="s">
        <v>7</v>
      </c>
      <c r="B10640" t="s">
        <v>30</v>
      </c>
      <c r="C10640" t="str">
        <f t="shared" si="334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33"/>
        <v>6</v>
      </c>
    </row>
    <row r="10641" spans="1:8" x14ac:dyDescent="0.2">
      <c r="A10641" t="s">
        <v>7</v>
      </c>
      <c r="B10641" t="s">
        <v>30</v>
      </c>
      <c r="C10641" t="str">
        <f t="shared" si="334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33"/>
        <v>9</v>
      </c>
    </row>
    <row r="10642" spans="1:8" x14ac:dyDescent="0.2">
      <c r="A10642" t="s">
        <v>7</v>
      </c>
      <c r="B10642" t="s">
        <v>30</v>
      </c>
      <c r="C10642" t="str">
        <f t="shared" si="334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33"/>
        <v>6</v>
      </c>
    </row>
    <row r="10643" spans="1:8" x14ac:dyDescent="0.2">
      <c r="A10643" t="s">
        <v>7</v>
      </c>
      <c r="B10643" t="s">
        <v>30</v>
      </c>
      <c r="C10643" t="str">
        <f t="shared" si="334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33"/>
        <v>6</v>
      </c>
    </row>
    <row r="10644" spans="1:8" x14ac:dyDescent="0.2">
      <c r="A10644" t="s">
        <v>7</v>
      </c>
      <c r="B10644" t="s">
        <v>30</v>
      </c>
      <c r="C10644" t="str">
        <f t="shared" si="334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33"/>
        <v>6</v>
      </c>
    </row>
    <row r="10645" spans="1:8" x14ac:dyDescent="0.2">
      <c r="A10645" t="s">
        <v>7</v>
      </c>
      <c r="B10645" t="s">
        <v>30</v>
      </c>
      <c r="C10645" t="str">
        <f t="shared" si="334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33"/>
        <v>5</v>
      </c>
    </row>
    <row r="10646" spans="1:8" x14ac:dyDescent="0.2">
      <c r="A10646" t="s">
        <v>7</v>
      </c>
      <c r="B10646" t="s">
        <v>30</v>
      </c>
      <c r="C10646" t="str">
        <f t="shared" si="334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33"/>
        <v>5</v>
      </c>
    </row>
    <row r="10647" spans="1:8" x14ac:dyDescent="0.2">
      <c r="A10647" t="s">
        <v>7</v>
      </c>
      <c r="B10647" t="s">
        <v>30</v>
      </c>
      <c r="C10647" t="str">
        <f t="shared" si="334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33"/>
        <v>5</v>
      </c>
    </row>
    <row r="10648" spans="1:8" x14ac:dyDescent="0.2">
      <c r="A10648" t="s">
        <v>7</v>
      </c>
      <c r="B10648" t="s">
        <v>30</v>
      </c>
      <c r="C10648" t="str">
        <f t="shared" si="334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33"/>
        <v>5</v>
      </c>
    </row>
    <row r="10649" spans="1:8" x14ac:dyDescent="0.2">
      <c r="A10649" t="s">
        <v>7</v>
      </c>
      <c r="B10649" t="s">
        <v>30</v>
      </c>
      <c r="C10649" t="str">
        <f t="shared" si="334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33"/>
        <v>5</v>
      </c>
    </row>
    <row r="10650" spans="1:8" x14ac:dyDescent="0.2">
      <c r="A10650" t="s">
        <v>7</v>
      </c>
      <c r="B10650" t="s">
        <v>30</v>
      </c>
      <c r="C10650" t="str">
        <f t="shared" si="334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33"/>
        <v>5</v>
      </c>
    </row>
    <row r="10651" spans="1:8" x14ac:dyDescent="0.2">
      <c r="A10651" t="s">
        <v>7</v>
      </c>
      <c r="B10651" t="s">
        <v>30</v>
      </c>
      <c r="C10651" t="str">
        <f t="shared" si="334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33"/>
        <v>5</v>
      </c>
    </row>
    <row r="10652" spans="1:8" x14ac:dyDescent="0.2">
      <c r="A10652" t="s">
        <v>7</v>
      </c>
      <c r="B10652" t="s">
        <v>30</v>
      </c>
      <c r="C10652" t="str">
        <f t="shared" si="334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33"/>
        <v>5</v>
      </c>
    </row>
    <row r="10653" spans="1:8" x14ac:dyDescent="0.2">
      <c r="A10653" t="s">
        <v>7</v>
      </c>
      <c r="B10653" t="s">
        <v>30</v>
      </c>
      <c r="C10653" t="str">
        <f t="shared" si="334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33"/>
        <v>4</v>
      </c>
    </row>
    <row r="10654" spans="1:8" x14ac:dyDescent="0.2">
      <c r="A10654" t="s">
        <v>7</v>
      </c>
      <c r="B10654" t="s">
        <v>30</v>
      </c>
      <c r="C10654" t="str">
        <f t="shared" si="334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33"/>
        <v>4</v>
      </c>
    </row>
    <row r="10655" spans="1:8" x14ac:dyDescent="0.2">
      <c r="A10655" t="s">
        <v>7</v>
      </c>
      <c r="B10655" t="s">
        <v>30</v>
      </c>
      <c r="C10655" t="str">
        <f t="shared" si="334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33"/>
        <v>4</v>
      </c>
    </row>
    <row r="10656" spans="1:8" x14ac:dyDescent="0.2">
      <c r="A10656" t="s">
        <v>7</v>
      </c>
      <c r="B10656" t="s">
        <v>30</v>
      </c>
      <c r="C10656" t="str">
        <f t="shared" si="334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33"/>
        <v>4</v>
      </c>
    </row>
    <row r="10657" spans="1:8" x14ac:dyDescent="0.2">
      <c r="A10657" t="s">
        <v>7</v>
      </c>
      <c r="B10657" t="s">
        <v>30</v>
      </c>
      <c r="C10657" t="str">
        <f t="shared" si="334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33"/>
        <v>4</v>
      </c>
    </row>
    <row r="10658" spans="1:8" x14ac:dyDescent="0.2">
      <c r="A10658" t="s">
        <v>7</v>
      </c>
      <c r="B10658" t="s">
        <v>30</v>
      </c>
      <c r="C10658" t="str">
        <f t="shared" si="334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33"/>
        <v>4</v>
      </c>
    </row>
    <row r="10659" spans="1:8" x14ac:dyDescent="0.2">
      <c r="A10659" t="s">
        <v>7</v>
      </c>
      <c r="B10659" t="s">
        <v>30</v>
      </c>
      <c r="C10659" t="str">
        <f t="shared" si="334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33"/>
        <v>4</v>
      </c>
    </row>
    <row r="10660" spans="1:8" x14ac:dyDescent="0.2">
      <c r="A10660" t="s">
        <v>7</v>
      </c>
      <c r="B10660" t="s">
        <v>30</v>
      </c>
      <c r="C10660" t="str">
        <f t="shared" si="334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33"/>
        <v>3</v>
      </c>
    </row>
    <row r="10661" spans="1:8" x14ac:dyDescent="0.2">
      <c r="A10661" t="s">
        <v>7</v>
      </c>
      <c r="B10661" t="s">
        <v>30</v>
      </c>
      <c r="C10661" t="str">
        <f t="shared" si="334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33"/>
        <v>3</v>
      </c>
    </row>
    <row r="10662" spans="1:8" x14ac:dyDescent="0.2">
      <c r="A10662" t="s">
        <v>7</v>
      </c>
      <c r="B10662" t="s">
        <v>30</v>
      </c>
      <c r="C10662" t="str">
        <f t="shared" si="334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33"/>
        <v>3</v>
      </c>
    </row>
    <row r="10663" spans="1:8" x14ac:dyDescent="0.2">
      <c r="A10663" t="s">
        <v>7</v>
      </c>
      <c r="B10663" t="s">
        <v>30</v>
      </c>
      <c r="C10663" t="str">
        <f t="shared" si="334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33"/>
        <v>3</v>
      </c>
    </row>
    <row r="10664" spans="1:8" x14ac:dyDescent="0.2">
      <c r="A10664" t="s">
        <v>7</v>
      </c>
      <c r="B10664" t="s">
        <v>30</v>
      </c>
      <c r="C10664" t="str">
        <f t="shared" si="334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33"/>
        <v>3</v>
      </c>
    </row>
    <row r="10665" spans="1:8" x14ac:dyDescent="0.2">
      <c r="A10665" t="s">
        <v>7</v>
      </c>
      <c r="B10665" t="s">
        <v>30</v>
      </c>
      <c r="C10665" t="str">
        <f t="shared" si="334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33"/>
        <v>3</v>
      </c>
    </row>
    <row r="10666" spans="1:8" x14ac:dyDescent="0.2">
      <c r="A10666" t="s">
        <v>7</v>
      </c>
      <c r="B10666" t="s">
        <v>30</v>
      </c>
      <c r="C10666" t="str">
        <f t="shared" si="334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33"/>
        <v>3</v>
      </c>
    </row>
    <row r="10667" spans="1:8" x14ac:dyDescent="0.2">
      <c r="A10667" t="s">
        <v>7</v>
      </c>
      <c r="B10667" t="s">
        <v>30</v>
      </c>
      <c r="C10667" t="str">
        <f t="shared" si="334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33"/>
        <v>6</v>
      </c>
    </row>
    <row r="10668" spans="1:8" x14ac:dyDescent="0.2">
      <c r="A10668" t="s">
        <v>7</v>
      </c>
      <c r="B10668" t="s">
        <v>30</v>
      </c>
      <c r="C10668" t="str">
        <f t="shared" si="334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33"/>
        <v>6</v>
      </c>
    </row>
    <row r="10669" spans="1:8" x14ac:dyDescent="0.2">
      <c r="A10669" t="s">
        <v>7</v>
      </c>
      <c r="B10669" t="s">
        <v>30</v>
      </c>
      <c r="C10669" t="str">
        <f t="shared" si="334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33"/>
        <v>3</v>
      </c>
    </row>
    <row r="10670" spans="1:8" x14ac:dyDescent="0.2">
      <c r="A10670" t="s">
        <v>7</v>
      </c>
      <c r="B10670" t="s">
        <v>30</v>
      </c>
      <c r="C10670" t="str">
        <f t="shared" si="334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33"/>
        <v>2</v>
      </c>
    </row>
    <row r="10671" spans="1:8" x14ac:dyDescent="0.2">
      <c r="A10671" t="s">
        <v>7</v>
      </c>
      <c r="B10671" t="s">
        <v>30</v>
      </c>
      <c r="C10671" t="str">
        <f t="shared" si="334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33"/>
        <v>2</v>
      </c>
    </row>
    <row r="10672" spans="1:8" x14ac:dyDescent="0.2">
      <c r="A10672" t="s">
        <v>7</v>
      </c>
      <c r="B10672" t="s">
        <v>30</v>
      </c>
      <c r="C10672" t="str">
        <f t="shared" si="334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33"/>
        <v>2</v>
      </c>
    </row>
    <row r="10673" spans="1:8" x14ac:dyDescent="0.2">
      <c r="A10673" t="s">
        <v>7</v>
      </c>
      <c r="B10673" t="s">
        <v>30</v>
      </c>
      <c r="C10673" t="str">
        <f t="shared" si="334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33"/>
        <v>2</v>
      </c>
    </row>
    <row r="10674" spans="1:8" x14ac:dyDescent="0.2">
      <c r="A10674" t="s">
        <v>7</v>
      </c>
      <c r="B10674" t="s">
        <v>30</v>
      </c>
      <c r="C10674" t="str">
        <f t="shared" si="334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33"/>
        <v>2</v>
      </c>
    </row>
    <row r="10675" spans="1:8" x14ac:dyDescent="0.2">
      <c r="A10675" t="s">
        <v>7</v>
      </c>
      <c r="B10675" t="s">
        <v>30</v>
      </c>
      <c r="C10675" t="str">
        <f t="shared" si="334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33"/>
        <v>2</v>
      </c>
    </row>
    <row r="10676" spans="1:8" x14ac:dyDescent="0.2">
      <c r="A10676" t="s">
        <v>7</v>
      </c>
      <c r="B10676" t="s">
        <v>30</v>
      </c>
      <c r="C10676" t="str">
        <f t="shared" si="334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33"/>
        <v>2</v>
      </c>
    </row>
    <row r="10677" spans="1:8" x14ac:dyDescent="0.2">
      <c r="A10677" t="s">
        <v>7</v>
      </c>
      <c r="B10677" t="s">
        <v>30</v>
      </c>
      <c r="C10677" t="str">
        <f t="shared" si="334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33"/>
        <v>5</v>
      </c>
    </row>
    <row r="10678" spans="1:8" x14ac:dyDescent="0.2">
      <c r="A10678" t="s">
        <v>7</v>
      </c>
      <c r="B10678" t="s">
        <v>30</v>
      </c>
      <c r="C10678" t="str">
        <f t="shared" si="334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33"/>
        <v>2</v>
      </c>
    </row>
    <row r="10679" spans="1:8" x14ac:dyDescent="0.2">
      <c r="A10679" t="s">
        <v>7</v>
      </c>
      <c r="B10679" t="s">
        <v>30</v>
      </c>
      <c r="C10679" t="str">
        <f t="shared" si="334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33"/>
        <v>2</v>
      </c>
    </row>
    <row r="10680" spans="1:8" x14ac:dyDescent="0.2">
      <c r="A10680" t="s">
        <v>7</v>
      </c>
      <c r="B10680" t="s">
        <v>30</v>
      </c>
      <c r="C10680" t="str">
        <f t="shared" si="334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33"/>
        <v>2</v>
      </c>
    </row>
    <row r="10681" spans="1:8" x14ac:dyDescent="0.2">
      <c r="A10681" t="s">
        <v>7</v>
      </c>
      <c r="B10681" t="s">
        <v>30</v>
      </c>
      <c r="C10681" t="str">
        <f t="shared" si="334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33"/>
        <v>2</v>
      </c>
    </row>
    <row r="10682" spans="1:8" x14ac:dyDescent="0.2">
      <c r="A10682" t="s">
        <v>7</v>
      </c>
      <c r="B10682" t="s">
        <v>30</v>
      </c>
      <c r="C10682" t="str">
        <f t="shared" si="334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33"/>
        <v>2</v>
      </c>
    </row>
    <row r="10683" spans="1:8" x14ac:dyDescent="0.2">
      <c r="A10683" t="s">
        <v>7</v>
      </c>
      <c r="B10683" t="s">
        <v>30</v>
      </c>
      <c r="C10683" t="str">
        <f t="shared" si="334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33"/>
        <v>5</v>
      </c>
    </row>
    <row r="10684" spans="1:8" x14ac:dyDescent="0.2">
      <c r="A10684" t="s">
        <v>7</v>
      </c>
      <c r="B10684" t="s">
        <v>30</v>
      </c>
      <c r="C10684" t="str">
        <f t="shared" si="334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33"/>
        <v>2</v>
      </c>
    </row>
    <row r="10685" spans="1:8" x14ac:dyDescent="0.2">
      <c r="A10685" t="s">
        <v>7</v>
      </c>
      <c r="B10685" t="s">
        <v>30</v>
      </c>
      <c r="C10685" t="str">
        <f t="shared" si="334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33"/>
        <v>2</v>
      </c>
    </row>
    <row r="10686" spans="1:8" x14ac:dyDescent="0.2">
      <c r="A10686" t="s">
        <v>7</v>
      </c>
      <c r="B10686" t="s">
        <v>30</v>
      </c>
      <c r="C10686" t="str">
        <f t="shared" si="334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33"/>
        <v>1</v>
      </c>
    </row>
    <row r="10687" spans="1:8" x14ac:dyDescent="0.2">
      <c r="A10687" t="s">
        <v>7</v>
      </c>
      <c r="B10687" t="s">
        <v>30</v>
      </c>
      <c r="C10687" t="str">
        <f t="shared" si="334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33"/>
        <v>1</v>
      </c>
    </row>
    <row r="10688" spans="1:8" x14ac:dyDescent="0.2">
      <c r="A10688" t="s">
        <v>7</v>
      </c>
      <c r="B10688" t="s">
        <v>30</v>
      </c>
      <c r="C10688" t="str">
        <f t="shared" si="334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33"/>
        <v>4</v>
      </c>
    </row>
    <row r="10689" spans="1:8" x14ac:dyDescent="0.2">
      <c r="A10689" t="s">
        <v>7</v>
      </c>
      <c r="B10689" t="s">
        <v>30</v>
      </c>
      <c r="C10689" t="str">
        <f t="shared" si="334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33"/>
        <v>1</v>
      </c>
    </row>
    <row r="10690" spans="1:8" x14ac:dyDescent="0.2">
      <c r="A10690" t="s">
        <v>7</v>
      </c>
      <c r="B10690" t="s">
        <v>30</v>
      </c>
      <c r="C10690" t="str">
        <f t="shared" si="334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33"/>
        <v>4</v>
      </c>
    </row>
    <row r="10691" spans="1:8" x14ac:dyDescent="0.2">
      <c r="A10691" t="s">
        <v>7</v>
      </c>
      <c r="B10691" t="s">
        <v>30</v>
      </c>
      <c r="C10691" t="str">
        <f t="shared" si="334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ref="H10691:H10754" si="335">F10691-G10691</f>
        <v>1</v>
      </c>
    </row>
    <row r="10692" spans="1:8" x14ac:dyDescent="0.2">
      <c r="A10692" t="s">
        <v>7</v>
      </c>
      <c r="B10692" t="s">
        <v>30</v>
      </c>
      <c r="C10692" t="str">
        <f t="shared" si="334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35"/>
        <v>4</v>
      </c>
    </row>
    <row r="10693" spans="1:8" x14ac:dyDescent="0.2">
      <c r="A10693" t="s">
        <v>7</v>
      </c>
      <c r="B10693" t="s">
        <v>30</v>
      </c>
      <c r="C10693" t="str">
        <f t="shared" ref="C10693:C10756" si="336">IF(H10693&gt;=0,"Cumple","No cumple")</f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35"/>
        <v>1</v>
      </c>
    </row>
    <row r="10694" spans="1:8" x14ac:dyDescent="0.2">
      <c r="A10694" t="s">
        <v>7</v>
      </c>
      <c r="B10694" t="s">
        <v>30</v>
      </c>
      <c r="C10694" t="str">
        <f t="shared" si="33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35"/>
        <v>4</v>
      </c>
    </row>
    <row r="10695" spans="1:8" x14ac:dyDescent="0.2">
      <c r="A10695" t="s">
        <v>7</v>
      </c>
      <c r="B10695" t="s">
        <v>30</v>
      </c>
      <c r="C10695" t="str">
        <f t="shared" si="33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35"/>
        <v>1</v>
      </c>
    </row>
    <row r="10696" spans="1:8" x14ac:dyDescent="0.2">
      <c r="A10696" t="s">
        <v>7</v>
      </c>
      <c r="B10696" t="s">
        <v>30</v>
      </c>
      <c r="C10696" t="str">
        <f t="shared" si="33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35"/>
        <v>1</v>
      </c>
    </row>
    <row r="10697" spans="1:8" x14ac:dyDescent="0.2">
      <c r="A10697" t="s">
        <v>7</v>
      </c>
      <c r="B10697" t="s">
        <v>30</v>
      </c>
      <c r="C10697" t="str">
        <f t="shared" si="33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35"/>
        <v>1</v>
      </c>
    </row>
    <row r="10698" spans="1:8" x14ac:dyDescent="0.2">
      <c r="A10698" t="s">
        <v>7</v>
      </c>
      <c r="B10698" t="s">
        <v>30</v>
      </c>
      <c r="C10698" t="str">
        <f t="shared" si="33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35"/>
        <v>1</v>
      </c>
    </row>
    <row r="10699" spans="1:8" x14ac:dyDescent="0.2">
      <c r="A10699" t="s">
        <v>7</v>
      </c>
      <c r="B10699" t="s">
        <v>30</v>
      </c>
      <c r="C10699" t="str">
        <f t="shared" si="33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35"/>
        <v>4</v>
      </c>
    </row>
    <row r="10700" spans="1:8" x14ac:dyDescent="0.2">
      <c r="A10700" t="s">
        <v>7</v>
      </c>
      <c r="B10700" t="s">
        <v>30</v>
      </c>
      <c r="C10700" t="str">
        <f t="shared" si="33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35"/>
        <v>1</v>
      </c>
    </row>
    <row r="10701" spans="1:8" x14ac:dyDescent="0.2">
      <c r="A10701" t="s">
        <v>7</v>
      </c>
      <c r="B10701" t="s">
        <v>30</v>
      </c>
      <c r="C10701" t="str">
        <f t="shared" si="33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35"/>
        <v>1</v>
      </c>
    </row>
    <row r="10702" spans="1:8" x14ac:dyDescent="0.2">
      <c r="A10702" t="s">
        <v>7</v>
      </c>
      <c r="B10702" t="s">
        <v>30</v>
      </c>
      <c r="C10702" t="str">
        <f t="shared" si="33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35"/>
        <v>1</v>
      </c>
    </row>
    <row r="10703" spans="1:8" x14ac:dyDescent="0.2">
      <c r="A10703" t="s">
        <v>7</v>
      </c>
      <c r="B10703" t="s">
        <v>30</v>
      </c>
      <c r="C10703" t="str">
        <f t="shared" si="336"/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si="335"/>
        <v>1</v>
      </c>
    </row>
    <row r="10704" spans="1:8" x14ac:dyDescent="0.2">
      <c r="A10704" t="s">
        <v>7</v>
      </c>
      <c r="B10704" t="s">
        <v>30</v>
      </c>
      <c r="C10704" t="str">
        <f t="shared" si="336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35"/>
        <v>1</v>
      </c>
    </row>
    <row r="10705" spans="1:8" x14ac:dyDescent="0.2">
      <c r="A10705" t="s">
        <v>7</v>
      </c>
      <c r="B10705" t="s">
        <v>30</v>
      </c>
      <c r="C10705" t="str">
        <f t="shared" si="336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35"/>
        <v>4</v>
      </c>
    </row>
    <row r="10706" spans="1:8" x14ac:dyDescent="0.2">
      <c r="A10706" t="s">
        <v>7</v>
      </c>
      <c r="B10706" t="s">
        <v>30</v>
      </c>
      <c r="C10706" t="str">
        <f t="shared" si="336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35"/>
        <v>4</v>
      </c>
    </row>
    <row r="10707" spans="1:8" x14ac:dyDescent="0.2">
      <c r="A10707" t="s">
        <v>7</v>
      </c>
      <c r="B10707" t="s">
        <v>30</v>
      </c>
      <c r="C10707" t="str">
        <f t="shared" si="336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35"/>
        <v>1</v>
      </c>
    </row>
    <row r="10708" spans="1:8" x14ac:dyDescent="0.2">
      <c r="A10708" t="s">
        <v>7</v>
      </c>
      <c r="B10708" t="s">
        <v>30</v>
      </c>
      <c r="C10708" t="str">
        <f t="shared" si="336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35"/>
        <v>4</v>
      </c>
    </row>
    <row r="10709" spans="1:8" x14ac:dyDescent="0.2">
      <c r="A10709" t="s">
        <v>7</v>
      </c>
      <c r="B10709" t="s">
        <v>30</v>
      </c>
      <c r="C10709" t="str">
        <f t="shared" si="336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35"/>
        <v>3</v>
      </c>
    </row>
    <row r="10710" spans="1:8" x14ac:dyDescent="0.2">
      <c r="A10710" t="s">
        <v>7</v>
      </c>
      <c r="B10710" t="s">
        <v>30</v>
      </c>
      <c r="C10710" t="str">
        <f t="shared" si="336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35"/>
        <v>0</v>
      </c>
    </row>
    <row r="10711" spans="1:8" x14ac:dyDescent="0.2">
      <c r="A10711" t="s">
        <v>7</v>
      </c>
      <c r="B10711" t="s">
        <v>30</v>
      </c>
      <c r="C10711" t="str">
        <f t="shared" si="336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35"/>
        <v>0</v>
      </c>
    </row>
    <row r="10712" spans="1:8" x14ac:dyDescent="0.2">
      <c r="A10712" t="s">
        <v>7</v>
      </c>
      <c r="B10712" t="s">
        <v>30</v>
      </c>
      <c r="C10712" t="str">
        <f t="shared" si="336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35"/>
        <v>0</v>
      </c>
    </row>
    <row r="10713" spans="1:8" x14ac:dyDescent="0.2">
      <c r="A10713" t="s">
        <v>7</v>
      </c>
      <c r="B10713" t="s">
        <v>30</v>
      </c>
      <c r="C10713" t="str">
        <f t="shared" si="336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35"/>
        <v>0</v>
      </c>
    </row>
    <row r="10714" spans="1:8" x14ac:dyDescent="0.2">
      <c r="A10714" t="s">
        <v>7</v>
      </c>
      <c r="B10714" t="s">
        <v>30</v>
      </c>
      <c r="C10714" t="str">
        <f t="shared" si="336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35"/>
        <v>0</v>
      </c>
    </row>
    <row r="10715" spans="1:8" x14ac:dyDescent="0.2">
      <c r="A10715" t="s">
        <v>7</v>
      </c>
      <c r="B10715" t="s">
        <v>30</v>
      </c>
      <c r="C10715" t="str">
        <f t="shared" si="336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35"/>
        <v>0</v>
      </c>
    </row>
    <row r="10716" spans="1:8" x14ac:dyDescent="0.2">
      <c r="A10716" t="s">
        <v>7</v>
      </c>
      <c r="B10716" t="s">
        <v>30</v>
      </c>
      <c r="C10716" t="str">
        <f t="shared" si="336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35"/>
        <v>0</v>
      </c>
    </row>
    <row r="10717" spans="1:8" x14ac:dyDescent="0.2">
      <c r="A10717" t="s">
        <v>7</v>
      </c>
      <c r="B10717" t="s">
        <v>30</v>
      </c>
      <c r="C10717" t="str">
        <f t="shared" si="336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35"/>
        <v>3</v>
      </c>
    </row>
    <row r="10718" spans="1:8" x14ac:dyDescent="0.2">
      <c r="A10718" t="s">
        <v>7</v>
      </c>
      <c r="B10718" t="s">
        <v>30</v>
      </c>
      <c r="C10718" t="str">
        <f t="shared" si="336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35"/>
        <v>3</v>
      </c>
    </row>
    <row r="10719" spans="1:8" x14ac:dyDescent="0.2">
      <c r="A10719" t="s">
        <v>7</v>
      </c>
      <c r="B10719" t="s">
        <v>30</v>
      </c>
      <c r="C10719" t="str">
        <f t="shared" si="336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35"/>
        <v>3</v>
      </c>
    </row>
    <row r="10720" spans="1:8" x14ac:dyDescent="0.2">
      <c r="A10720" t="s">
        <v>7</v>
      </c>
      <c r="B10720" t="s">
        <v>30</v>
      </c>
      <c r="C10720" t="str">
        <f t="shared" si="336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35"/>
        <v>0</v>
      </c>
    </row>
    <row r="10721" spans="1:8" x14ac:dyDescent="0.2">
      <c r="A10721" t="s">
        <v>7</v>
      </c>
      <c r="B10721" t="s">
        <v>30</v>
      </c>
      <c r="C10721" t="str">
        <f t="shared" si="336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35"/>
        <v>0</v>
      </c>
    </row>
    <row r="10722" spans="1:8" x14ac:dyDescent="0.2">
      <c r="A10722" t="s">
        <v>7</v>
      </c>
      <c r="B10722" t="s">
        <v>30</v>
      </c>
      <c r="C10722" t="str">
        <f t="shared" si="336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35"/>
        <v>0</v>
      </c>
    </row>
    <row r="10723" spans="1:8" x14ac:dyDescent="0.2">
      <c r="A10723" t="s">
        <v>7</v>
      </c>
      <c r="B10723" t="s">
        <v>30</v>
      </c>
      <c r="C10723" t="str">
        <f t="shared" si="336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35"/>
        <v>0</v>
      </c>
    </row>
    <row r="10724" spans="1:8" x14ac:dyDescent="0.2">
      <c r="A10724" t="s">
        <v>7</v>
      </c>
      <c r="B10724" t="s">
        <v>30</v>
      </c>
      <c r="C10724" t="str">
        <f t="shared" si="336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35"/>
        <v>0</v>
      </c>
    </row>
    <row r="10725" spans="1:8" x14ac:dyDescent="0.2">
      <c r="A10725" t="s">
        <v>7</v>
      </c>
      <c r="B10725" t="s">
        <v>30</v>
      </c>
      <c r="C10725" t="str">
        <f t="shared" si="336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35"/>
        <v>3</v>
      </c>
    </row>
    <row r="10726" spans="1:8" x14ac:dyDescent="0.2">
      <c r="A10726" t="s">
        <v>7</v>
      </c>
      <c r="B10726" t="s">
        <v>30</v>
      </c>
      <c r="C10726" t="str">
        <f t="shared" si="336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35"/>
        <v>3</v>
      </c>
    </row>
    <row r="10727" spans="1:8" x14ac:dyDescent="0.2">
      <c r="A10727" t="s">
        <v>7</v>
      </c>
      <c r="B10727" t="s">
        <v>30</v>
      </c>
      <c r="C10727" t="str">
        <f t="shared" si="336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35"/>
        <v>0</v>
      </c>
    </row>
    <row r="10728" spans="1:8" x14ac:dyDescent="0.2">
      <c r="A10728" t="s">
        <v>7</v>
      </c>
      <c r="B10728" t="s">
        <v>30</v>
      </c>
      <c r="C10728" t="str">
        <f t="shared" si="336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35"/>
        <v>0</v>
      </c>
    </row>
    <row r="10729" spans="1:8" x14ac:dyDescent="0.2">
      <c r="A10729" t="s">
        <v>7</v>
      </c>
      <c r="B10729" t="s">
        <v>30</v>
      </c>
      <c r="C10729" t="str">
        <f t="shared" si="336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35"/>
        <v>0</v>
      </c>
    </row>
    <row r="10730" spans="1:8" x14ac:dyDescent="0.2">
      <c r="A10730" t="s">
        <v>7</v>
      </c>
      <c r="B10730" t="s">
        <v>30</v>
      </c>
      <c r="C10730" t="str">
        <f t="shared" si="336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35"/>
        <v>3</v>
      </c>
    </row>
    <row r="10731" spans="1:8" x14ac:dyDescent="0.2">
      <c r="A10731" t="s">
        <v>7</v>
      </c>
      <c r="B10731" t="s">
        <v>30</v>
      </c>
      <c r="C10731" t="str">
        <f t="shared" si="336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35"/>
        <v>0</v>
      </c>
    </row>
    <row r="10732" spans="1:8" x14ac:dyDescent="0.2">
      <c r="A10732" t="s">
        <v>7</v>
      </c>
      <c r="B10732" t="s">
        <v>30</v>
      </c>
      <c r="C10732" t="str">
        <f t="shared" si="336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35"/>
        <v>0</v>
      </c>
    </row>
    <row r="10733" spans="1:8" x14ac:dyDescent="0.2">
      <c r="A10733" t="s">
        <v>7</v>
      </c>
      <c r="B10733" t="s">
        <v>30</v>
      </c>
      <c r="C10733" t="str">
        <f t="shared" si="336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35"/>
        <v>3</v>
      </c>
    </row>
    <row r="10734" spans="1:8" x14ac:dyDescent="0.2">
      <c r="A10734" t="s">
        <v>7</v>
      </c>
      <c r="B10734" t="s">
        <v>30</v>
      </c>
      <c r="C10734" t="str">
        <f t="shared" si="336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35"/>
        <v>3</v>
      </c>
    </row>
    <row r="10735" spans="1:8" x14ac:dyDescent="0.2">
      <c r="A10735" t="s">
        <v>7</v>
      </c>
      <c r="B10735" t="s">
        <v>30</v>
      </c>
      <c r="C10735" t="str">
        <f t="shared" si="336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35"/>
        <v>0</v>
      </c>
    </row>
    <row r="10736" spans="1:8" x14ac:dyDescent="0.2">
      <c r="A10736" t="s">
        <v>7</v>
      </c>
      <c r="B10736" t="s">
        <v>30</v>
      </c>
      <c r="C10736" t="str">
        <f t="shared" si="336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35"/>
        <v>0</v>
      </c>
    </row>
    <row r="10737" spans="1:8" x14ac:dyDescent="0.2">
      <c r="A10737" t="s">
        <v>7</v>
      </c>
      <c r="B10737" t="s">
        <v>30</v>
      </c>
      <c r="C10737" t="str">
        <f t="shared" si="336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35"/>
        <v>3</v>
      </c>
    </row>
    <row r="10738" spans="1:8" x14ac:dyDescent="0.2">
      <c r="A10738" t="s">
        <v>7</v>
      </c>
      <c r="B10738" t="s">
        <v>30</v>
      </c>
      <c r="C10738" t="str">
        <f t="shared" si="336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35"/>
        <v>0</v>
      </c>
    </row>
    <row r="10739" spans="1:8" x14ac:dyDescent="0.2">
      <c r="A10739" t="s">
        <v>7</v>
      </c>
      <c r="B10739" t="s">
        <v>30</v>
      </c>
      <c r="C10739" t="str">
        <f t="shared" si="336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35"/>
        <v>3</v>
      </c>
    </row>
    <row r="10740" spans="1:8" x14ac:dyDescent="0.2">
      <c r="A10740" t="s">
        <v>7</v>
      </c>
      <c r="B10740" t="s">
        <v>30</v>
      </c>
      <c r="C10740" t="str">
        <f t="shared" si="336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35"/>
        <v>2</v>
      </c>
    </row>
    <row r="10741" spans="1:8" x14ac:dyDescent="0.2">
      <c r="A10741" t="s">
        <v>7</v>
      </c>
      <c r="B10741" t="s">
        <v>30</v>
      </c>
      <c r="C10741" t="str">
        <f t="shared" si="336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35"/>
        <v>1</v>
      </c>
    </row>
    <row r="10742" spans="1:8" x14ac:dyDescent="0.2">
      <c r="A10742" t="s">
        <v>7</v>
      </c>
      <c r="B10742" t="s">
        <v>30</v>
      </c>
      <c r="C10742" t="str">
        <f t="shared" si="336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35"/>
        <v>1</v>
      </c>
    </row>
    <row r="10743" spans="1:8" x14ac:dyDescent="0.2">
      <c r="A10743" t="s">
        <v>7</v>
      </c>
      <c r="B10743" t="s">
        <v>30</v>
      </c>
      <c r="C10743" t="str">
        <f t="shared" si="336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35"/>
        <v>2</v>
      </c>
    </row>
    <row r="10744" spans="1:8" x14ac:dyDescent="0.2">
      <c r="A10744" t="s">
        <v>7</v>
      </c>
      <c r="B10744" t="s">
        <v>30</v>
      </c>
      <c r="C10744" t="str">
        <f t="shared" si="336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35"/>
        <v>-1</v>
      </c>
    </row>
    <row r="10745" spans="1:8" x14ac:dyDescent="0.2">
      <c r="A10745" t="s">
        <v>7</v>
      </c>
      <c r="B10745" t="s">
        <v>30</v>
      </c>
      <c r="C10745" t="str">
        <f t="shared" si="336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35"/>
        <v>-1</v>
      </c>
    </row>
    <row r="10746" spans="1:8" x14ac:dyDescent="0.2">
      <c r="A10746" t="s">
        <v>7</v>
      </c>
      <c r="B10746" t="s">
        <v>30</v>
      </c>
      <c r="C10746" t="str">
        <f t="shared" si="336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35"/>
        <v>-1</v>
      </c>
    </row>
    <row r="10747" spans="1:8" x14ac:dyDescent="0.2">
      <c r="A10747" t="s">
        <v>7</v>
      </c>
      <c r="B10747" t="s">
        <v>30</v>
      </c>
      <c r="C10747" t="str">
        <f t="shared" si="336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35"/>
        <v>2</v>
      </c>
    </row>
    <row r="10748" spans="1:8" x14ac:dyDescent="0.2">
      <c r="A10748" t="s">
        <v>7</v>
      </c>
      <c r="B10748" t="s">
        <v>30</v>
      </c>
      <c r="C10748" t="str">
        <f t="shared" si="336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35"/>
        <v>2</v>
      </c>
    </row>
    <row r="10749" spans="1:8" x14ac:dyDescent="0.2">
      <c r="A10749" t="s">
        <v>7</v>
      </c>
      <c r="B10749" t="s">
        <v>30</v>
      </c>
      <c r="C10749" t="str">
        <f t="shared" si="336"/>
        <v>Cumple</v>
      </c>
      <c r="D10749">
        <v>1550</v>
      </c>
      <c r="E10749" t="s">
        <v>13</v>
      </c>
      <c r="F10749" s="9">
        <v>6</v>
      </c>
      <c r="G10749">
        <v>6</v>
      </c>
      <c r="H10749">
        <f t="shared" si="335"/>
        <v>0</v>
      </c>
    </row>
    <row r="10750" spans="1:8" x14ac:dyDescent="0.2">
      <c r="A10750" t="s">
        <v>7</v>
      </c>
      <c r="B10750" t="s">
        <v>30</v>
      </c>
      <c r="C10750" t="str">
        <f t="shared" si="336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35"/>
        <v>2</v>
      </c>
    </row>
    <row r="10751" spans="1:8" x14ac:dyDescent="0.2">
      <c r="A10751" t="s">
        <v>7</v>
      </c>
      <c r="B10751" t="s">
        <v>30</v>
      </c>
      <c r="C10751" t="str">
        <f t="shared" si="336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35"/>
        <v>2</v>
      </c>
    </row>
    <row r="10752" spans="1:8" x14ac:dyDescent="0.2">
      <c r="A10752" t="s">
        <v>7</v>
      </c>
      <c r="B10752" t="s">
        <v>30</v>
      </c>
      <c r="C10752" t="str">
        <f t="shared" si="336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35"/>
        <v>2</v>
      </c>
    </row>
    <row r="10753" spans="1:12" x14ac:dyDescent="0.2">
      <c r="A10753" t="s">
        <v>7</v>
      </c>
      <c r="B10753" t="s">
        <v>30</v>
      </c>
      <c r="C10753" t="str">
        <f t="shared" si="336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35"/>
        <v>-1</v>
      </c>
    </row>
    <row r="10754" spans="1:12" x14ac:dyDescent="0.2">
      <c r="A10754" t="s">
        <v>7</v>
      </c>
      <c r="B10754" t="s">
        <v>30</v>
      </c>
      <c r="C10754" t="str">
        <f t="shared" si="336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35"/>
        <v>2</v>
      </c>
    </row>
    <row r="10755" spans="1:12" x14ac:dyDescent="0.2">
      <c r="A10755" t="s">
        <v>7</v>
      </c>
      <c r="B10755" t="s">
        <v>30</v>
      </c>
      <c r="C10755" t="str">
        <f t="shared" si="336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ref="H10755:H10818" si="337">F10755-G10755</f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36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37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ref="C10757:C10820" si="338">IF(H10757&gt;=0,"Cumple","No cumple")</f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37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3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37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3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37"/>
        <v>2</v>
      </c>
    </row>
    <row r="10760" spans="1:12" x14ac:dyDescent="0.2">
      <c r="A10760" t="s">
        <v>7</v>
      </c>
      <c r="B10760" t="s">
        <v>30</v>
      </c>
      <c r="C10760" t="str">
        <f t="shared" si="33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37"/>
        <v>2</v>
      </c>
    </row>
    <row r="10761" spans="1:12" x14ac:dyDescent="0.2">
      <c r="A10761" t="s">
        <v>7</v>
      </c>
      <c r="B10761" t="s">
        <v>30</v>
      </c>
      <c r="C10761" t="str">
        <f t="shared" si="33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37"/>
        <v>0</v>
      </c>
    </row>
    <row r="10762" spans="1:12" x14ac:dyDescent="0.2">
      <c r="A10762" t="s">
        <v>7</v>
      </c>
      <c r="B10762" t="s">
        <v>30</v>
      </c>
      <c r="C10762" t="str">
        <f t="shared" si="33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37"/>
        <v>-1</v>
      </c>
    </row>
    <row r="10763" spans="1:12" x14ac:dyDescent="0.2">
      <c r="A10763" t="s">
        <v>7</v>
      </c>
      <c r="B10763" t="s">
        <v>30</v>
      </c>
      <c r="C10763" t="str">
        <f t="shared" si="33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37"/>
        <v>0</v>
      </c>
    </row>
    <row r="10764" spans="1:12" x14ac:dyDescent="0.2">
      <c r="A10764" t="s">
        <v>7</v>
      </c>
      <c r="B10764" t="s">
        <v>30</v>
      </c>
      <c r="C10764" t="str">
        <f t="shared" si="33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37"/>
        <v>2</v>
      </c>
    </row>
    <row r="10765" spans="1:12" x14ac:dyDescent="0.2">
      <c r="A10765" t="s">
        <v>7</v>
      </c>
      <c r="B10765" t="s">
        <v>30</v>
      </c>
      <c r="C10765" t="str">
        <f t="shared" si="33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37"/>
        <v>-1</v>
      </c>
    </row>
    <row r="10766" spans="1:12" x14ac:dyDescent="0.2">
      <c r="A10766" t="s">
        <v>7</v>
      </c>
      <c r="B10766" t="s">
        <v>30</v>
      </c>
      <c r="C10766" t="str">
        <f t="shared" si="33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37"/>
        <v>2</v>
      </c>
    </row>
    <row r="10767" spans="1:12" x14ac:dyDescent="0.2">
      <c r="A10767" t="s">
        <v>7</v>
      </c>
      <c r="B10767" t="s">
        <v>30</v>
      </c>
      <c r="C10767" t="str">
        <f t="shared" si="338"/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si="337"/>
        <v>-1</v>
      </c>
    </row>
    <row r="10768" spans="1:12" x14ac:dyDescent="0.2">
      <c r="A10768" t="s">
        <v>7</v>
      </c>
      <c r="B10768" t="s">
        <v>30</v>
      </c>
      <c r="C10768" t="str">
        <f t="shared" si="338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37"/>
        <v>-1</v>
      </c>
    </row>
    <row r="10769" spans="1:8" x14ac:dyDescent="0.2">
      <c r="A10769" t="s">
        <v>7</v>
      </c>
      <c r="B10769" t="s">
        <v>30</v>
      </c>
      <c r="C10769" t="str">
        <f t="shared" si="338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37"/>
        <v>-1</v>
      </c>
    </row>
    <row r="10770" spans="1:8" x14ac:dyDescent="0.2">
      <c r="A10770" t="s">
        <v>7</v>
      </c>
      <c r="B10770" t="s">
        <v>30</v>
      </c>
      <c r="C10770" t="str">
        <f t="shared" si="338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37"/>
        <v>2</v>
      </c>
    </row>
    <row r="10771" spans="1:8" x14ac:dyDescent="0.2">
      <c r="A10771" t="s">
        <v>7</v>
      </c>
      <c r="B10771" t="s">
        <v>30</v>
      </c>
      <c r="C10771" t="str">
        <f t="shared" si="338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37"/>
        <v>1</v>
      </c>
    </row>
    <row r="10772" spans="1:8" x14ac:dyDescent="0.2">
      <c r="A10772" t="s">
        <v>7</v>
      </c>
      <c r="B10772" t="s">
        <v>30</v>
      </c>
      <c r="C10772" t="str">
        <f t="shared" si="338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37"/>
        <v>1</v>
      </c>
    </row>
    <row r="10773" spans="1:8" x14ac:dyDescent="0.2">
      <c r="A10773" t="s">
        <v>7</v>
      </c>
      <c r="B10773" t="s">
        <v>30</v>
      </c>
      <c r="C10773" t="str">
        <f t="shared" si="338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37"/>
        <v>1</v>
      </c>
    </row>
    <row r="10774" spans="1:8" x14ac:dyDescent="0.2">
      <c r="A10774" t="s">
        <v>7</v>
      </c>
      <c r="B10774" t="s">
        <v>30</v>
      </c>
      <c r="C10774" t="str">
        <f t="shared" si="338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37"/>
        <v>-2</v>
      </c>
    </row>
    <row r="10775" spans="1:8" x14ac:dyDescent="0.2">
      <c r="A10775" t="s">
        <v>7</v>
      </c>
      <c r="B10775" t="s">
        <v>30</v>
      </c>
      <c r="C10775" t="str">
        <f t="shared" si="338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37"/>
        <v>1</v>
      </c>
    </row>
    <row r="10776" spans="1:8" x14ac:dyDescent="0.2">
      <c r="A10776" t="s">
        <v>7</v>
      </c>
      <c r="B10776" t="s">
        <v>30</v>
      </c>
      <c r="C10776" t="str">
        <f t="shared" si="338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37"/>
        <v>-2</v>
      </c>
    </row>
    <row r="10777" spans="1:8" x14ac:dyDescent="0.2">
      <c r="A10777" t="s">
        <v>7</v>
      </c>
      <c r="B10777" t="s">
        <v>30</v>
      </c>
      <c r="C10777" t="str">
        <f t="shared" si="338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37"/>
        <v>1</v>
      </c>
    </row>
    <row r="10778" spans="1:8" x14ac:dyDescent="0.2">
      <c r="A10778" t="s">
        <v>7</v>
      </c>
      <c r="B10778" t="s">
        <v>30</v>
      </c>
      <c r="C10778" t="str">
        <f t="shared" si="338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37"/>
        <v>-2</v>
      </c>
    </row>
    <row r="10779" spans="1:8" x14ac:dyDescent="0.2">
      <c r="A10779" t="s">
        <v>7</v>
      </c>
      <c r="B10779" t="s">
        <v>30</v>
      </c>
      <c r="C10779" t="str">
        <f t="shared" si="338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37"/>
        <v>1</v>
      </c>
    </row>
    <row r="10780" spans="1:8" x14ac:dyDescent="0.2">
      <c r="A10780" t="s">
        <v>7</v>
      </c>
      <c r="B10780" t="s">
        <v>30</v>
      </c>
      <c r="C10780" t="str">
        <f t="shared" si="338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37"/>
        <v>-2</v>
      </c>
    </row>
    <row r="10781" spans="1:8" x14ac:dyDescent="0.2">
      <c r="A10781" t="s">
        <v>7</v>
      </c>
      <c r="B10781" t="s">
        <v>30</v>
      </c>
      <c r="C10781" t="str">
        <f t="shared" si="338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37"/>
        <v>1</v>
      </c>
    </row>
    <row r="10782" spans="1:8" x14ac:dyDescent="0.2">
      <c r="A10782" t="s">
        <v>7</v>
      </c>
      <c r="B10782" t="s">
        <v>30</v>
      </c>
      <c r="C10782" t="str">
        <f t="shared" si="338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37"/>
        <v>1</v>
      </c>
    </row>
    <row r="10783" spans="1:8" x14ac:dyDescent="0.2">
      <c r="A10783" t="s">
        <v>7</v>
      </c>
      <c r="B10783" t="s">
        <v>30</v>
      </c>
      <c r="C10783" t="str">
        <f t="shared" si="338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37"/>
        <v>-2</v>
      </c>
    </row>
    <row r="10784" spans="1:8" x14ac:dyDescent="0.2">
      <c r="A10784" t="s">
        <v>7</v>
      </c>
      <c r="B10784" t="s">
        <v>30</v>
      </c>
      <c r="C10784" t="str">
        <f t="shared" si="338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37"/>
        <v>1</v>
      </c>
    </row>
    <row r="10785" spans="1:8" x14ac:dyDescent="0.2">
      <c r="A10785" t="s">
        <v>7</v>
      </c>
      <c r="B10785" t="s">
        <v>30</v>
      </c>
      <c r="C10785" t="str">
        <f t="shared" si="338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37"/>
        <v>1</v>
      </c>
    </row>
    <row r="10786" spans="1:8" x14ac:dyDescent="0.2">
      <c r="A10786" t="s">
        <v>7</v>
      </c>
      <c r="B10786" t="s">
        <v>30</v>
      </c>
      <c r="C10786" t="str">
        <f t="shared" si="338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37"/>
        <v>1</v>
      </c>
    </row>
    <row r="10787" spans="1:8" x14ac:dyDescent="0.2">
      <c r="A10787" t="s">
        <v>7</v>
      </c>
      <c r="B10787" t="s">
        <v>30</v>
      </c>
      <c r="C10787" t="str">
        <f t="shared" si="338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37"/>
        <v>1</v>
      </c>
    </row>
    <row r="10788" spans="1:8" x14ac:dyDescent="0.2">
      <c r="A10788" t="s">
        <v>7</v>
      </c>
      <c r="B10788" t="s">
        <v>30</v>
      </c>
      <c r="C10788" t="str">
        <f t="shared" si="338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37"/>
        <v>1</v>
      </c>
    </row>
    <row r="10789" spans="1:8" x14ac:dyDescent="0.2">
      <c r="A10789" t="s">
        <v>7</v>
      </c>
      <c r="B10789" t="s">
        <v>30</v>
      </c>
      <c r="C10789" t="str">
        <f t="shared" si="338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37"/>
        <v>1</v>
      </c>
    </row>
    <row r="10790" spans="1:8" x14ac:dyDescent="0.2">
      <c r="A10790" t="s">
        <v>7</v>
      </c>
      <c r="B10790" t="s">
        <v>30</v>
      </c>
      <c r="C10790" t="str">
        <f t="shared" si="338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37"/>
        <v>1</v>
      </c>
    </row>
    <row r="10791" spans="1:8" x14ac:dyDescent="0.2">
      <c r="A10791" t="s">
        <v>7</v>
      </c>
      <c r="B10791" t="s">
        <v>30</v>
      </c>
      <c r="C10791" t="str">
        <f t="shared" si="338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37"/>
        <v>1</v>
      </c>
    </row>
    <row r="10792" spans="1:8" x14ac:dyDescent="0.2">
      <c r="A10792" t="s">
        <v>7</v>
      </c>
      <c r="B10792" t="s">
        <v>30</v>
      </c>
      <c r="C10792" t="str">
        <f t="shared" si="338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37"/>
        <v>1</v>
      </c>
    </row>
    <row r="10793" spans="1:8" x14ac:dyDescent="0.2">
      <c r="A10793" t="s">
        <v>7</v>
      </c>
      <c r="B10793" t="s">
        <v>30</v>
      </c>
      <c r="C10793" t="str">
        <f t="shared" si="338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37"/>
        <v>-2</v>
      </c>
    </row>
    <row r="10794" spans="1:8" x14ac:dyDescent="0.2">
      <c r="A10794" t="s">
        <v>7</v>
      </c>
      <c r="B10794" t="s">
        <v>30</v>
      </c>
      <c r="C10794" t="str">
        <f t="shared" si="338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37"/>
        <v>1</v>
      </c>
    </row>
    <row r="10795" spans="1:8" x14ac:dyDescent="0.2">
      <c r="A10795" t="s">
        <v>7</v>
      </c>
      <c r="B10795" t="s">
        <v>30</v>
      </c>
      <c r="C10795" t="str">
        <f t="shared" si="338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37"/>
        <v>-2</v>
      </c>
    </row>
    <row r="10796" spans="1:8" x14ac:dyDescent="0.2">
      <c r="A10796" t="s">
        <v>7</v>
      </c>
      <c r="B10796" t="s">
        <v>30</v>
      </c>
      <c r="C10796" t="str">
        <f t="shared" si="338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37"/>
        <v>1</v>
      </c>
    </row>
    <row r="10797" spans="1:8" x14ac:dyDescent="0.2">
      <c r="A10797" t="s">
        <v>7</v>
      </c>
      <c r="B10797" t="s">
        <v>30</v>
      </c>
      <c r="C10797" t="str">
        <f t="shared" si="338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37"/>
        <v>1</v>
      </c>
    </row>
    <row r="10798" spans="1:8" x14ac:dyDescent="0.2">
      <c r="A10798" t="s">
        <v>7</v>
      </c>
      <c r="B10798" t="s">
        <v>30</v>
      </c>
      <c r="C10798" t="str">
        <f t="shared" si="338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37"/>
        <v>-2</v>
      </c>
    </row>
    <row r="10799" spans="1:8" x14ac:dyDescent="0.2">
      <c r="A10799" t="s">
        <v>7</v>
      </c>
      <c r="B10799" t="s">
        <v>30</v>
      </c>
      <c r="C10799" t="str">
        <f t="shared" si="338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37"/>
        <v>1</v>
      </c>
    </row>
    <row r="10800" spans="1:8" x14ac:dyDescent="0.2">
      <c r="A10800" t="s">
        <v>7</v>
      </c>
      <c r="B10800" t="s">
        <v>30</v>
      </c>
      <c r="C10800" t="str">
        <f t="shared" si="338"/>
        <v>Cumple</v>
      </c>
      <c r="D10800">
        <v>9686</v>
      </c>
      <c r="E10800" t="s">
        <v>13</v>
      </c>
      <c r="F10800" s="9">
        <v>6</v>
      </c>
      <c r="G10800" s="35">
        <v>6</v>
      </c>
      <c r="H10800">
        <f t="shared" si="337"/>
        <v>0</v>
      </c>
    </row>
    <row r="10801" spans="1:8" x14ac:dyDescent="0.2">
      <c r="A10801" t="s">
        <v>7</v>
      </c>
      <c r="B10801" t="s">
        <v>30</v>
      </c>
      <c r="C10801" t="str">
        <f t="shared" si="338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37"/>
        <v>1</v>
      </c>
    </row>
    <row r="10802" spans="1:8" x14ac:dyDescent="0.2">
      <c r="A10802" t="s">
        <v>7</v>
      </c>
      <c r="B10802" t="s">
        <v>30</v>
      </c>
      <c r="C10802" t="str">
        <f t="shared" si="338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37"/>
        <v>0</v>
      </c>
    </row>
    <row r="10803" spans="1:8" x14ac:dyDescent="0.2">
      <c r="A10803" t="s">
        <v>7</v>
      </c>
      <c r="B10803" t="s">
        <v>30</v>
      </c>
      <c r="C10803" t="str">
        <f t="shared" si="338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37"/>
        <v>1</v>
      </c>
    </row>
    <row r="10804" spans="1:8" x14ac:dyDescent="0.2">
      <c r="A10804" t="s">
        <v>7</v>
      </c>
      <c r="B10804" t="s">
        <v>30</v>
      </c>
      <c r="C10804" t="str">
        <f t="shared" si="338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37"/>
        <v>-3</v>
      </c>
    </row>
    <row r="10805" spans="1:8" x14ac:dyDescent="0.2">
      <c r="A10805" t="s">
        <v>7</v>
      </c>
      <c r="B10805" t="s">
        <v>30</v>
      </c>
      <c r="C10805" t="str">
        <f t="shared" si="338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37"/>
        <v>0</v>
      </c>
    </row>
    <row r="10806" spans="1:8" x14ac:dyDescent="0.2">
      <c r="A10806" t="s">
        <v>7</v>
      </c>
      <c r="B10806" t="s">
        <v>30</v>
      </c>
      <c r="C10806" t="str">
        <f t="shared" si="338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37"/>
        <v>0</v>
      </c>
    </row>
    <row r="10807" spans="1:8" x14ac:dyDescent="0.2">
      <c r="A10807" t="s">
        <v>7</v>
      </c>
      <c r="B10807" t="s">
        <v>30</v>
      </c>
      <c r="C10807" t="str">
        <f t="shared" si="338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37"/>
        <v>-3</v>
      </c>
    </row>
    <row r="10808" spans="1:8" x14ac:dyDescent="0.2">
      <c r="A10808" t="s">
        <v>7</v>
      </c>
      <c r="B10808" t="s">
        <v>30</v>
      </c>
      <c r="C10808" t="str">
        <f t="shared" si="338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37"/>
        <v>0</v>
      </c>
    </row>
    <row r="10809" spans="1:8" x14ac:dyDescent="0.2">
      <c r="A10809" t="s">
        <v>7</v>
      </c>
      <c r="B10809" t="s">
        <v>30</v>
      </c>
      <c r="C10809" t="str">
        <f t="shared" si="338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37"/>
        <v>0</v>
      </c>
    </row>
    <row r="10810" spans="1:8" x14ac:dyDescent="0.2">
      <c r="A10810" t="s">
        <v>7</v>
      </c>
      <c r="B10810" t="s">
        <v>30</v>
      </c>
      <c r="C10810" t="str">
        <f t="shared" si="338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37"/>
        <v>-3</v>
      </c>
    </row>
    <row r="10811" spans="1:8" x14ac:dyDescent="0.2">
      <c r="A10811" t="s">
        <v>7</v>
      </c>
      <c r="B10811" t="s">
        <v>30</v>
      </c>
      <c r="C10811" t="str">
        <f t="shared" si="338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37"/>
        <v>-3</v>
      </c>
    </row>
    <row r="10812" spans="1:8" x14ac:dyDescent="0.2">
      <c r="A10812" t="s">
        <v>7</v>
      </c>
      <c r="B10812" t="s">
        <v>30</v>
      </c>
      <c r="C10812" t="str">
        <f t="shared" si="338"/>
        <v>Cumple</v>
      </c>
      <c r="D10812">
        <v>988</v>
      </c>
      <c r="E10812" t="s">
        <v>13</v>
      </c>
      <c r="F10812">
        <v>3</v>
      </c>
      <c r="G10812">
        <v>3</v>
      </c>
      <c r="H10812">
        <f t="shared" si="337"/>
        <v>0</v>
      </c>
    </row>
    <row r="10813" spans="1:8" x14ac:dyDescent="0.2">
      <c r="A10813" t="s">
        <v>7</v>
      </c>
      <c r="B10813" t="s">
        <v>30</v>
      </c>
      <c r="C10813" t="str">
        <f t="shared" si="338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37"/>
        <v>0</v>
      </c>
    </row>
    <row r="10814" spans="1:8" x14ac:dyDescent="0.2">
      <c r="A10814" t="s">
        <v>7</v>
      </c>
      <c r="B10814" t="s">
        <v>30</v>
      </c>
      <c r="C10814" t="str">
        <f t="shared" si="338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37"/>
        <v>0</v>
      </c>
    </row>
    <row r="10815" spans="1:8" x14ac:dyDescent="0.2">
      <c r="A10815" t="s">
        <v>7</v>
      </c>
      <c r="B10815" t="s">
        <v>30</v>
      </c>
      <c r="C10815" t="str">
        <f t="shared" si="338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37"/>
        <v>0</v>
      </c>
    </row>
    <row r="10816" spans="1:8" x14ac:dyDescent="0.2">
      <c r="A10816" t="s">
        <v>7</v>
      </c>
      <c r="B10816" t="s">
        <v>30</v>
      </c>
      <c r="C10816" t="str">
        <f t="shared" si="338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37"/>
        <v>0</v>
      </c>
    </row>
    <row r="10817" spans="1:8" x14ac:dyDescent="0.2">
      <c r="A10817" t="s">
        <v>7</v>
      </c>
      <c r="B10817" t="s">
        <v>30</v>
      </c>
      <c r="C10817" t="str">
        <f t="shared" si="338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37"/>
        <v>0</v>
      </c>
    </row>
    <row r="10818" spans="1:8" x14ac:dyDescent="0.2">
      <c r="A10818" t="s">
        <v>7</v>
      </c>
      <c r="B10818" t="s">
        <v>30</v>
      </c>
      <c r="C10818" t="str">
        <f t="shared" si="338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37"/>
        <v>0</v>
      </c>
    </row>
    <row r="10819" spans="1:8" x14ac:dyDescent="0.2">
      <c r="A10819" t="s">
        <v>7</v>
      </c>
      <c r="B10819" t="s">
        <v>30</v>
      </c>
      <c r="C10819" t="str">
        <f t="shared" si="338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ref="H10819:H10882" si="339">F10819-G10819</f>
        <v>-3</v>
      </c>
    </row>
    <row r="10820" spans="1:8" x14ac:dyDescent="0.2">
      <c r="A10820" t="s">
        <v>7</v>
      </c>
      <c r="B10820" t="s">
        <v>30</v>
      </c>
      <c r="C10820" t="str">
        <f t="shared" si="338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39"/>
        <v>-3</v>
      </c>
    </row>
    <row r="10821" spans="1:8" x14ac:dyDescent="0.2">
      <c r="A10821" t="s">
        <v>7</v>
      </c>
      <c r="B10821" t="s">
        <v>30</v>
      </c>
      <c r="C10821" t="str">
        <f t="shared" ref="C10821:C10884" si="340">IF(H10821&gt;=0,"Cumple","No cumple")</f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39"/>
        <v>0</v>
      </c>
    </row>
    <row r="10822" spans="1:8" x14ac:dyDescent="0.2">
      <c r="A10822" t="s">
        <v>7</v>
      </c>
      <c r="B10822" t="s">
        <v>30</v>
      </c>
      <c r="C10822" t="str">
        <f t="shared" si="34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39"/>
        <v>0</v>
      </c>
    </row>
    <row r="10823" spans="1:8" x14ac:dyDescent="0.2">
      <c r="A10823" t="s">
        <v>7</v>
      </c>
      <c r="B10823" t="s">
        <v>30</v>
      </c>
      <c r="C10823" t="str">
        <f t="shared" si="34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39"/>
        <v>0</v>
      </c>
    </row>
    <row r="10824" spans="1:8" x14ac:dyDescent="0.2">
      <c r="A10824" t="s">
        <v>7</v>
      </c>
      <c r="B10824" t="s">
        <v>30</v>
      </c>
      <c r="C10824" t="str">
        <f t="shared" si="34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39"/>
        <v>0</v>
      </c>
    </row>
    <row r="10825" spans="1:8" x14ac:dyDescent="0.2">
      <c r="A10825" t="s">
        <v>7</v>
      </c>
      <c r="B10825" t="s">
        <v>30</v>
      </c>
      <c r="C10825" t="str">
        <f t="shared" si="34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39"/>
        <v>-3</v>
      </c>
    </row>
    <row r="10826" spans="1:8" x14ac:dyDescent="0.2">
      <c r="A10826" t="s">
        <v>7</v>
      </c>
      <c r="B10826" t="s">
        <v>30</v>
      </c>
      <c r="C10826" t="str">
        <f t="shared" si="34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39"/>
        <v>-3</v>
      </c>
    </row>
    <row r="10827" spans="1:8" x14ac:dyDescent="0.2">
      <c r="A10827" t="s">
        <v>7</v>
      </c>
      <c r="B10827" t="s">
        <v>30</v>
      </c>
      <c r="C10827" t="str">
        <f t="shared" si="34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39"/>
        <v>0</v>
      </c>
    </row>
    <row r="10828" spans="1:8" x14ac:dyDescent="0.2">
      <c r="A10828" t="s">
        <v>7</v>
      </c>
      <c r="B10828" t="s">
        <v>30</v>
      </c>
      <c r="C10828" t="str">
        <f t="shared" si="34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39"/>
        <v>0</v>
      </c>
    </row>
    <row r="10829" spans="1:8" x14ac:dyDescent="0.2">
      <c r="A10829" t="s">
        <v>7</v>
      </c>
      <c r="B10829" t="s">
        <v>30</v>
      </c>
      <c r="C10829" t="str">
        <f t="shared" si="34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39"/>
        <v>0</v>
      </c>
    </row>
    <row r="10830" spans="1:8" x14ac:dyDescent="0.2">
      <c r="A10830" t="s">
        <v>7</v>
      </c>
      <c r="B10830" t="s">
        <v>30</v>
      </c>
      <c r="C10830" t="str">
        <f t="shared" si="34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39"/>
        <v>-3</v>
      </c>
    </row>
    <row r="10831" spans="1:8" x14ac:dyDescent="0.2">
      <c r="A10831" t="s">
        <v>7</v>
      </c>
      <c r="B10831" t="s">
        <v>30</v>
      </c>
      <c r="C10831" t="str">
        <f t="shared" si="340"/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si="339"/>
        <v>0</v>
      </c>
    </row>
    <row r="10832" spans="1:8" x14ac:dyDescent="0.2">
      <c r="A10832" t="s">
        <v>7</v>
      </c>
      <c r="B10832" t="s">
        <v>30</v>
      </c>
      <c r="C10832" t="str">
        <f t="shared" si="340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39"/>
        <v>0</v>
      </c>
    </row>
    <row r="10833" spans="1:8" x14ac:dyDescent="0.2">
      <c r="A10833" t="s">
        <v>7</v>
      </c>
      <c r="B10833" t="s">
        <v>30</v>
      </c>
      <c r="C10833" t="str">
        <f t="shared" si="340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39"/>
        <v>0</v>
      </c>
    </row>
    <row r="10834" spans="1:8" x14ac:dyDescent="0.2">
      <c r="A10834" t="s">
        <v>7</v>
      </c>
      <c r="B10834" t="s">
        <v>30</v>
      </c>
      <c r="C10834" t="str">
        <f t="shared" si="340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39"/>
        <v>0</v>
      </c>
    </row>
    <row r="10835" spans="1:8" x14ac:dyDescent="0.2">
      <c r="A10835" t="s">
        <v>7</v>
      </c>
      <c r="B10835" t="s">
        <v>30</v>
      </c>
      <c r="C10835" t="str">
        <f t="shared" si="340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39"/>
        <v>-3</v>
      </c>
    </row>
    <row r="10836" spans="1:8" x14ac:dyDescent="0.2">
      <c r="A10836" t="s">
        <v>7</v>
      </c>
      <c r="B10836" t="s">
        <v>30</v>
      </c>
      <c r="C10836" t="str">
        <f t="shared" si="340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39"/>
        <v>-3</v>
      </c>
    </row>
    <row r="10837" spans="1:8" x14ac:dyDescent="0.2">
      <c r="A10837" t="s">
        <v>7</v>
      </c>
      <c r="B10837" t="s">
        <v>30</v>
      </c>
      <c r="C10837" t="str">
        <f t="shared" si="340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39"/>
        <v>0</v>
      </c>
    </row>
    <row r="10838" spans="1:8" x14ac:dyDescent="0.2">
      <c r="A10838" t="s">
        <v>7</v>
      </c>
      <c r="B10838" t="s">
        <v>30</v>
      </c>
      <c r="C10838" t="str">
        <f t="shared" si="340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39"/>
        <v>0</v>
      </c>
    </row>
    <row r="10839" spans="1:8" x14ac:dyDescent="0.2">
      <c r="A10839" t="s">
        <v>7</v>
      </c>
      <c r="B10839" t="s">
        <v>30</v>
      </c>
      <c r="C10839" t="str">
        <f t="shared" si="340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39"/>
        <v>0</v>
      </c>
    </row>
    <row r="10840" spans="1:8" x14ac:dyDescent="0.2">
      <c r="A10840" t="s">
        <v>7</v>
      </c>
      <c r="B10840" t="s">
        <v>30</v>
      </c>
      <c r="C10840" t="str">
        <f t="shared" si="340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39"/>
        <v>0</v>
      </c>
    </row>
    <row r="10841" spans="1:8" x14ac:dyDescent="0.2">
      <c r="A10841" t="s">
        <v>7</v>
      </c>
      <c r="B10841" t="s">
        <v>30</v>
      </c>
      <c r="C10841" t="str">
        <f t="shared" si="340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39"/>
        <v>0</v>
      </c>
    </row>
    <row r="10842" spans="1:8" x14ac:dyDescent="0.2">
      <c r="A10842" t="s">
        <v>7</v>
      </c>
      <c r="B10842" t="s">
        <v>30</v>
      </c>
      <c r="C10842" t="str">
        <f t="shared" si="340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39"/>
        <v>-3</v>
      </c>
    </row>
    <row r="10843" spans="1:8" x14ac:dyDescent="0.2">
      <c r="A10843" t="s">
        <v>7</v>
      </c>
      <c r="B10843" t="s">
        <v>30</v>
      </c>
      <c r="C10843" t="str">
        <f t="shared" si="340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39"/>
        <v>0</v>
      </c>
    </row>
    <row r="10844" spans="1:8" x14ac:dyDescent="0.2">
      <c r="A10844" t="s">
        <v>7</v>
      </c>
      <c r="B10844" t="s">
        <v>30</v>
      </c>
      <c r="C10844" t="str">
        <f t="shared" si="340"/>
        <v>Cumple</v>
      </c>
      <c r="D10844">
        <v>9102</v>
      </c>
      <c r="E10844" t="s">
        <v>13</v>
      </c>
      <c r="F10844">
        <v>3</v>
      </c>
      <c r="G10844">
        <v>3</v>
      </c>
      <c r="H10844">
        <f t="shared" si="339"/>
        <v>0</v>
      </c>
    </row>
    <row r="10845" spans="1:8" x14ac:dyDescent="0.2">
      <c r="A10845" t="s">
        <v>7</v>
      </c>
      <c r="B10845" t="s">
        <v>30</v>
      </c>
      <c r="C10845" t="str">
        <f t="shared" si="340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39"/>
        <v>-3</v>
      </c>
    </row>
    <row r="10846" spans="1:8" x14ac:dyDescent="0.2">
      <c r="A10846" t="s">
        <v>7</v>
      </c>
      <c r="B10846" t="s">
        <v>30</v>
      </c>
      <c r="C10846" t="str">
        <f t="shared" si="340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39"/>
        <v>0</v>
      </c>
    </row>
    <row r="10847" spans="1:8" x14ac:dyDescent="0.2">
      <c r="A10847" t="s">
        <v>7</v>
      </c>
      <c r="B10847" t="s">
        <v>30</v>
      </c>
      <c r="C10847" t="str">
        <f t="shared" si="340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39"/>
        <v>-3</v>
      </c>
    </row>
    <row r="10848" spans="1:8" x14ac:dyDescent="0.2">
      <c r="A10848" t="s">
        <v>7</v>
      </c>
      <c r="B10848" t="s">
        <v>30</v>
      </c>
      <c r="C10848" t="str">
        <f t="shared" si="340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39"/>
        <v>0</v>
      </c>
    </row>
    <row r="10849" spans="1:8" x14ac:dyDescent="0.2">
      <c r="A10849" t="s">
        <v>7</v>
      </c>
      <c r="B10849" t="s">
        <v>30</v>
      </c>
      <c r="C10849" t="str">
        <f t="shared" si="340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39"/>
        <v>0</v>
      </c>
    </row>
    <row r="10850" spans="1:8" x14ac:dyDescent="0.2">
      <c r="A10850" t="s">
        <v>7</v>
      </c>
      <c r="B10850" t="s">
        <v>30</v>
      </c>
      <c r="C10850" t="str">
        <f t="shared" si="340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39"/>
        <v>0</v>
      </c>
    </row>
    <row r="10851" spans="1:8" x14ac:dyDescent="0.2">
      <c r="A10851" t="s">
        <v>7</v>
      </c>
      <c r="B10851" t="s">
        <v>30</v>
      </c>
      <c r="C10851" t="str">
        <f t="shared" si="340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39"/>
        <v>0</v>
      </c>
    </row>
    <row r="10852" spans="1:8" x14ac:dyDescent="0.2">
      <c r="A10852" t="s">
        <v>7</v>
      </c>
      <c r="B10852" t="s">
        <v>30</v>
      </c>
      <c r="C10852" t="str">
        <f t="shared" si="340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39"/>
        <v>-1</v>
      </c>
    </row>
    <row r="10853" spans="1:8" x14ac:dyDescent="0.2">
      <c r="A10853" t="s">
        <v>7</v>
      </c>
      <c r="B10853" t="s">
        <v>30</v>
      </c>
      <c r="C10853" t="str">
        <f t="shared" si="340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39"/>
        <v>-1</v>
      </c>
    </row>
    <row r="10854" spans="1:8" x14ac:dyDescent="0.2">
      <c r="A10854" t="s">
        <v>7</v>
      </c>
      <c r="B10854" t="s">
        <v>30</v>
      </c>
      <c r="C10854" t="str">
        <f t="shared" si="340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39"/>
        <v>-1</v>
      </c>
    </row>
    <row r="10855" spans="1:8" x14ac:dyDescent="0.2">
      <c r="A10855" t="s">
        <v>7</v>
      </c>
      <c r="B10855" t="s">
        <v>30</v>
      </c>
      <c r="C10855" t="str">
        <f t="shared" si="340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39"/>
        <v>-1</v>
      </c>
    </row>
    <row r="10856" spans="1:8" x14ac:dyDescent="0.2">
      <c r="A10856" t="s">
        <v>7</v>
      </c>
      <c r="B10856" t="s">
        <v>30</v>
      </c>
      <c r="C10856" t="str">
        <f t="shared" si="340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39"/>
        <v>-1</v>
      </c>
    </row>
    <row r="10857" spans="1:8" x14ac:dyDescent="0.2">
      <c r="A10857" t="s">
        <v>7</v>
      </c>
      <c r="B10857" t="s">
        <v>30</v>
      </c>
      <c r="C10857" t="str">
        <f t="shared" si="340"/>
        <v>Cumple</v>
      </c>
      <c r="D10857">
        <v>838</v>
      </c>
      <c r="E10857" t="s">
        <v>13</v>
      </c>
      <c r="F10857" s="9">
        <v>6</v>
      </c>
      <c r="G10857">
        <v>6</v>
      </c>
      <c r="H10857">
        <f t="shared" si="339"/>
        <v>0</v>
      </c>
    </row>
    <row r="10858" spans="1:8" x14ac:dyDescent="0.2">
      <c r="A10858" t="s">
        <v>7</v>
      </c>
      <c r="B10858" t="s">
        <v>30</v>
      </c>
      <c r="C10858" t="str">
        <f t="shared" si="340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39"/>
        <v>-1</v>
      </c>
    </row>
    <row r="10859" spans="1:8" x14ac:dyDescent="0.2">
      <c r="A10859" t="s">
        <v>7</v>
      </c>
      <c r="B10859" t="s">
        <v>30</v>
      </c>
      <c r="C10859" t="str">
        <f t="shared" si="340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39"/>
        <v>-1</v>
      </c>
    </row>
    <row r="10860" spans="1:8" x14ac:dyDescent="0.2">
      <c r="A10860" t="s">
        <v>7</v>
      </c>
      <c r="B10860" t="s">
        <v>30</v>
      </c>
      <c r="C10860" t="str">
        <f t="shared" si="340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39"/>
        <v>-1</v>
      </c>
    </row>
    <row r="10861" spans="1:8" x14ac:dyDescent="0.2">
      <c r="A10861" t="s">
        <v>7</v>
      </c>
      <c r="B10861" t="s">
        <v>30</v>
      </c>
      <c r="C10861" t="str">
        <f t="shared" si="340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39"/>
        <v>-1</v>
      </c>
    </row>
    <row r="10862" spans="1:8" x14ac:dyDescent="0.2">
      <c r="A10862" t="s">
        <v>7</v>
      </c>
      <c r="B10862" t="s">
        <v>30</v>
      </c>
      <c r="C10862" t="str">
        <f t="shared" si="340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39"/>
        <v>-1</v>
      </c>
    </row>
    <row r="10863" spans="1:8" x14ac:dyDescent="0.2">
      <c r="A10863" t="s">
        <v>7</v>
      </c>
      <c r="B10863" t="s">
        <v>30</v>
      </c>
      <c r="C10863" t="str">
        <f t="shared" si="340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39"/>
        <v>-1</v>
      </c>
    </row>
    <row r="10864" spans="1:8" x14ac:dyDescent="0.2">
      <c r="A10864" t="s">
        <v>7</v>
      </c>
      <c r="B10864" t="s">
        <v>30</v>
      </c>
      <c r="C10864" t="str">
        <f t="shared" si="340"/>
        <v>No cumple</v>
      </c>
      <c r="D10864">
        <v>1468</v>
      </c>
      <c r="E10864" t="s">
        <v>13</v>
      </c>
      <c r="F10864" s="9">
        <v>2</v>
      </c>
      <c r="G10864">
        <v>6</v>
      </c>
      <c r="H10864">
        <f t="shared" si="339"/>
        <v>-4</v>
      </c>
    </row>
    <row r="10865" spans="1:8" x14ac:dyDescent="0.2">
      <c r="A10865" t="s">
        <v>7</v>
      </c>
      <c r="B10865" t="s">
        <v>30</v>
      </c>
      <c r="C10865" t="str">
        <f t="shared" si="340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39"/>
        <v>-1</v>
      </c>
    </row>
    <row r="10866" spans="1:8" x14ac:dyDescent="0.2">
      <c r="A10866" t="s">
        <v>7</v>
      </c>
      <c r="B10866" t="s">
        <v>30</v>
      </c>
      <c r="C10866" t="str">
        <f t="shared" si="340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39"/>
        <v>-1</v>
      </c>
    </row>
    <row r="10867" spans="1:8" x14ac:dyDescent="0.2">
      <c r="A10867" t="s">
        <v>7</v>
      </c>
      <c r="B10867" t="s">
        <v>30</v>
      </c>
      <c r="C10867" t="str">
        <f t="shared" si="340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39"/>
        <v>-1</v>
      </c>
    </row>
    <row r="10868" spans="1:8" x14ac:dyDescent="0.2">
      <c r="A10868" t="s">
        <v>7</v>
      </c>
      <c r="B10868" t="s">
        <v>30</v>
      </c>
      <c r="C10868" t="str">
        <f t="shared" si="340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39"/>
        <v>-4</v>
      </c>
    </row>
    <row r="10869" spans="1:8" x14ac:dyDescent="0.2">
      <c r="A10869" t="s">
        <v>7</v>
      </c>
      <c r="B10869" t="s">
        <v>30</v>
      </c>
      <c r="C10869" t="str">
        <f t="shared" si="340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39"/>
        <v>-1</v>
      </c>
    </row>
    <row r="10870" spans="1:8" x14ac:dyDescent="0.2">
      <c r="A10870" t="s">
        <v>7</v>
      </c>
      <c r="B10870" t="s">
        <v>30</v>
      </c>
      <c r="C10870" t="str">
        <f t="shared" si="340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39"/>
        <v>-1</v>
      </c>
    </row>
    <row r="10871" spans="1:8" x14ac:dyDescent="0.2">
      <c r="A10871" t="s">
        <v>7</v>
      </c>
      <c r="B10871" t="s">
        <v>30</v>
      </c>
      <c r="C10871" t="str">
        <f t="shared" si="340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39"/>
        <v>-1</v>
      </c>
    </row>
    <row r="10872" spans="1:8" x14ac:dyDescent="0.2">
      <c r="A10872" t="s">
        <v>7</v>
      </c>
      <c r="B10872" t="s">
        <v>30</v>
      </c>
      <c r="C10872" t="str">
        <f t="shared" si="340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39"/>
        <v>-1</v>
      </c>
    </row>
    <row r="10873" spans="1:8" x14ac:dyDescent="0.2">
      <c r="A10873" t="s">
        <v>7</v>
      </c>
      <c r="B10873" t="s">
        <v>30</v>
      </c>
      <c r="C10873" t="str">
        <f t="shared" si="340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39"/>
        <v>-1</v>
      </c>
    </row>
    <row r="10874" spans="1:8" x14ac:dyDescent="0.2">
      <c r="A10874" t="s">
        <v>7</v>
      </c>
      <c r="B10874" t="s">
        <v>30</v>
      </c>
      <c r="C10874" t="str">
        <f t="shared" si="340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39"/>
        <v>-1</v>
      </c>
    </row>
    <row r="10875" spans="1:8" x14ac:dyDescent="0.2">
      <c r="A10875" t="s">
        <v>7</v>
      </c>
      <c r="B10875" t="s">
        <v>30</v>
      </c>
      <c r="C10875" t="str">
        <f t="shared" si="340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39"/>
        <v>-1</v>
      </c>
    </row>
    <row r="10876" spans="1:8" x14ac:dyDescent="0.2">
      <c r="A10876" t="s">
        <v>7</v>
      </c>
      <c r="B10876" t="s">
        <v>30</v>
      </c>
      <c r="C10876" t="str">
        <f t="shared" si="340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39"/>
        <v>-1</v>
      </c>
    </row>
    <row r="10877" spans="1:8" x14ac:dyDescent="0.2">
      <c r="A10877" t="s">
        <v>7</v>
      </c>
      <c r="B10877" t="s">
        <v>30</v>
      </c>
      <c r="C10877" t="str">
        <f t="shared" si="340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39"/>
        <v>-1</v>
      </c>
    </row>
    <row r="10878" spans="1:8" x14ac:dyDescent="0.2">
      <c r="A10878" t="s">
        <v>7</v>
      </c>
      <c r="B10878" t="s">
        <v>30</v>
      </c>
      <c r="C10878" t="str">
        <f t="shared" si="340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39"/>
        <v>-1</v>
      </c>
    </row>
    <row r="10879" spans="1:8" x14ac:dyDescent="0.2">
      <c r="A10879" t="s">
        <v>7</v>
      </c>
      <c r="B10879" t="s">
        <v>30</v>
      </c>
      <c r="C10879" t="str">
        <f t="shared" si="340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39"/>
        <v>-1</v>
      </c>
    </row>
    <row r="10880" spans="1:8" x14ac:dyDescent="0.2">
      <c r="A10880" t="s">
        <v>7</v>
      </c>
      <c r="B10880" t="s">
        <v>30</v>
      </c>
      <c r="C10880" t="str">
        <f t="shared" si="340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39"/>
        <v>-4</v>
      </c>
    </row>
    <row r="10881" spans="1:8" x14ac:dyDescent="0.2">
      <c r="A10881" t="s">
        <v>7</v>
      </c>
      <c r="B10881" t="s">
        <v>30</v>
      </c>
      <c r="C10881" t="str">
        <f t="shared" si="340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39"/>
        <v>-1</v>
      </c>
    </row>
    <row r="10882" spans="1:8" x14ac:dyDescent="0.2">
      <c r="A10882" t="s">
        <v>7</v>
      </c>
      <c r="B10882" t="s">
        <v>30</v>
      </c>
      <c r="C10882" t="str">
        <f t="shared" si="340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39"/>
        <v>-4</v>
      </c>
    </row>
    <row r="10883" spans="1:8" x14ac:dyDescent="0.2">
      <c r="A10883" t="s">
        <v>7</v>
      </c>
      <c r="B10883" t="s">
        <v>30</v>
      </c>
      <c r="C10883" t="str">
        <f t="shared" si="340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1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0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1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2">IF(H10885&gt;=0,"Cumple","No cumple")</f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41"/>
        <v>-1</v>
      </c>
    </row>
    <row r="10886" spans="1:8" x14ac:dyDescent="0.2">
      <c r="A10886" t="s">
        <v>7</v>
      </c>
      <c r="B10886" t="s">
        <v>30</v>
      </c>
      <c r="C10886" t="str">
        <f t="shared" si="34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1"/>
        <v>-1</v>
      </c>
    </row>
    <row r="10887" spans="1:8" x14ac:dyDescent="0.2">
      <c r="A10887" t="s">
        <v>7</v>
      </c>
      <c r="B10887" t="s">
        <v>30</v>
      </c>
      <c r="C10887" t="str">
        <f t="shared" si="34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41"/>
        <v>-1</v>
      </c>
    </row>
    <row r="10888" spans="1:8" x14ac:dyDescent="0.2">
      <c r="A10888" t="s">
        <v>7</v>
      </c>
      <c r="B10888" t="s">
        <v>30</v>
      </c>
      <c r="C10888" t="str">
        <f t="shared" si="34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1"/>
        <v>-2</v>
      </c>
    </row>
    <row r="10889" spans="1:8" x14ac:dyDescent="0.2">
      <c r="A10889" t="s">
        <v>7</v>
      </c>
      <c r="B10889" t="s">
        <v>30</v>
      </c>
      <c r="C10889" t="str">
        <f t="shared" si="34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1"/>
        <v>-2</v>
      </c>
    </row>
    <row r="10890" spans="1:8" x14ac:dyDescent="0.2">
      <c r="A10890" t="s">
        <v>7</v>
      </c>
      <c r="B10890" t="s">
        <v>30</v>
      </c>
      <c r="C10890" t="str">
        <f t="shared" si="34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1"/>
        <v>-2</v>
      </c>
    </row>
    <row r="10891" spans="1:8" x14ac:dyDescent="0.2">
      <c r="A10891" t="s">
        <v>7</v>
      </c>
      <c r="B10891" t="s">
        <v>30</v>
      </c>
      <c r="C10891" t="str">
        <f t="shared" si="34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1"/>
        <v>-2</v>
      </c>
    </row>
    <row r="10892" spans="1:8" x14ac:dyDescent="0.2">
      <c r="A10892" t="s">
        <v>7</v>
      </c>
      <c r="B10892" t="s">
        <v>30</v>
      </c>
      <c r="C10892" t="str">
        <f t="shared" si="34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1"/>
        <v>-2</v>
      </c>
    </row>
    <row r="10893" spans="1:8" x14ac:dyDescent="0.2">
      <c r="A10893" t="s">
        <v>7</v>
      </c>
      <c r="B10893" t="s">
        <v>30</v>
      </c>
      <c r="C10893" t="str">
        <f t="shared" si="34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1"/>
        <v>-2</v>
      </c>
    </row>
    <row r="10894" spans="1:8" x14ac:dyDescent="0.2">
      <c r="A10894" t="s">
        <v>7</v>
      </c>
      <c r="B10894" t="s">
        <v>30</v>
      </c>
      <c r="C10894" t="str">
        <f t="shared" si="34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1"/>
        <v>-2</v>
      </c>
    </row>
    <row r="10895" spans="1:8" x14ac:dyDescent="0.2">
      <c r="A10895" t="s">
        <v>7</v>
      </c>
      <c r="B10895" t="s">
        <v>30</v>
      </c>
      <c r="C10895" t="str">
        <f t="shared" si="342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1"/>
        <v>-5</v>
      </c>
    </row>
    <row r="10896" spans="1:8" x14ac:dyDescent="0.2">
      <c r="A10896" t="s">
        <v>7</v>
      </c>
      <c r="B10896" t="s">
        <v>30</v>
      </c>
      <c r="C10896" t="str">
        <f t="shared" si="342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1"/>
        <v>-2</v>
      </c>
    </row>
    <row r="10897" spans="1:8" x14ac:dyDescent="0.2">
      <c r="A10897" t="s">
        <v>7</v>
      </c>
      <c r="B10897" t="s">
        <v>30</v>
      </c>
      <c r="C10897" t="str">
        <f t="shared" si="342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1"/>
        <v>-2</v>
      </c>
    </row>
    <row r="10898" spans="1:8" x14ac:dyDescent="0.2">
      <c r="A10898" t="s">
        <v>7</v>
      </c>
      <c r="B10898" t="s">
        <v>30</v>
      </c>
      <c r="C10898" t="str">
        <f t="shared" si="342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1"/>
        <v>-2</v>
      </c>
    </row>
    <row r="10899" spans="1:8" x14ac:dyDescent="0.2">
      <c r="A10899" t="s">
        <v>7</v>
      </c>
      <c r="B10899" t="s">
        <v>30</v>
      </c>
      <c r="C10899" t="str">
        <f t="shared" si="342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1"/>
        <v>-2</v>
      </c>
    </row>
    <row r="10900" spans="1:8" x14ac:dyDescent="0.2">
      <c r="A10900" t="s">
        <v>7</v>
      </c>
      <c r="B10900" t="s">
        <v>30</v>
      </c>
      <c r="C10900" t="str">
        <f t="shared" si="342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1"/>
        <v>-2</v>
      </c>
    </row>
    <row r="10901" spans="1:8" x14ac:dyDescent="0.2">
      <c r="A10901" t="s">
        <v>7</v>
      </c>
      <c r="B10901" t="s">
        <v>30</v>
      </c>
      <c r="C10901" t="str">
        <f t="shared" si="342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1"/>
        <v>-2</v>
      </c>
    </row>
    <row r="10902" spans="1:8" x14ac:dyDescent="0.2">
      <c r="A10902" t="s">
        <v>7</v>
      </c>
      <c r="B10902" t="s">
        <v>30</v>
      </c>
      <c r="C10902" t="str">
        <f t="shared" si="342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1"/>
        <v>-2</v>
      </c>
    </row>
    <row r="10903" spans="1:8" x14ac:dyDescent="0.2">
      <c r="A10903" t="s">
        <v>7</v>
      </c>
      <c r="B10903" t="s">
        <v>30</v>
      </c>
      <c r="C10903" t="str">
        <f t="shared" si="342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1"/>
        <v>-2</v>
      </c>
    </row>
    <row r="10904" spans="1:8" x14ac:dyDescent="0.2">
      <c r="A10904" t="s">
        <v>7</v>
      </c>
      <c r="B10904" t="s">
        <v>30</v>
      </c>
      <c r="C10904" t="str">
        <f t="shared" si="342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1"/>
        <v>-2</v>
      </c>
    </row>
    <row r="10905" spans="1:8" x14ac:dyDescent="0.2">
      <c r="A10905" t="s">
        <v>7</v>
      </c>
      <c r="B10905" t="s">
        <v>30</v>
      </c>
      <c r="C10905" t="str">
        <f t="shared" si="342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1"/>
        <v>-2</v>
      </c>
    </row>
    <row r="10906" spans="1:8" x14ac:dyDescent="0.2">
      <c r="A10906" t="s">
        <v>7</v>
      </c>
      <c r="B10906" t="s">
        <v>30</v>
      </c>
      <c r="C10906" t="str">
        <f t="shared" si="342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1"/>
        <v>-2</v>
      </c>
    </row>
    <row r="10907" spans="1:8" x14ac:dyDescent="0.2">
      <c r="A10907" t="s">
        <v>7</v>
      </c>
      <c r="B10907" t="s">
        <v>30</v>
      </c>
      <c r="C10907" t="str">
        <f t="shared" si="342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1"/>
        <v>-2</v>
      </c>
    </row>
    <row r="10908" spans="1:8" x14ac:dyDescent="0.2">
      <c r="A10908" t="s">
        <v>7</v>
      </c>
      <c r="B10908" t="s">
        <v>30</v>
      </c>
      <c r="C10908" t="str">
        <f t="shared" si="342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1"/>
        <v>-2</v>
      </c>
    </row>
    <row r="10909" spans="1:8" x14ac:dyDescent="0.2">
      <c r="A10909" t="s">
        <v>7</v>
      </c>
      <c r="B10909" t="s">
        <v>30</v>
      </c>
      <c r="C10909" t="str">
        <f t="shared" si="342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1"/>
        <v>-2</v>
      </c>
    </row>
    <row r="10910" spans="1:8" x14ac:dyDescent="0.2">
      <c r="A10910" t="s">
        <v>7</v>
      </c>
      <c r="B10910" t="s">
        <v>30</v>
      </c>
      <c r="C10910" t="str">
        <f t="shared" si="342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1"/>
        <v>-2</v>
      </c>
    </row>
    <row r="10911" spans="1:8" x14ac:dyDescent="0.2">
      <c r="A10911" t="s">
        <v>7</v>
      </c>
      <c r="B10911" t="s">
        <v>30</v>
      </c>
      <c r="C10911" t="str">
        <f t="shared" si="342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1"/>
        <v>-2</v>
      </c>
    </row>
    <row r="10912" spans="1:8" x14ac:dyDescent="0.2">
      <c r="A10912" t="s">
        <v>7</v>
      </c>
      <c r="B10912" t="s">
        <v>30</v>
      </c>
      <c r="C10912" t="str">
        <f t="shared" si="342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1"/>
        <v>-2</v>
      </c>
    </row>
    <row r="10913" spans="1:8" x14ac:dyDescent="0.2">
      <c r="A10913" t="s">
        <v>7</v>
      </c>
      <c r="B10913" t="s">
        <v>30</v>
      </c>
      <c r="C10913" t="str">
        <f t="shared" si="342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1"/>
        <v>-2</v>
      </c>
    </row>
    <row r="10914" spans="1:8" x14ac:dyDescent="0.2">
      <c r="A10914" t="s">
        <v>7</v>
      </c>
      <c r="B10914" t="s">
        <v>30</v>
      </c>
      <c r="C10914" t="str">
        <f t="shared" si="342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1"/>
        <v>0</v>
      </c>
    </row>
    <row r="10915" spans="1:8" x14ac:dyDescent="0.2">
      <c r="A10915" t="s">
        <v>7</v>
      </c>
      <c r="B10915" t="s">
        <v>30</v>
      </c>
      <c r="C10915" t="str">
        <f t="shared" si="342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1"/>
        <v>-3</v>
      </c>
    </row>
    <row r="10916" spans="1:8" x14ac:dyDescent="0.2">
      <c r="A10916" t="s">
        <v>7</v>
      </c>
      <c r="B10916" t="s">
        <v>30</v>
      </c>
      <c r="C10916" t="str">
        <f t="shared" si="342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1"/>
        <v>-3</v>
      </c>
    </row>
    <row r="10917" spans="1:8" x14ac:dyDescent="0.2">
      <c r="A10917" t="s">
        <v>7</v>
      </c>
      <c r="B10917" t="s">
        <v>30</v>
      </c>
      <c r="C10917" t="str">
        <f t="shared" si="342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1"/>
        <v>-3</v>
      </c>
    </row>
    <row r="10918" spans="1:8" x14ac:dyDescent="0.2">
      <c r="A10918" t="s">
        <v>18</v>
      </c>
      <c r="B10918" t="s">
        <v>30</v>
      </c>
      <c r="C10918" t="str">
        <f t="shared" si="342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1"/>
        <v>-3</v>
      </c>
    </row>
    <row r="10919" spans="1:8" x14ac:dyDescent="0.2">
      <c r="A10919" t="s">
        <v>7</v>
      </c>
      <c r="B10919" t="s">
        <v>30</v>
      </c>
      <c r="C10919" t="str">
        <f t="shared" si="342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1"/>
        <v>-3</v>
      </c>
    </row>
    <row r="10920" spans="1:8" x14ac:dyDescent="0.2">
      <c r="A10920" t="s">
        <v>18</v>
      </c>
      <c r="B10920" t="s">
        <v>30</v>
      </c>
      <c r="C10920" t="str">
        <f t="shared" si="342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1"/>
        <v>-3</v>
      </c>
    </row>
    <row r="10921" spans="1:8" x14ac:dyDescent="0.2">
      <c r="A10921" t="s">
        <v>7</v>
      </c>
      <c r="B10921" t="s">
        <v>30</v>
      </c>
      <c r="C10921" t="str">
        <f t="shared" si="342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1"/>
        <v>-3</v>
      </c>
    </row>
    <row r="10922" spans="1:8" x14ac:dyDescent="0.2">
      <c r="A10922" t="s">
        <v>18</v>
      </c>
      <c r="B10922" t="s">
        <v>30</v>
      </c>
      <c r="C10922" t="str">
        <f t="shared" si="342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1"/>
        <v>-3</v>
      </c>
    </row>
    <row r="10923" spans="1:8" x14ac:dyDescent="0.2">
      <c r="A10923" t="s">
        <v>7</v>
      </c>
      <c r="B10923" t="s">
        <v>30</v>
      </c>
      <c r="C10923" t="str">
        <f t="shared" si="342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41"/>
        <v>-6</v>
      </c>
    </row>
    <row r="10924" spans="1:8" x14ac:dyDescent="0.2">
      <c r="A10924" t="s">
        <v>18</v>
      </c>
      <c r="B10924" t="s">
        <v>30</v>
      </c>
      <c r="C10924" t="str">
        <f t="shared" si="342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1"/>
        <v>-3</v>
      </c>
    </row>
    <row r="10925" spans="1:8" x14ac:dyDescent="0.2">
      <c r="A10925" t="s">
        <v>18</v>
      </c>
      <c r="B10925" t="s">
        <v>30</v>
      </c>
      <c r="C10925" t="str">
        <f t="shared" si="342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1"/>
        <v>-3</v>
      </c>
    </row>
    <row r="10926" spans="1:8" x14ac:dyDescent="0.2">
      <c r="A10926" t="s">
        <v>7</v>
      </c>
      <c r="B10926" t="s">
        <v>30</v>
      </c>
      <c r="C10926" t="str">
        <f t="shared" si="342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1"/>
        <v>-6</v>
      </c>
    </row>
    <row r="10927" spans="1:8" x14ac:dyDescent="0.2">
      <c r="A10927" t="s">
        <v>19</v>
      </c>
      <c r="B10927" t="s">
        <v>30</v>
      </c>
      <c r="C10927" t="str">
        <f t="shared" si="342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1"/>
        <v>-3</v>
      </c>
    </row>
    <row r="10928" spans="1:8" x14ac:dyDescent="0.2">
      <c r="A10928" t="s">
        <v>7</v>
      </c>
      <c r="B10928" t="s">
        <v>30</v>
      </c>
      <c r="C10928" t="str">
        <f t="shared" si="342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1"/>
        <v>-3</v>
      </c>
    </row>
    <row r="10929" spans="1:8" x14ac:dyDescent="0.2">
      <c r="A10929" t="s">
        <v>7</v>
      </c>
      <c r="B10929" t="s">
        <v>30</v>
      </c>
      <c r="C10929" t="str">
        <f t="shared" si="342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1"/>
        <v>-3</v>
      </c>
    </row>
    <row r="10930" spans="1:8" x14ac:dyDescent="0.2">
      <c r="A10930" t="s">
        <v>18</v>
      </c>
      <c r="B10930" t="s">
        <v>30</v>
      </c>
      <c r="C10930" t="str">
        <f t="shared" si="342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1"/>
        <v>-3</v>
      </c>
    </row>
    <row r="10931" spans="1:8" x14ac:dyDescent="0.2">
      <c r="A10931" t="s">
        <v>7</v>
      </c>
      <c r="B10931" t="s">
        <v>30</v>
      </c>
      <c r="C10931" t="str">
        <f t="shared" si="342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1"/>
        <v>-3</v>
      </c>
    </row>
    <row r="10932" spans="1:8" x14ac:dyDescent="0.2">
      <c r="A10932" t="s">
        <v>7</v>
      </c>
      <c r="B10932" t="s">
        <v>30</v>
      </c>
      <c r="C10932" t="str">
        <f t="shared" si="342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1"/>
        <v>-6</v>
      </c>
    </row>
    <row r="10933" spans="1:8" x14ac:dyDescent="0.2">
      <c r="A10933" t="s">
        <v>18</v>
      </c>
      <c r="B10933" t="s">
        <v>30</v>
      </c>
      <c r="C10933" t="str">
        <f t="shared" si="342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1"/>
        <v>-3</v>
      </c>
    </row>
    <row r="10934" spans="1:8" x14ac:dyDescent="0.2">
      <c r="A10934" t="s">
        <v>7</v>
      </c>
      <c r="B10934" t="s">
        <v>30</v>
      </c>
      <c r="C10934" t="str">
        <f t="shared" si="342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1"/>
        <v>-3</v>
      </c>
    </row>
    <row r="10935" spans="1:8" x14ac:dyDescent="0.2">
      <c r="A10935" t="s">
        <v>18</v>
      </c>
      <c r="B10935" t="s">
        <v>30</v>
      </c>
      <c r="C10935" t="str">
        <f t="shared" si="342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1"/>
        <v>-3</v>
      </c>
    </row>
    <row r="10936" spans="1:8" x14ac:dyDescent="0.2">
      <c r="A10936" t="s">
        <v>7</v>
      </c>
      <c r="B10936" t="s">
        <v>30</v>
      </c>
      <c r="C10936" t="str">
        <f t="shared" si="342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1"/>
        <v>-3</v>
      </c>
    </row>
    <row r="10937" spans="1:8" x14ac:dyDescent="0.2">
      <c r="A10937" t="s">
        <v>7</v>
      </c>
      <c r="B10937" t="s">
        <v>30</v>
      </c>
      <c r="C10937" t="str">
        <f t="shared" si="342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1"/>
        <v>-3</v>
      </c>
    </row>
    <row r="10938" spans="1:8" x14ac:dyDescent="0.2">
      <c r="A10938" t="s">
        <v>18</v>
      </c>
      <c r="B10938" t="s">
        <v>30</v>
      </c>
      <c r="C10938" t="str">
        <f t="shared" si="342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1"/>
        <v>-3</v>
      </c>
    </row>
    <row r="10939" spans="1:8" x14ac:dyDescent="0.2">
      <c r="A10939" t="s">
        <v>7</v>
      </c>
      <c r="B10939" t="s">
        <v>30</v>
      </c>
      <c r="C10939" t="str">
        <f t="shared" si="342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1"/>
        <v>-6</v>
      </c>
    </row>
    <row r="10940" spans="1:8" x14ac:dyDescent="0.2">
      <c r="A10940" t="s">
        <v>7</v>
      </c>
      <c r="B10940" t="s">
        <v>30</v>
      </c>
      <c r="C10940" t="str">
        <f t="shared" si="342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1"/>
        <v>-6</v>
      </c>
    </row>
    <row r="10941" spans="1:8" x14ac:dyDescent="0.2">
      <c r="A10941" t="s">
        <v>18</v>
      </c>
      <c r="B10941" t="s">
        <v>30</v>
      </c>
      <c r="C10941" t="str">
        <f t="shared" si="342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1"/>
        <v>-3</v>
      </c>
    </row>
    <row r="10942" spans="1:8" x14ac:dyDescent="0.2">
      <c r="A10942" t="s">
        <v>18</v>
      </c>
      <c r="B10942" t="s">
        <v>30</v>
      </c>
      <c r="C10942" t="str">
        <f t="shared" si="342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1"/>
        <v>-3</v>
      </c>
    </row>
    <row r="10943" spans="1:8" x14ac:dyDescent="0.2">
      <c r="A10943" t="s">
        <v>18</v>
      </c>
      <c r="B10943" t="s">
        <v>30</v>
      </c>
      <c r="C10943" t="str">
        <f t="shared" si="342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1"/>
        <v>-3</v>
      </c>
    </row>
    <row r="10944" spans="1:8" x14ac:dyDescent="0.2">
      <c r="A10944" t="s">
        <v>18</v>
      </c>
      <c r="B10944" t="s">
        <v>30</v>
      </c>
      <c r="C10944" t="str">
        <f t="shared" si="342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1"/>
        <v>-3</v>
      </c>
    </row>
    <row r="10945" spans="1:8" x14ac:dyDescent="0.2">
      <c r="A10945" t="s">
        <v>7</v>
      </c>
      <c r="B10945" t="s">
        <v>30</v>
      </c>
      <c r="C10945" t="str">
        <f t="shared" si="342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1"/>
        <v>-3</v>
      </c>
    </row>
    <row r="10946" spans="1:8" x14ac:dyDescent="0.2">
      <c r="A10946" t="s">
        <v>18</v>
      </c>
      <c r="B10946" t="s">
        <v>30</v>
      </c>
      <c r="C10946" t="str">
        <f t="shared" si="342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1"/>
        <v>-3</v>
      </c>
    </row>
    <row r="10947" spans="1:8" x14ac:dyDescent="0.2">
      <c r="A10947" t="s">
        <v>18</v>
      </c>
      <c r="B10947" t="s">
        <v>30</v>
      </c>
      <c r="C10947" t="str">
        <f t="shared" si="342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3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2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3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4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3"/>
        <v>-3</v>
      </c>
    </row>
    <row r="10950" spans="1:8" x14ac:dyDescent="0.2">
      <c r="A10950" t="s">
        <v>18</v>
      </c>
      <c r="B10950" t="s">
        <v>30</v>
      </c>
      <c r="C10950" t="str">
        <f t="shared" si="34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3"/>
        <v>-3</v>
      </c>
    </row>
    <row r="10951" spans="1:8" x14ac:dyDescent="0.2">
      <c r="A10951" t="s">
        <v>18</v>
      </c>
      <c r="B10951" t="s">
        <v>30</v>
      </c>
      <c r="C10951" t="str">
        <f t="shared" si="34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3"/>
        <v>-3</v>
      </c>
    </row>
    <row r="10952" spans="1:8" x14ac:dyDescent="0.2">
      <c r="A10952" t="s">
        <v>18</v>
      </c>
      <c r="B10952" t="s">
        <v>30</v>
      </c>
      <c r="C10952" t="str">
        <f t="shared" si="34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3"/>
        <v>-3</v>
      </c>
    </row>
    <row r="10953" spans="1:8" x14ac:dyDescent="0.2">
      <c r="A10953" t="s">
        <v>18</v>
      </c>
      <c r="B10953" t="s">
        <v>30</v>
      </c>
      <c r="C10953" t="str">
        <f t="shared" si="34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3"/>
        <v>-3</v>
      </c>
    </row>
    <row r="10954" spans="1:8" x14ac:dyDescent="0.2">
      <c r="A10954" t="s">
        <v>18</v>
      </c>
      <c r="B10954" t="s">
        <v>30</v>
      </c>
      <c r="C10954" t="str">
        <f t="shared" si="34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3"/>
        <v>-3</v>
      </c>
    </row>
    <row r="10955" spans="1:8" x14ac:dyDescent="0.2">
      <c r="A10955" t="s">
        <v>18</v>
      </c>
      <c r="B10955" t="s">
        <v>30</v>
      </c>
      <c r="C10955" t="str">
        <f t="shared" si="34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3"/>
        <v>-3</v>
      </c>
    </row>
    <row r="10956" spans="1:8" x14ac:dyDescent="0.2">
      <c r="A10956" t="s">
        <v>7</v>
      </c>
      <c r="B10956" t="s">
        <v>30</v>
      </c>
      <c r="C10956" t="str">
        <f t="shared" si="34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3"/>
        <v>-3</v>
      </c>
    </row>
    <row r="10957" spans="1:8" x14ac:dyDescent="0.2">
      <c r="A10957" t="s">
        <v>7</v>
      </c>
      <c r="B10957" t="s">
        <v>30</v>
      </c>
      <c r="C10957" t="str">
        <f t="shared" si="34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3"/>
        <v>-3</v>
      </c>
    </row>
    <row r="10958" spans="1:8" x14ac:dyDescent="0.2">
      <c r="A10958" t="s">
        <v>18</v>
      </c>
      <c r="B10958" t="s">
        <v>30</v>
      </c>
      <c r="C10958" t="str">
        <f t="shared" si="34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3"/>
        <v>-3</v>
      </c>
    </row>
    <row r="10959" spans="1:8" x14ac:dyDescent="0.2">
      <c r="A10959" t="s">
        <v>7</v>
      </c>
      <c r="B10959" t="s">
        <v>30</v>
      </c>
      <c r="C10959" t="str">
        <f t="shared" si="344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3"/>
        <v>-3</v>
      </c>
    </row>
    <row r="10960" spans="1:8" x14ac:dyDescent="0.2">
      <c r="A10960" t="s">
        <v>7</v>
      </c>
      <c r="B10960" t="s">
        <v>30</v>
      </c>
      <c r="C10960" t="str">
        <f t="shared" si="344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3"/>
        <v>-3</v>
      </c>
    </row>
    <row r="10961" spans="1:8" x14ac:dyDescent="0.2">
      <c r="A10961" t="s">
        <v>18</v>
      </c>
      <c r="B10961" t="s">
        <v>30</v>
      </c>
      <c r="C10961" t="str">
        <f t="shared" si="344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3"/>
        <v>-3</v>
      </c>
    </row>
    <row r="10962" spans="1:8" x14ac:dyDescent="0.2">
      <c r="A10962" t="s">
        <v>7</v>
      </c>
      <c r="B10962" t="s">
        <v>30</v>
      </c>
      <c r="C10962" t="str">
        <f t="shared" si="344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3"/>
        <v>-3</v>
      </c>
    </row>
    <row r="10963" spans="1:8" x14ac:dyDescent="0.2">
      <c r="A10963" t="s">
        <v>7</v>
      </c>
      <c r="B10963" t="s">
        <v>30</v>
      </c>
      <c r="C10963" t="str">
        <f t="shared" si="344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3"/>
        <v>-3</v>
      </c>
    </row>
    <row r="10964" spans="1:8" x14ac:dyDescent="0.2">
      <c r="A10964" t="s">
        <v>7</v>
      </c>
      <c r="B10964" t="s">
        <v>30</v>
      </c>
      <c r="C10964" t="str">
        <f t="shared" si="344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3"/>
        <v>-3</v>
      </c>
    </row>
    <row r="10965" spans="1:8" x14ac:dyDescent="0.2">
      <c r="A10965" t="s">
        <v>7</v>
      </c>
      <c r="B10965" t="s">
        <v>30</v>
      </c>
      <c r="C10965" t="str">
        <f t="shared" si="344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3"/>
        <v>-3</v>
      </c>
    </row>
    <row r="10966" spans="1:8" x14ac:dyDescent="0.2">
      <c r="A10966" t="s">
        <v>7</v>
      </c>
      <c r="B10966" t="s">
        <v>30</v>
      </c>
      <c r="C10966" t="str">
        <f t="shared" si="344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3"/>
        <v>-3</v>
      </c>
    </row>
    <row r="10967" spans="1:8" x14ac:dyDescent="0.2">
      <c r="A10967" t="s">
        <v>18</v>
      </c>
      <c r="B10967" t="s">
        <v>30</v>
      </c>
      <c r="C10967" t="str">
        <f t="shared" si="344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3"/>
        <v>-3</v>
      </c>
    </row>
    <row r="10968" spans="1:8" x14ac:dyDescent="0.2">
      <c r="A10968" t="s">
        <v>18</v>
      </c>
      <c r="B10968" t="s">
        <v>30</v>
      </c>
      <c r="C10968" t="str">
        <f t="shared" si="344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3"/>
        <v>-3</v>
      </c>
    </row>
    <row r="10969" spans="1:8" x14ac:dyDescent="0.2">
      <c r="A10969" t="s">
        <v>7</v>
      </c>
      <c r="B10969" t="s">
        <v>30</v>
      </c>
      <c r="C10969" t="str">
        <f t="shared" si="344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3"/>
        <v>-3</v>
      </c>
    </row>
    <row r="10970" spans="1:8" x14ac:dyDescent="0.2">
      <c r="A10970" t="s">
        <v>18</v>
      </c>
      <c r="B10970" t="s">
        <v>30</v>
      </c>
      <c r="C10970" t="str">
        <f t="shared" si="344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3"/>
        <v>-3</v>
      </c>
    </row>
    <row r="10971" spans="1:8" x14ac:dyDescent="0.2">
      <c r="A10971" t="s">
        <v>7</v>
      </c>
      <c r="B10971" t="s">
        <v>30</v>
      </c>
      <c r="C10971" t="str">
        <f t="shared" si="344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3"/>
        <v>-3</v>
      </c>
    </row>
    <row r="10972" spans="1:8" x14ac:dyDescent="0.2">
      <c r="A10972" t="s">
        <v>18</v>
      </c>
      <c r="B10972" t="s">
        <v>30</v>
      </c>
      <c r="C10972" t="str">
        <f t="shared" si="344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3"/>
        <v>-3</v>
      </c>
    </row>
    <row r="10973" spans="1:8" x14ac:dyDescent="0.2">
      <c r="A10973" t="s">
        <v>7</v>
      </c>
      <c r="B10973" t="s">
        <v>30</v>
      </c>
      <c r="C10973" t="str">
        <f t="shared" si="344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3"/>
        <v>-3</v>
      </c>
    </row>
    <row r="10974" spans="1:8" x14ac:dyDescent="0.2">
      <c r="A10974" t="s">
        <v>18</v>
      </c>
      <c r="B10974" t="s">
        <v>30</v>
      </c>
      <c r="C10974" t="str">
        <f t="shared" si="344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3"/>
        <v>-3</v>
      </c>
    </row>
    <row r="10975" spans="1:8" x14ac:dyDescent="0.2">
      <c r="A10975" t="s">
        <v>7</v>
      </c>
      <c r="B10975" t="s">
        <v>30</v>
      </c>
      <c r="C10975" t="str">
        <f t="shared" si="344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3"/>
        <v>-3</v>
      </c>
    </row>
    <row r="10976" spans="1:8" x14ac:dyDescent="0.2">
      <c r="A10976" t="s">
        <v>19</v>
      </c>
      <c r="B10976" t="s">
        <v>30</v>
      </c>
      <c r="C10976" t="str">
        <f t="shared" si="344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3"/>
        <v>-6</v>
      </c>
    </row>
    <row r="10977" spans="1:8" x14ac:dyDescent="0.2">
      <c r="A10977" t="s">
        <v>19</v>
      </c>
      <c r="B10977" t="s">
        <v>30</v>
      </c>
      <c r="C10977" t="str">
        <f t="shared" si="344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3"/>
        <v>-3</v>
      </c>
    </row>
    <row r="10978" spans="1:8" x14ac:dyDescent="0.2">
      <c r="A10978" t="s">
        <v>7</v>
      </c>
      <c r="B10978" t="s">
        <v>30</v>
      </c>
      <c r="C10978" t="str">
        <f t="shared" si="344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3"/>
        <v>0</v>
      </c>
    </row>
    <row r="10979" spans="1:8" x14ac:dyDescent="0.2">
      <c r="A10979" t="s">
        <v>7</v>
      </c>
      <c r="B10979" t="s">
        <v>30</v>
      </c>
      <c r="C10979" t="str">
        <f t="shared" si="344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3"/>
        <v>-3</v>
      </c>
    </row>
    <row r="10980" spans="1:8" x14ac:dyDescent="0.2">
      <c r="A10980" t="s">
        <v>7</v>
      </c>
      <c r="B10980" t="s">
        <v>30</v>
      </c>
      <c r="C10980" t="str">
        <f t="shared" si="344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43"/>
        <v>-6</v>
      </c>
    </row>
    <row r="10981" spans="1:8" x14ac:dyDescent="0.2">
      <c r="A10981" t="s">
        <v>7</v>
      </c>
      <c r="B10981" t="s">
        <v>30</v>
      </c>
      <c r="C10981" t="str">
        <f t="shared" si="344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3"/>
        <v>-3</v>
      </c>
    </row>
    <row r="10982" spans="1:8" x14ac:dyDescent="0.2">
      <c r="A10982" t="s">
        <v>7</v>
      </c>
      <c r="B10982" t="s">
        <v>30</v>
      </c>
      <c r="C10982" t="str">
        <f t="shared" si="344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3"/>
        <v>-3</v>
      </c>
    </row>
    <row r="10983" spans="1:8" x14ac:dyDescent="0.2">
      <c r="A10983" t="s">
        <v>18</v>
      </c>
      <c r="B10983" t="s">
        <v>30</v>
      </c>
      <c r="C10983" t="str">
        <f t="shared" si="344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3"/>
        <v>-6</v>
      </c>
    </row>
    <row r="10984" spans="1:8" x14ac:dyDescent="0.2">
      <c r="A10984" t="s">
        <v>18</v>
      </c>
      <c r="B10984" t="s">
        <v>30</v>
      </c>
      <c r="C10984" t="str">
        <f t="shared" si="344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3"/>
        <v>-3</v>
      </c>
    </row>
    <row r="10985" spans="1:8" x14ac:dyDescent="0.2">
      <c r="A10985" t="s">
        <v>7</v>
      </c>
      <c r="B10985" t="s">
        <v>30</v>
      </c>
      <c r="C10985" t="str">
        <f t="shared" si="344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3"/>
        <v>-3</v>
      </c>
    </row>
    <row r="10986" spans="1:8" x14ac:dyDescent="0.2">
      <c r="A10986" t="s">
        <v>7</v>
      </c>
      <c r="B10986" t="s">
        <v>30</v>
      </c>
      <c r="C10986" t="str">
        <f t="shared" si="344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3"/>
        <v>-3</v>
      </c>
    </row>
    <row r="10987" spans="1:8" x14ac:dyDescent="0.2">
      <c r="A10987" t="s">
        <v>19</v>
      </c>
      <c r="B10987" t="s">
        <v>30</v>
      </c>
      <c r="C10987" t="str">
        <f t="shared" si="344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3"/>
        <v>-3</v>
      </c>
    </row>
    <row r="10988" spans="1:8" x14ac:dyDescent="0.2">
      <c r="A10988" t="s">
        <v>7</v>
      </c>
      <c r="B10988" t="s">
        <v>30</v>
      </c>
      <c r="C10988" t="str">
        <f t="shared" si="344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3"/>
        <v>-3</v>
      </c>
    </row>
    <row r="10989" spans="1:8" x14ac:dyDescent="0.2">
      <c r="A10989" t="s">
        <v>18</v>
      </c>
      <c r="B10989" t="s">
        <v>30</v>
      </c>
      <c r="C10989" t="str">
        <f t="shared" si="344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3"/>
        <v>-3</v>
      </c>
    </row>
    <row r="10990" spans="1:8" x14ac:dyDescent="0.2">
      <c r="A10990" t="s">
        <v>19</v>
      </c>
      <c r="B10990" t="s">
        <v>30</v>
      </c>
      <c r="C10990" t="str">
        <f t="shared" si="344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3"/>
        <v>-3</v>
      </c>
    </row>
    <row r="10991" spans="1:8" x14ac:dyDescent="0.2">
      <c r="A10991" t="s">
        <v>7</v>
      </c>
      <c r="B10991" t="s">
        <v>30</v>
      </c>
      <c r="C10991" t="str">
        <f t="shared" si="344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3"/>
        <v>33</v>
      </c>
    </row>
    <row r="10992" spans="1:8" x14ac:dyDescent="0.2">
      <c r="A10992" t="s">
        <v>7</v>
      </c>
      <c r="B10992" t="s">
        <v>30</v>
      </c>
      <c r="C10992" t="str">
        <f t="shared" si="344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3"/>
        <v>30</v>
      </c>
    </row>
    <row r="10993" spans="1:8" x14ac:dyDescent="0.2">
      <c r="A10993" t="s">
        <v>7</v>
      </c>
      <c r="B10993" t="s">
        <v>30</v>
      </c>
      <c r="C10993" t="str">
        <f t="shared" si="344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3"/>
        <v>10</v>
      </c>
    </row>
    <row r="10994" spans="1:8" x14ac:dyDescent="0.2">
      <c r="A10994" t="s">
        <v>7</v>
      </c>
      <c r="B10994" t="s">
        <v>30</v>
      </c>
      <c r="C10994" t="str">
        <f t="shared" si="344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3"/>
        <v>10</v>
      </c>
    </row>
    <row r="10995" spans="1:8" x14ac:dyDescent="0.2">
      <c r="A10995" t="s">
        <v>7</v>
      </c>
      <c r="B10995" t="s">
        <v>30</v>
      </c>
      <c r="C10995" t="str">
        <f t="shared" si="344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3"/>
        <v>10</v>
      </c>
    </row>
    <row r="10996" spans="1:8" x14ac:dyDescent="0.2">
      <c r="A10996" t="s">
        <v>7</v>
      </c>
      <c r="B10996" t="s">
        <v>30</v>
      </c>
      <c r="C10996" t="str">
        <f t="shared" si="344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3"/>
        <v>10</v>
      </c>
    </row>
    <row r="10997" spans="1:8" x14ac:dyDescent="0.2">
      <c r="A10997" t="s">
        <v>7</v>
      </c>
      <c r="B10997" t="s">
        <v>30</v>
      </c>
      <c r="C10997" t="str">
        <f t="shared" si="344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3"/>
        <v>8</v>
      </c>
    </row>
    <row r="10998" spans="1:8" x14ac:dyDescent="0.2">
      <c r="A10998" t="s">
        <v>7</v>
      </c>
      <c r="B10998" t="s">
        <v>30</v>
      </c>
      <c r="C10998" t="str">
        <f t="shared" si="344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3"/>
        <v>7</v>
      </c>
    </row>
    <row r="10999" spans="1:8" x14ac:dyDescent="0.2">
      <c r="A10999" t="s">
        <v>7</v>
      </c>
      <c r="B10999" t="s">
        <v>30</v>
      </c>
      <c r="C10999" t="str">
        <f t="shared" si="344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3"/>
        <v>7</v>
      </c>
    </row>
    <row r="11000" spans="1:8" x14ac:dyDescent="0.2">
      <c r="A11000" t="s">
        <v>7</v>
      </c>
      <c r="B11000" t="s">
        <v>30</v>
      </c>
      <c r="C11000" t="str">
        <f t="shared" si="344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3"/>
        <v>6</v>
      </c>
    </row>
    <row r="11001" spans="1:8" x14ac:dyDescent="0.2">
      <c r="A11001" t="s">
        <v>7</v>
      </c>
      <c r="B11001" t="s">
        <v>30</v>
      </c>
      <c r="C11001" t="str">
        <f t="shared" si="344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3"/>
        <v>5</v>
      </c>
    </row>
    <row r="11002" spans="1:8" x14ac:dyDescent="0.2">
      <c r="A11002" t="s">
        <v>7</v>
      </c>
      <c r="B11002" t="s">
        <v>30</v>
      </c>
      <c r="C11002" t="str">
        <f t="shared" si="344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3"/>
        <v>5</v>
      </c>
    </row>
    <row r="11003" spans="1:8" x14ac:dyDescent="0.2">
      <c r="A11003" t="s">
        <v>7</v>
      </c>
      <c r="B11003" t="s">
        <v>30</v>
      </c>
      <c r="C11003" t="str">
        <f t="shared" si="344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3"/>
        <v>4</v>
      </c>
    </row>
    <row r="11004" spans="1:8" x14ac:dyDescent="0.2">
      <c r="A11004" t="s">
        <v>7</v>
      </c>
      <c r="B11004" t="s">
        <v>30</v>
      </c>
      <c r="C11004" t="str">
        <f t="shared" si="344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3"/>
        <v>4</v>
      </c>
    </row>
    <row r="11005" spans="1:8" x14ac:dyDescent="0.2">
      <c r="A11005" t="s">
        <v>7</v>
      </c>
      <c r="B11005" t="s">
        <v>30</v>
      </c>
      <c r="C11005" t="str">
        <f t="shared" si="344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3"/>
        <v>4</v>
      </c>
    </row>
    <row r="11006" spans="1:8" x14ac:dyDescent="0.2">
      <c r="A11006" t="s">
        <v>7</v>
      </c>
      <c r="B11006" t="s">
        <v>30</v>
      </c>
      <c r="C11006" t="str">
        <f t="shared" si="344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3"/>
        <v>3</v>
      </c>
    </row>
    <row r="11007" spans="1:8" x14ac:dyDescent="0.2">
      <c r="A11007" t="s">
        <v>7</v>
      </c>
      <c r="B11007" t="s">
        <v>30</v>
      </c>
      <c r="C11007" t="str">
        <f t="shared" si="344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3"/>
        <v>3</v>
      </c>
    </row>
    <row r="11008" spans="1:8" x14ac:dyDescent="0.2">
      <c r="A11008" t="s">
        <v>7</v>
      </c>
      <c r="B11008" t="s">
        <v>30</v>
      </c>
      <c r="C11008" t="str">
        <f t="shared" si="344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3"/>
        <v>3</v>
      </c>
    </row>
    <row r="11009" spans="1:8" x14ac:dyDescent="0.2">
      <c r="A11009" t="s">
        <v>7</v>
      </c>
      <c r="B11009" t="s">
        <v>30</v>
      </c>
      <c r="C11009" t="str">
        <f t="shared" si="344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3"/>
        <v>2</v>
      </c>
    </row>
    <row r="11010" spans="1:8" x14ac:dyDescent="0.2">
      <c r="A11010" t="s">
        <v>7</v>
      </c>
      <c r="B11010" t="s">
        <v>30</v>
      </c>
      <c r="C11010" t="str">
        <f t="shared" si="344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3"/>
        <v>2</v>
      </c>
    </row>
    <row r="11011" spans="1:8" x14ac:dyDescent="0.2">
      <c r="A11011" t="s">
        <v>7</v>
      </c>
      <c r="B11011" t="s">
        <v>30</v>
      </c>
      <c r="C11011" t="str">
        <f t="shared" si="344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5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4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5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6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5"/>
        <v>2</v>
      </c>
    </row>
    <row r="11014" spans="1:8" x14ac:dyDescent="0.2">
      <c r="A11014" t="s">
        <v>7</v>
      </c>
      <c r="B11014" t="s">
        <v>30</v>
      </c>
      <c r="C11014" t="str">
        <f t="shared" si="34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5"/>
        <v>1</v>
      </c>
    </row>
    <row r="11015" spans="1:8" x14ac:dyDescent="0.2">
      <c r="A11015" t="s">
        <v>7</v>
      </c>
      <c r="B11015" t="s">
        <v>30</v>
      </c>
      <c r="C11015" t="str">
        <f t="shared" si="34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5"/>
        <v>1</v>
      </c>
    </row>
    <row r="11016" spans="1:8" x14ac:dyDescent="0.2">
      <c r="A11016" t="s">
        <v>7</v>
      </c>
      <c r="B11016" t="s">
        <v>30</v>
      </c>
      <c r="C11016" t="str">
        <f t="shared" si="34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5"/>
        <v>1</v>
      </c>
    </row>
    <row r="11017" spans="1:8" x14ac:dyDescent="0.2">
      <c r="A11017" t="s">
        <v>7</v>
      </c>
      <c r="B11017" t="s">
        <v>30</v>
      </c>
      <c r="C11017" t="str">
        <f t="shared" si="34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5"/>
        <v>0</v>
      </c>
    </row>
    <row r="11018" spans="1:8" x14ac:dyDescent="0.2">
      <c r="A11018" t="s">
        <v>7</v>
      </c>
      <c r="B11018" t="s">
        <v>30</v>
      </c>
      <c r="C11018" t="str">
        <f t="shared" si="34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5"/>
        <v>0</v>
      </c>
    </row>
    <row r="11019" spans="1:8" x14ac:dyDescent="0.2">
      <c r="A11019" t="s">
        <v>7</v>
      </c>
      <c r="B11019" t="s">
        <v>30</v>
      </c>
      <c r="C11019" t="str">
        <f t="shared" si="34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5"/>
        <v>0</v>
      </c>
    </row>
    <row r="11020" spans="1:8" x14ac:dyDescent="0.2">
      <c r="A11020" t="s">
        <v>7</v>
      </c>
      <c r="B11020" t="s">
        <v>30</v>
      </c>
      <c r="C11020" t="str">
        <f t="shared" si="34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5"/>
        <v>0</v>
      </c>
    </row>
    <row r="11021" spans="1:8" x14ac:dyDescent="0.2">
      <c r="A11021" t="s">
        <v>7</v>
      </c>
      <c r="B11021" t="s">
        <v>30</v>
      </c>
      <c r="C11021" t="str">
        <f t="shared" si="34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5"/>
        <v>0</v>
      </c>
    </row>
    <row r="11022" spans="1:8" x14ac:dyDescent="0.2">
      <c r="A11022" t="s">
        <v>7</v>
      </c>
      <c r="B11022" t="s">
        <v>30</v>
      </c>
      <c r="C11022" t="str">
        <f t="shared" si="34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5"/>
        <v>0</v>
      </c>
    </row>
    <row r="11023" spans="1:8" x14ac:dyDescent="0.2">
      <c r="A11023" t="s">
        <v>7</v>
      </c>
      <c r="B11023" t="s">
        <v>30</v>
      </c>
      <c r="C11023" t="str">
        <f t="shared" si="346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5"/>
        <v>0</v>
      </c>
    </row>
    <row r="11024" spans="1:8" x14ac:dyDescent="0.2">
      <c r="A11024" t="s">
        <v>7</v>
      </c>
      <c r="B11024" t="s">
        <v>30</v>
      </c>
      <c r="C11024" t="str">
        <f t="shared" si="346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5"/>
        <v>-1</v>
      </c>
    </row>
    <row r="11025" spans="1:8" x14ac:dyDescent="0.2">
      <c r="A11025" t="s">
        <v>7</v>
      </c>
      <c r="B11025" t="s">
        <v>30</v>
      </c>
      <c r="C11025" t="str">
        <f t="shared" si="346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5"/>
        <v>-1</v>
      </c>
    </row>
    <row r="11026" spans="1:8" x14ac:dyDescent="0.2">
      <c r="A11026" t="s">
        <v>7</v>
      </c>
      <c r="B11026" t="s">
        <v>30</v>
      </c>
      <c r="C11026" t="str">
        <f t="shared" si="346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5"/>
        <v>-1</v>
      </c>
    </row>
    <row r="11027" spans="1:8" x14ac:dyDescent="0.2">
      <c r="A11027" t="s">
        <v>7</v>
      </c>
      <c r="B11027" t="s">
        <v>30</v>
      </c>
      <c r="C11027" t="str">
        <f t="shared" si="346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5"/>
        <v>-1</v>
      </c>
    </row>
    <row r="11028" spans="1:8" x14ac:dyDescent="0.2">
      <c r="A11028" t="s">
        <v>7</v>
      </c>
      <c r="B11028" t="s">
        <v>30</v>
      </c>
      <c r="C11028" t="str">
        <f t="shared" si="346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5"/>
        <v>-1</v>
      </c>
    </row>
    <row r="11029" spans="1:8" x14ac:dyDescent="0.2">
      <c r="A11029" t="s">
        <v>7</v>
      </c>
      <c r="B11029" t="s">
        <v>30</v>
      </c>
      <c r="C11029" t="str">
        <f t="shared" si="346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5"/>
        <v>-1</v>
      </c>
    </row>
    <row r="11030" spans="1:8" x14ac:dyDescent="0.2">
      <c r="A11030" t="s">
        <v>7</v>
      </c>
      <c r="B11030" t="s">
        <v>30</v>
      </c>
      <c r="C11030" t="str">
        <f t="shared" si="346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5"/>
        <v>-2</v>
      </c>
    </row>
    <row r="11031" spans="1:8" x14ac:dyDescent="0.2">
      <c r="A11031" t="s">
        <v>7</v>
      </c>
      <c r="B11031" t="s">
        <v>30</v>
      </c>
      <c r="C11031" t="str">
        <f t="shared" si="346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5"/>
        <v>-3</v>
      </c>
    </row>
    <row r="11032" spans="1:8" x14ac:dyDescent="0.2">
      <c r="A11032" t="s">
        <v>7</v>
      </c>
      <c r="B11032" t="s">
        <v>30</v>
      </c>
      <c r="C11032" t="str">
        <f t="shared" si="346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5"/>
        <v>-3</v>
      </c>
    </row>
    <row r="11033" spans="1:8" x14ac:dyDescent="0.2">
      <c r="A11033" t="s">
        <v>7</v>
      </c>
      <c r="B11033" t="s">
        <v>30</v>
      </c>
      <c r="C11033" t="str">
        <f t="shared" si="346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5"/>
        <v>-3</v>
      </c>
    </row>
    <row r="11034" spans="1:8" x14ac:dyDescent="0.2">
      <c r="A11034" t="s">
        <v>7</v>
      </c>
      <c r="B11034" t="s">
        <v>30</v>
      </c>
      <c r="C11034" t="str">
        <f t="shared" si="346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5"/>
        <v>-3</v>
      </c>
    </row>
    <row r="11035" spans="1:8" x14ac:dyDescent="0.2">
      <c r="A11035" t="s">
        <v>7</v>
      </c>
      <c r="B11035" t="s">
        <v>30</v>
      </c>
      <c r="C11035" t="str">
        <f t="shared" si="346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5"/>
        <v>-3</v>
      </c>
    </row>
    <row r="11036" spans="1:8" x14ac:dyDescent="0.2">
      <c r="A11036" t="s">
        <v>7</v>
      </c>
      <c r="B11036" t="s">
        <v>30</v>
      </c>
      <c r="C11036" t="str">
        <f t="shared" si="346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5"/>
        <v>-3</v>
      </c>
    </row>
    <row r="11037" spans="1:8" x14ac:dyDescent="0.2">
      <c r="A11037" t="s">
        <v>7</v>
      </c>
      <c r="B11037" t="s">
        <v>30</v>
      </c>
      <c r="C11037" t="str">
        <f t="shared" si="346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5"/>
        <v>-4</v>
      </c>
    </row>
    <row r="11038" spans="1:8" x14ac:dyDescent="0.2">
      <c r="A11038" t="s">
        <v>7</v>
      </c>
      <c r="B11038" t="s">
        <v>30</v>
      </c>
      <c r="C11038" t="str">
        <f t="shared" si="346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5"/>
        <v>-4</v>
      </c>
    </row>
    <row r="11039" spans="1:8" x14ac:dyDescent="0.2">
      <c r="A11039" t="s">
        <v>7</v>
      </c>
      <c r="B11039" t="s">
        <v>30</v>
      </c>
      <c r="C11039" t="str">
        <f t="shared" si="346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5"/>
        <v>-4</v>
      </c>
    </row>
    <row r="11040" spans="1:8" x14ac:dyDescent="0.2">
      <c r="A11040" t="s">
        <v>7</v>
      </c>
      <c r="B11040" t="s">
        <v>30</v>
      </c>
      <c r="C11040" t="str">
        <f t="shared" si="346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5"/>
        <v>-4</v>
      </c>
    </row>
    <row r="11041" spans="1:8" x14ac:dyDescent="0.2">
      <c r="A11041" t="s">
        <v>7</v>
      </c>
      <c r="B11041" t="s">
        <v>30</v>
      </c>
      <c r="C11041" t="str">
        <f t="shared" si="346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5"/>
        <v>-4</v>
      </c>
    </row>
    <row r="11042" spans="1:8" x14ac:dyDescent="0.2">
      <c r="A11042" t="s">
        <v>7</v>
      </c>
      <c r="B11042" t="s">
        <v>30</v>
      </c>
      <c r="C11042" t="str">
        <f t="shared" si="346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5"/>
        <v>-5</v>
      </c>
    </row>
    <row r="11043" spans="1:8" x14ac:dyDescent="0.2">
      <c r="A11043" t="s">
        <v>7</v>
      </c>
      <c r="B11043" t="s">
        <v>30</v>
      </c>
      <c r="C11043" t="str">
        <f t="shared" si="346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5"/>
        <v>-5</v>
      </c>
    </row>
    <row r="11044" spans="1:8" x14ac:dyDescent="0.2">
      <c r="A11044" t="s">
        <v>7</v>
      </c>
      <c r="B11044" t="s">
        <v>30</v>
      </c>
      <c r="C11044" t="str">
        <f t="shared" si="346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5"/>
        <v>-5</v>
      </c>
    </row>
    <row r="11045" spans="1:8" x14ac:dyDescent="0.2">
      <c r="A11045" t="s">
        <v>7</v>
      </c>
      <c r="B11045" t="s">
        <v>30</v>
      </c>
      <c r="C11045" t="str">
        <f t="shared" si="346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5"/>
        <v>-5</v>
      </c>
    </row>
    <row r="11046" spans="1:8" x14ac:dyDescent="0.2">
      <c r="A11046" t="s">
        <v>7</v>
      </c>
      <c r="B11046" t="s">
        <v>30</v>
      </c>
      <c r="C11046" t="str">
        <f t="shared" si="346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5"/>
        <v>-5</v>
      </c>
    </row>
    <row r="11047" spans="1:8" x14ac:dyDescent="0.2">
      <c r="A11047" t="s">
        <v>7</v>
      </c>
      <c r="B11047" t="s">
        <v>30</v>
      </c>
      <c r="C11047" t="str">
        <f t="shared" si="346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5"/>
        <v>-5</v>
      </c>
    </row>
    <row r="11048" spans="1:8" x14ac:dyDescent="0.2">
      <c r="A11048" t="s">
        <v>7</v>
      </c>
      <c r="B11048" t="s">
        <v>30</v>
      </c>
      <c r="C11048" t="str">
        <f t="shared" si="346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5"/>
        <v>-5</v>
      </c>
    </row>
    <row r="11049" spans="1:8" x14ac:dyDescent="0.2">
      <c r="A11049" t="s">
        <v>7</v>
      </c>
      <c r="B11049" t="s">
        <v>30</v>
      </c>
      <c r="C11049" t="str">
        <f t="shared" si="346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5"/>
        <v>-5</v>
      </c>
    </row>
    <row r="11050" spans="1:8" x14ac:dyDescent="0.2">
      <c r="A11050" t="s">
        <v>7</v>
      </c>
      <c r="B11050" t="s">
        <v>30</v>
      </c>
      <c r="C11050" t="str">
        <f t="shared" si="346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5"/>
        <v>-5</v>
      </c>
    </row>
    <row r="11051" spans="1:8" x14ac:dyDescent="0.2">
      <c r="A11051" t="s">
        <v>7</v>
      </c>
      <c r="B11051" t="s">
        <v>30</v>
      </c>
      <c r="C11051" t="str">
        <f t="shared" si="346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5"/>
        <v>-5</v>
      </c>
    </row>
    <row r="11052" spans="1:8" x14ac:dyDescent="0.2">
      <c r="A11052" t="s">
        <v>7</v>
      </c>
      <c r="B11052" t="s">
        <v>30</v>
      </c>
      <c r="C11052" t="str">
        <f t="shared" si="346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5"/>
        <v>-5</v>
      </c>
    </row>
    <row r="11053" spans="1:8" x14ac:dyDescent="0.2">
      <c r="A11053" t="s">
        <v>7</v>
      </c>
      <c r="B11053" t="s">
        <v>30</v>
      </c>
      <c r="C11053" t="str">
        <f t="shared" si="346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5"/>
        <v>-5</v>
      </c>
    </row>
    <row r="11054" spans="1:8" x14ac:dyDescent="0.2">
      <c r="A11054" t="s">
        <v>7</v>
      </c>
      <c r="B11054" t="s">
        <v>30</v>
      </c>
      <c r="C11054" t="str">
        <f t="shared" si="346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5"/>
        <v>-5</v>
      </c>
    </row>
    <row r="11055" spans="1:8" x14ac:dyDescent="0.2">
      <c r="A11055" t="s">
        <v>7</v>
      </c>
      <c r="B11055" t="s">
        <v>30</v>
      </c>
      <c r="C11055" t="str">
        <f t="shared" si="346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5"/>
        <v>-5</v>
      </c>
    </row>
    <row r="11056" spans="1:8" x14ac:dyDescent="0.2">
      <c r="A11056" t="s">
        <v>7</v>
      </c>
      <c r="B11056" t="s">
        <v>30</v>
      </c>
      <c r="C11056" t="str">
        <f t="shared" si="346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5"/>
        <v>-5</v>
      </c>
    </row>
    <row r="11057" spans="1:8" x14ac:dyDescent="0.2">
      <c r="A11057" t="s">
        <v>7</v>
      </c>
      <c r="B11057" t="s">
        <v>30</v>
      </c>
      <c r="C11057" t="str">
        <f t="shared" si="346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5"/>
        <v>-5</v>
      </c>
    </row>
    <row r="11058" spans="1:8" x14ac:dyDescent="0.2">
      <c r="A11058" t="s">
        <v>7</v>
      </c>
      <c r="B11058" t="s">
        <v>30</v>
      </c>
      <c r="C11058" t="str">
        <f t="shared" si="346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5"/>
        <v>-5</v>
      </c>
    </row>
    <row r="11059" spans="1:8" x14ac:dyDescent="0.2">
      <c r="A11059" t="s">
        <v>7</v>
      </c>
      <c r="B11059" t="s">
        <v>30</v>
      </c>
      <c r="C11059" t="str">
        <f t="shared" si="346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5"/>
        <v>-5</v>
      </c>
    </row>
    <row r="11060" spans="1:8" x14ac:dyDescent="0.2">
      <c r="A11060" t="s">
        <v>18</v>
      </c>
      <c r="B11060" t="s">
        <v>30</v>
      </c>
      <c r="C11060" t="str">
        <f t="shared" si="346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5"/>
        <v>-6</v>
      </c>
    </row>
    <row r="11061" spans="1:8" x14ac:dyDescent="0.2">
      <c r="A11061" t="s">
        <v>18</v>
      </c>
      <c r="B11061" t="s">
        <v>30</v>
      </c>
      <c r="C11061" t="str">
        <f t="shared" si="346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5"/>
        <v>-6</v>
      </c>
    </row>
    <row r="11062" spans="1:8" x14ac:dyDescent="0.2">
      <c r="A11062" t="s">
        <v>18</v>
      </c>
      <c r="B11062" t="s">
        <v>30</v>
      </c>
      <c r="C11062" t="str">
        <f t="shared" si="346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5"/>
        <v>-6</v>
      </c>
    </row>
    <row r="11063" spans="1:8" x14ac:dyDescent="0.2">
      <c r="A11063" t="s">
        <v>18</v>
      </c>
      <c r="B11063" t="s">
        <v>30</v>
      </c>
      <c r="C11063" t="str">
        <f t="shared" si="346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5"/>
        <v>-6</v>
      </c>
    </row>
    <row r="11064" spans="1:8" x14ac:dyDescent="0.2">
      <c r="A11064" t="s">
        <v>18</v>
      </c>
      <c r="B11064" t="s">
        <v>30</v>
      </c>
      <c r="C11064" t="str">
        <f t="shared" si="346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5"/>
        <v>-6</v>
      </c>
    </row>
    <row r="11065" spans="1:8" x14ac:dyDescent="0.2">
      <c r="A11065" t="s">
        <v>18</v>
      </c>
      <c r="B11065" t="s">
        <v>30</v>
      </c>
      <c r="C11065" t="str">
        <f t="shared" si="346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5"/>
        <v>-6</v>
      </c>
    </row>
    <row r="11066" spans="1:8" x14ac:dyDescent="0.2">
      <c r="A11066" t="s">
        <v>18</v>
      </c>
      <c r="B11066" t="s">
        <v>30</v>
      </c>
      <c r="C11066" t="str">
        <f t="shared" si="346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5"/>
        <v>-6</v>
      </c>
    </row>
    <row r="11067" spans="1:8" x14ac:dyDescent="0.2">
      <c r="A11067" t="s">
        <v>18</v>
      </c>
      <c r="B11067" t="s">
        <v>30</v>
      </c>
      <c r="C11067" t="str">
        <f t="shared" si="346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5"/>
        <v>-6</v>
      </c>
    </row>
    <row r="11068" spans="1:8" x14ac:dyDescent="0.2">
      <c r="A11068" t="s">
        <v>7</v>
      </c>
      <c r="B11068" t="s">
        <v>30</v>
      </c>
      <c r="C11068" t="str">
        <f t="shared" si="346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5"/>
        <v>-6</v>
      </c>
    </row>
    <row r="11069" spans="1:8" x14ac:dyDescent="0.2">
      <c r="A11069" t="s">
        <v>18</v>
      </c>
      <c r="B11069" t="s">
        <v>30</v>
      </c>
      <c r="C11069" t="str">
        <f t="shared" si="346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5"/>
        <v>-6</v>
      </c>
    </row>
    <row r="11070" spans="1:8" x14ac:dyDescent="0.2">
      <c r="A11070" t="s">
        <v>7</v>
      </c>
      <c r="B11070" t="s">
        <v>30</v>
      </c>
      <c r="C11070" t="str">
        <f t="shared" si="346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5"/>
        <v>-6</v>
      </c>
    </row>
    <row r="11071" spans="1:8" x14ac:dyDescent="0.2">
      <c r="A11071" t="s">
        <v>18</v>
      </c>
      <c r="B11071" t="s">
        <v>30</v>
      </c>
      <c r="C11071" t="str">
        <f t="shared" si="346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5"/>
        <v>-6</v>
      </c>
    </row>
    <row r="11072" spans="1:8" x14ac:dyDescent="0.2">
      <c r="A11072" t="s">
        <v>18</v>
      </c>
      <c r="B11072" t="s">
        <v>30</v>
      </c>
      <c r="C11072" t="str">
        <f t="shared" si="346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5"/>
        <v>-6</v>
      </c>
    </row>
    <row r="11073" spans="1:8" x14ac:dyDescent="0.2">
      <c r="A11073" t="s">
        <v>18</v>
      </c>
      <c r="B11073" t="s">
        <v>30</v>
      </c>
      <c r="C11073" t="str">
        <f t="shared" si="346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5"/>
        <v>-6</v>
      </c>
    </row>
    <row r="11074" spans="1:8" x14ac:dyDescent="0.2">
      <c r="A11074" t="s">
        <v>18</v>
      </c>
      <c r="B11074" t="s">
        <v>30</v>
      </c>
      <c r="C11074" t="str">
        <f t="shared" si="346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5"/>
        <v>-6</v>
      </c>
    </row>
    <row r="11075" spans="1:8" x14ac:dyDescent="0.2">
      <c r="A11075" t="s">
        <v>18</v>
      </c>
      <c r="B11075" t="s">
        <v>30</v>
      </c>
      <c r="C11075" t="str">
        <f t="shared" si="346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7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6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7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48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7"/>
        <v>-6</v>
      </c>
    </row>
    <row r="11078" spans="1:8" x14ac:dyDescent="0.2">
      <c r="A11078" t="s">
        <v>18</v>
      </c>
      <c r="B11078" t="s">
        <v>30</v>
      </c>
      <c r="C11078" t="str">
        <f t="shared" si="348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7"/>
        <v>-6</v>
      </c>
    </row>
    <row r="11079" spans="1:8" x14ac:dyDescent="0.2">
      <c r="A11079" t="s">
        <v>18</v>
      </c>
      <c r="B11079" t="s">
        <v>30</v>
      </c>
      <c r="C11079" t="str">
        <f t="shared" si="348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7"/>
        <v>-6</v>
      </c>
    </row>
    <row r="11080" spans="1:8" x14ac:dyDescent="0.2">
      <c r="A11080" t="s">
        <v>18</v>
      </c>
      <c r="B11080" t="s">
        <v>30</v>
      </c>
      <c r="C11080" t="str">
        <f t="shared" si="348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7"/>
        <v>-6</v>
      </c>
    </row>
    <row r="11081" spans="1:8" x14ac:dyDescent="0.2">
      <c r="A11081" t="s">
        <v>18</v>
      </c>
      <c r="B11081" t="s">
        <v>30</v>
      </c>
      <c r="C11081" t="str">
        <f t="shared" si="348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7"/>
        <v>-6</v>
      </c>
    </row>
    <row r="11082" spans="1:8" x14ac:dyDescent="0.2">
      <c r="A11082" t="s">
        <v>18</v>
      </c>
      <c r="B11082" t="s">
        <v>30</v>
      </c>
      <c r="C11082" t="str">
        <f t="shared" si="348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7"/>
        <v>-6</v>
      </c>
    </row>
    <row r="11083" spans="1:8" x14ac:dyDescent="0.2">
      <c r="A11083" t="s">
        <v>18</v>
      </c>
      <c r="B11083" t="s">
        <v>30</v>
      </c>
      <c r="C11083" t="str">
        <f t="shared" si="348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7"/>
        <v>-6</v>
      </c>
    </row>
    <row r="11084" spans="1:8" x14ac:dyDescent="0.2">
      <c r="A11084" t="s">
        <v>19</v>
      </c>
      <c r="B11084" t="s">
        <v>30</v>
      </c>
      <c r="C11084" t="str">
        <f t="shared" si="348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7"/>
        <v>-6</v>
      </c>
    </row>
    <row r="11085" spans="1:8" x14ac:dyDescent="0.2">
      <c r="A11085" t="s">
        <v>18</v>
      </c>
      <c r="B11085" t="s">
        <v>30</v>
      </c>
      <c r="C11085" t="str">
        <f t="shared" si="348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7"/>
        <v>-6</v>
      </c>
    </row>
    <row r="11086" spans="1:8" x14ac:dyDescent="0.2">
      <c r="A11086" t="s">
        <v>18</v>
      </c>
      <c r="B11086" t="s">
        <v>30</v>
      </c>
      <c r="C11086" t="str">
        <f t="shared" si="348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7"/>
        <v>-6</v>
      </c>
    </row>
    <row r="11087" spans="1:8" x14ac:dyDescent="0.2">
      <c r="A11087" t="s">
        <v>18</v>
      </c>
      <c r="B11087" t="s">
        <v>30</v>
      </c>
      <c r="C11087" t="str">
        <f t="shared" si="348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7"/>
        <v>-6</v>
      </c>
    </row>
    <row r="11088" spans="1:8" x14ac:dyDescent="0.2">
      <c r="A11088" t="s">
        <v>19</v>
      </c>
      <c r="B11088" t="s">
        <v>30</v>
      </c>
      <c r="C11088" t="str">
        <f t="shared" si="348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7"/>
        <v>-6</v>
      </c>
    </row>
    <row r="11089" spans="1:8" x14ac:dyDescent="0.2">
      <c r="A11089" t="s">
        <v>18</v>
      </c>
      <c r="B11089" t="s">
        <v>30</v>
      </c>
      <c r="C11089" t="str">
        <f t="shared" si="348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7"/>
        <v>-6</v>
      </c>
    </row>
    <row r="11090" spans="1:8" x14ac:dyDescent="0.2">
      <c r="A11090" t="s">
        <v>18</v>
      </c>
      <c r="B11090" t="s">
        <v>30</v>
      </c>
      <c r="C11090" t="str">
        <f t="shared" si="348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7"/>
        <v>-6</v>
      </c>
    </row>
    <row r="11091" spans="1:8" x14ac:dyDescent="0.2">
      <c r="A11091" t="s">
        <v>18</v>
      </c>
      <c r="B11091" t="s">
        <v>30</v>
      </c>
      <c r="C11091" t="str">
        <f t="shared" si="348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7"/>
        <v>-6</v>
      </c>
    </row>
    <row r="11092" spans="1:8" x14ac:dyDescent="0.2">
      <c r="A11092" t="s">
        <v>18</v>
      </c>
      <c r="B11092" t="s">
        <v>30</v>
      </c>
      <c r="C11092" t="str">
        <f t="shared" si="348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7"/>
        <v>-6</v>
      </c>
    </row>
    <row r="11093" spans="1:8" x14ac:dyDescent="0.2">
      <c r="A11093" t="s">
        <v>7</v>
      </c>
      <c r="B11093" t="s">
        <v>30</v>
      </c>
      <c r="C11093" t="str">
        <f t="shared" si="348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7"/>
        <v>-6</v>
      </c>
    </row>
    <row r="11094" spans="1:8" x14ac:dyDescent="0.2">
      <c r="A11094" t="s">
        <v>7</v>
      </c>
      <c r="B11094" t="s">
        <v>30</v>
      </c>
      <c r="C11094" t="str">
        <f t="shared" si="348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7"/>
        <v>-6</v>
      </c>
    </row>
    <row r="11095" spans="1:8" x14ac:dyDescent="0.2">
      <c r="A11095" t="s">
        <v>7</v>
      </c>
      <c r="B11095" t="s">
        <v>30</v>
      </c>
      <c r="C11095" t="str">
        <f t="shared" si="348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7"/>
        <v>-6</v>
      </c>
    </row>
    <row r="11096" spans="1:8" x14ac:dyDescent="0.2">
      <c r="A11096" t="s">
        <v>7</v>
      </c>
      <c r="B11096" t="s">
        <v>30</v>
      </c>
      <c r="C11096" t="str">
        <f t="shared" si="348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7"/>
        <v>-6</v>
      </c>
    </row>
    <row r="11097" spans="1:8" x14ac:dyDescent="0.2">
      <c r="A11097" t="s">
        <v>7</v>
      </c>
      <c r="B11097" t="s">
        <v>30</v>
      </c>
      <c r="C11097" t="str">
        <f t="shared" si="348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7"/>
        <v>-6</v>
      </c>
    </row>
    <row r="11098" spans="1:8" x14ac:dyDescent="0.2">
      <c r="A11098" t="s">
        <v>7</v>
      </c>
      <c r="B11098" t="s">
        <v>30</v>
      </c>
      <c r="C11098" t="str">
        <f t="shared" si="348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7"/>
        <v>-6</v>
      </c>
    </row>
    <row r="11099" spans="1:8" x14ac:dyDescent="0.2">
      <c r="A11099" t="s">
        <v>7</v>
      </c>
      <c r="B11099" t="s">
        <v>30</v>
      </c>
      <c r="C11099" t="str">
        <f t="shared" si="348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7"/>
        <v>-6</v>
      </c>
    </row>
    <row r="11100" spans="1:8" x14ac:dyDescent="0.2">
      <c r="A11100" t="s">
        <v>7</v>
      </c>
      <c r="B11100" t="s">
        <v>30</v>
      </c>
      <c r="C11100" t="str">
        <f t="shared" si="348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7"/>
        <v>-6</v>
      </c>
    </row>
    <row r="11101" spans="1:8" x14ac:dyDescent="0.2">
      <c r="A11101" t="s">
        <v>7</v>
      </c>
      <c r="B11101" t="s">
        <v>30</v>
      </c>
      <c r="C11101" t="str">
        <f t="shared" si="348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7"/>
        <v>-6</v>
      </c>
    </row>
    <row r="11102" spans="1:8" x14ac:dyDescent="0.2">
      <c r="A11102" t="s">
        <v>7</v>
      </c>
      <c r="B11102" t="s">
        <v>30</v>
      </c>
      <c r="C11102" t="str">
        <f t="shared" si="348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7"/>
        <v>-6</v>
      </c>
    </row>
    <row r="11103" spans="1:8" x14ac:dyDescent="0.2">
      <c r="A11103" t="s">
        <v>7</v>
      </c>
      <c r="B11103" t="s">
        <v>30</v>
      </c>
      <c r="C11103" t="str">
        <f t="shared" si="348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7"/>
        <v>-6</v>
      </c>
    </row>
    <row r="11104" spans="1:8" x14ac:dyDescent="0.2">
      <c r="A11104" t="s">
        <v>18</v>
      </c>
      <c r="B11104" t="s">
        <v>30</v>
      </c>
      <c r="C11104" t="str">
        <f t="shared" si="348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7"/>
        <v>-6</v>
      </c>
    </row>
    <row r="11105" spans="1:8" x14ac:dyDescent="0.2">
      <c r="A11105" t="s">
        <v>18</v>
      </c>
      <c r="B11105" t="s">
        <v>30</v>
      </c>
      <c r="C11105" t="str">
        <f t="shared" si="348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7"/>
        <v>-6</v>
      </c>
    </row>
    <row r="11106" spans="1:8" x14ac:dyDescent="0.2">
      <c r="A11106" t="s">
        <v>7</v>
      </c>
      <c r="B11106" t="s">
        <v>30</v>
      </c>
      <c r="C11106" t="str">
        <f t="shared" si="348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7"/>
        <v>-6</v>
      </c>
    </row>
    <row r="11107" spans="1:8" x14ac:dyDescent="0.2">
      <c r="A11107" t="s">
        <v>7</v>
      </c>
      <c r="B11107" t="s">
        <v>30</v>
      </c>
      <c r="C11107" t="str">
        <f t="shared" si="348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7"/>
        <v>-6</v>
      </c>
    </row>
    <row r="11108" spans="1:8" x14ac:dyDescent="0.2">
      <c r="A11108" t="s">
        <v>18</v>
      </c>
      <c r="B11108" t="s">
        <v>30</v>
      </c>
      <c r="C11108" t="str">
        <f t="shared" si="348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7"/>
        <v>-6</v>
      </c>
    </row>
    <row r="11109" spans="1:8" x14ac:dyDescent="0.2">
      <c r="A11109" t="s">
        <v>7</v>
      </c>
      <c r="B11109" t="s">
        <v>31</v>
      </c>
      <c r="C11109" t="str">
        <f t="shared" si="348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7"/>
        <v>21</v>
      </c>
    </row>
    <row r="11110" spans="1:8" x14ac:dyDescent="0.2">
      <c r="A11110" t="s">
        <v>7</v>
      </c>
      <c r="B11110" t="s">
        <v>31</v>
      </c>
      <c r="C11110" t="str">
        <f t="shared" si="348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7"/>
        <v>17</v>
      </c>
    </row>
    <row r="11111" spans="1:8" x14ac:dyDescent="0.2">
      <c r="A11111" t="s">
        <v>7</v>
      </c>
      <c r="B11111" t="s">
        <v>31</v>
      </c>
      <c r="C11111" t="str">
        <f t="shared" si="348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7"/>
        <v>15</v>
      </c>
    </row>
    <row r="11112" spans="1:8" x14ac:dyDescent="0.2">
      <c r="A11112" t="s">
        <v>7</v>
      </c>
      <c r="B11112" t="s">
        <v>31</v>
      </c>
      <c r="C11112" t="str">
        <f t="shared" si="348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7"/>
        <v>12</v>
      </c>
    </row>
    <row r="11113" spans="1:8" x14ac:dyDescent="0.2">
      <c r="A11113" t="s">
        <v>7</v>
      </c>
      <c r="B11113" t="s">
        <v>31</v>
      </c>
      <c r="C11113" t="str">
        <f t="shared" si="348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7"/>
        <v>12</v>
      </c>
    </row>
    <row r="11114" spans="1:8" x14ac:dyDescent="0.2">
      <c r="A11114" t="s">
        <v>7</v>
      </c>
      <c r="B11114" t="s">
        <v>31</v>
      </c>
      <c r="C11114" t="str">
        <f t="shared" si="348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7"/>
        <v>11</v>
      </c>
    </row>
    <row r="11115" spans="1:8" x14ac:dyDescent="0.2">
      <c r="A11115" t="s">
        <v>7</v>
      </c>
      <c r="B11115" t="s">
        <v>31</v>
      </c>
      <c r="C11115" t="str">
        <f t="shared" si="348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7"/>
        <v>11</v>
      </c>
    </row>
    <row r="11116" spans="1:8" x14ac:dyDescent="0.2">
      <c r="A11116" t="s">
        <v>7</v>
      </c>
      <c r="B11116" t="s">
        <v>31</v>
      </c>
      <c r="C11116" t="str">
        <f t="shared" si="348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7"/>
        <v>10</v>
      </c>
    </row>
    <row r="11117" spans="1:8" x14ac:dyDescent="0.2">
      <c r="A11117" t="s">
        <v>7</v>
      </c>
      <c r="B11117" t="s">
        <v>31</v>
      </c>
      <c r="C11117" t="str">
        <f t="shared" si="348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7"/>
        <v>12</v>
      </c>
    </row>
    <row r="11118" spans="1:8" x14ac:dyDescent="0.2">
      <c r="A11118" t="s">
        <v>7</v>
      </c>
      <c r="B11118" t="s">
        <v>31</v>
      </c>
      <c r="C11118" t="str">
        <f t="shared" si="348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7"/>
        <v>11</v>
      </c>
    </row>
    <row r="11119" spans="1:8" x14ac:dyDescent="0.2">
      <c r="A11119" t="s">
        <v>7</v>
      </c>
      <c r="B11119" t="s">
        <v>31</v>
      </c>
      <c r="C11119" t="str">
        <f t="shared" si="348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7"/>
        <v>9</v>
      </c>
    </row>
    <row r="11120" spans="1:8" x14ac:dyDescent="0.2">
      <c r="A11120" t="s">
        <v>7</v>
      </c>
      <c r="B11120" t="s">
        <v>31</v>
      </c>
      <c r="C11120" t="str">
        <f t="shared" si="348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7"/>
        <v>9</v>
      </c>
    </row>
    <row r="11121" spans="1:8" x14ac:dyDescent="0.2">
      <c r="A11121" t="s">
        <v>7</v>
      </c>
      <c r="B11121" t="s">
        <v>31</v>
      </c>
      <c r="C11121" t="str">
        <f t="shared" si="348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7"/>
        <v>9</v>
      </c>
    </row>
    <row r="11122" spans="1:8" x14ac:dyDescent="0.2">
      <c r="A11122" t="s">
        <v>7</v>
      </c>
      <c r="B11122" t="s">
        <v>31</v>
      </c>
      <c r="C11122" t="str">
        <f t="shared" si="348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7"/>
        <v>8</v>
      </c>
    </row>
    <row r="11123" spans="1:8" x14ac:dyDescent="0.2">
      <c r="A11123" t="s">
        <v>7</v>
      </c>
      <c r="B11123" t="s">
        <v>31</v>
      </c>
      <c r="C11123" t="str">
        <f t="shared" si="348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7"/>
        <v>8</v>
      </c>
    </row>
    <row r="11124" spans="1:8" x14ac:dyDescent="0.2">
      <c r="A11124" t="s">
        <v>7</v>
      </c>
      <c r="B11124" t="s">
        <v>31</v>
      </c>
      <c r="C11124" t="str">
        <f t="shared" si="348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7"/>
        <v>7</v>
      </c>
    </row>
    <row r="11125" spans="1:8" x14ac:dyDescent="0.2">
      <c r="A11125" t="s">
        <v>7</v>
      </c>
      <c r="B11125" t="s">
        <v>31</v>
      </c>
      <c r="C11125" t="str">
        <f t="shared" si="348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7"/>
        <v>7</v>
      </c>
    </row>
    <row r="11126" spans="1:8" x14ac:dyDescent="0.2">
      <c r="A11126" t="s">
        <v>7</v>
      </c>
      <c r="B11126" t="s">
        <v>31</v>
      </c>
      <c r="C11126" t="str">
        <f t="shared" si="348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7"/>
        <v>7</v>
      </c>
    </row>
    <row r="11127" spans="1:8" x14ac:dyDescent="0.2">
      <c r="A11127" t="s">
        <v>7</v>
      </c>
      <c r="B11127" t="s">
        <v>31</v>
      </c>
      <c r="C11127" t="str">
        <f t="shared" si="348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7"/>
        <v>7</v>
      </c>
    </row>
    <row r="11128" spans="1:8" x14ac:dyDescent="0.2">
      <c r="A11128" t="s">
        <v>7</v>
      </c>
      <c r="B11128" t="s">
        <v>31</v>
      </c>
      <c r="C11128" t="str">
        <f t="shared" si="348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7"/>
        <v>9</v>
      </c>
    </row>
    <row r="11129" spans="1:8" x14ac:dyDescent="0.2">
      <c r="A11129" t="s">
        <v>7</v>
      </c>
      <c r="B11129" t="s">
        <v>31</v>
      </c>
      <c r="C11129" t="str">
        <f t="shared" si="348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7"/>
        <v>9</v>
      </c>
    </row>
    <row r="11130" spans="1:8" x14ac:dyDescent="0.2">
      <c r="A11130" t="s">
        <v>7</v>
      </c>
      <c r="B11130" t="s">
        <v>31</v>
      </c>
      <c r="C11130" t="str">
        <f t="shared" si="348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7"/>
        <v>6</v>
      </c>
    </row>
    <row r="11131" spans="1:8" x14ac:dyDescent="0.2">
      <c r="A11131" t="s">
        <v>7</v>
      </c>
      <c r="B11131" t="s">
        <v>31</v>
      </c>
      <c r="C11131" t="str">
        <f t="shared" si="348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7"/>
        <v>6</v>
      </c>
    </row>
    <row r="11132" spans="1:8" x14ac:dyDescent="0.2">
      <c r="A11132" t="s">
        <v>7</v>
      </c>
      <c r="B11132" t="s">
        <v>31</v>
      </c>
      <c r="C11132" t="str">
        <f t="shared" si="348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7"/>
        <v>6</v>
      </c>
    </row>
    <row r="11133" spans="1:8" x14ac:dyDescent="0.2">
      <c r="A11133" t="s">
        <v>7</v>
      </c>
      <c r="B11133" t="s">
        <v>31</v>
      </c>
      <c r="C11133" t="str">
        <f t="shared" si="348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7"/>
        <v>6</v>
      </c>
    </row>
    <row r="11134" spans="1:8" x14ac:dyDescent="0.2">
      <c r="A11134" t="s">
        <v>7</v>
      </c>
      <c r="B11134" t="s">
        <v>31</v>
      </c>
      <c r="C11134" t="str">
        <f t="shared" si="348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7"/>
        <v>8</v>
      </c>
    </row>
    <row r="11135" spans="1:8" x14ac:dyDescent="0.2">
      <c r="A11135" t="s">
        <v>7</v>
      </c>
      <c r="B11135" t="s">
        <v>31</v>
      </c>
      <c r="C11135" t="str">
        <f t="shared" si="348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7"/>
        <v>7</v>
      </c>
    </row>
    <row r="11136" spans="1:8" x14ac:dyDescent="0.2">
      <c r="A11136" t="s">
        <v>7</v>
      </c>
      <c r="B11136" t="s">
        <v>31</v>
      </c>
      <c r="C11136" t="str">
        <f t="shared" si="348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7"/>
        <v>5</v>
      </c>
    </row>
    <row r="11137" spans="1:8" x14ac:dyDescent="0.2">
      <c r="A11137" t="s">
        <v>7</v>
      </c>
      <c r="B11137" t="s">
        <v>31</v>
      </c>
      <c r="C11137" t="str">
        <f t="shared" si="348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7"/>
        <v>5</v>
      </c>
    </row>
    <row r="11138" spans="1:8" x14ac:dyDescent="0.2">
      <c r="A11138" t="s">
        <v>7</v>
      </c>
      <c r="B11138" t="s">
        <v>31</v>
      </c>
      <c r="C11138" t="str">
        <f t="shared" si="348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7"/>
        <v>5</v>
      </c>
    </row>
    <row r="11139" spans="1:8" x14ac:dyDescent="0.2">
      <c r="A11139" t="s">
        <v>7</v>
      </c>
      <c r="B11139" t="s">
        <v>31</v>
      </c>
      <c r="C11139" t="str">
        <f t="shared" si="348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49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48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49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0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49"/>
        <v>7</v>
      </c>
    </row>
    <row r="11142" spans="1:8" x14ac:dyDescent="0.2">
      <c r="A11142" t="s">
        <v>7</v>
      </c>
      <c r="B11142" t="s">
        <v>31</v>
      </c>
      <c r="C11142" t="str">
        <f t="shared" si="350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49"/>
        <v>6</v>
      </c>
    </row>
    <row r="11143" spans="1:8" x14ac:dyDescent="0.2">
      <c r="A11143" t="s">
        <v>7</v>
      </c>
      <c r="B11143" t="s">
        <v>31</v>
      </c>
      <c r="C11143" t="str">
        <f t="shared" si="350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49"/>
        <v>6</v>
      </c>
    </row>
    <row r="11144" spans="1:8" x14ac:dyDescent="0.2">
      <c r="A11144" t="s">
        <v>7</v>
      </c>
      <c r="B11144" t="s">
        <v>31</v>
      </c>
      <c r="C11144" t="str">
        <f t="shared" si="350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49"/>
        <v>6</v>
      </c>
    </row>
    <row r="11145" spans="1:8" x14ac:dyDescent="0.2">
      <c r="A11145" t="s">
        <v>7</v>
      </c>
      <c r="B11145" t="s">
        <v>31</v>
      </c>
      <c r="C11145" t="str">
        <f t="shared" si="350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49"/>
        <v>4</v>
      </c>
    </row>
    <row r="11146" spans="1:8" x14ac:dyDescent="0.2">
      <c r="A11146" t="s">
        <v>7</v>
      </c>
      <c r="B11146" t="s">
        <v>31</v>
      </c>
      <c r="C11146" t="str">
        <f t="shared" si="350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49"/>
        <v>4</v>
      </c>
    </row>
    <row r="11147" spans="1:8" x14ac:dyDescent="0.2">
      <c r="A11147" t="s">
        <v>7</v>
      </c>
      <c r="B11147" t="s">
        <v>31</v>
      </c>
      <c r="C11147" t="str">
        <f t="shared" si="350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49"/>
        <v>4</v>
      </c>
    </row>
    <row r="11148" spans="1:8" x14ac:dyDescent="0.2">
      <c r="A11148" t="s">
        <v>7</v>
      </c>
      <c r="B11148" t="s">
        <v>31</v>
      </c>
      <c r="C11148" t="str">
        <f t="shared" si="350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49"/>
        <v>6</v>
      </c>
    </row>
    <row r="11149" spans="1:8" x14ac:dyDescent="0.2">
      <c r="A11149" t="s">
        <v>7</v>
      </c>
      <c r="B11149" t="s">
        <v>31</v>
      </c>
      <c r="C11149" t="str">
        <f t="shared" si="350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49"/>
        <v>5</v>
      </c>
    </row>
    <row r="11150" spans="1:8" x14ac:dyDescent="0.2">
      <c r="A11150" t="s">
        <v>7</v>
      </c>
      <c r="B11150" t="s">
        <v>31</v>
      </c>
      <c r="C11150" t="str">
        <f t="shared" si="350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49"/>
        <v>3</v>
      </c>
    </row>
    <row r="11151" spans="1:8" x14ac:dyDescent="0.2">
      <c r="A11151" t="s">
        <v>7</v>
      </c>
      <c r="B11151" t="s">
        <v>31</v>
      </c>
      <c r="C11151" t="str">
        <f t="shared" si="350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49"/>
        <v>3</v>
      </c>
    </row>
    <row r="11152" spans="1:8" x14ac:dyDescent="0.2">
      <c r="A11152" t="s">
        <v>7</v>
      </c>
      <c r="B11152" t="s">
        <v>31</v>
      </c>
      <c r="C11152" t="str">
        <f t="shared" si="350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49"/>
        <v>5</v>
      </c>
    </row>
    <row r="11153" spans="1:8" x14ac:dyDescent="0.2">
      <c r="A11153" t="s">
        <v>7</v>
      </c>
      <c r="B11153" t="s">
        <v>31</v>
      </c>
      <c r="C11153" t="str">
        <f t="shared" si="350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49"/>
        <v>5</v>
      </c>
    </row>
    <row r="11154" spans="1:8" x14ac:dyDescent="0.2">
      <c r="A11154" t="s">
        <v>7</v>
      </c>
      <c r="B11154" t="s">
        <v>31</v>
      </c>
      <c r="C11154" t="str">
        <f t="shared" si="350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49"/>
        <v>3</v>
      </c>
    </row>
    <row r="11155" spans="1:8" x14ac:dyDescent="0.2">
      <c r="A11155" t="s">
        <v>7</v>
      </c>
      <c r="B11155" t="s">
        <v>31</v>
      </c>
      <c r="C11155" t="str">
        <f t="shared" si="350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49"/>
        <v>3</v>
      </c>
    </row>
    <row r="11156" spans="1:8" x14ac:dyDescent="0.2">
      <c r="A11156" t="s">
        <v>7</v>
      </c>
      <c r="B11156" t="s">
        <v>31</v>
      </c>
      <c r="C11156" t="str">
        <f t="shared" si="350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49"/>
        <v>3</v>
      </c>
    </row>
    <row r="11157" spans="1:8" x14ac:dyDescent="0.2">
      <c r="A11157" t="s">
        <v>7</v>
      </c>
      <c r="B11157" t="s">
        <v>31</v>
      </c>
      <c r="C11157" t="str">
        <f t="shared" si="350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49"/>
        <v>5</v>
      </c>
    </row>
    <row r="11158" spans="1:8" x14ac:dyDescent="0.2">
      <c r="A11158" t="s">
        <v>7</v>
      </c>
      <c r="B11158" t="s">
        <v>31</v>
      </c>
      <c r="C11158" t="str">
        <f t="shared" si="350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49"/>
        <v>3</v>
      </c>
    </row>
    <row r="11159" spans="1:8" x14ac:dyDescent="0.2">
      <c r="A11159" t="s">
        <v>7</v>
      </c>
      <c r="B11159" t="s">
        <v>31</v>
      </c>
      <c r="C11159" t="str">
        <f t="shared" si="350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49"/>
        <v>3</v>
      </c>
    </row>
    <row r="11160" spans="1:8" x14ac:dyDescent="0.2">
      <c r="A11160" t="s">
        <v>7</v>
      </c>
      <c r="B11160" t="s">
        <v>31</v>
      </c>
      <c r="C11160" t="str">
        <f t="shared" si="350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49"/>
        <v>5</v>
      </c>
    </row>
    <row r="11161" spans="1:8" x14ac:dyDescent="0.2">
      <c r="A11161" t="s">
        <v>7</v>
      </c>
      <c r="B11161" t="s">
        <v>31</v>
      </c>
      <c r="C11161" t="str">
        <f t="shared" si="350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49"/>
        <v>2</v>
      </c>
    </row>
    <row r="11162" spans="1:8" x14ac:dyDescent="0.2">
      <c r="A11162" t="s">
        <v>7</v>
      </c>
      <c r="B11162" t="s">
        <v>31</v>
      </c>
      <c r="C11162" t="str">
        <f t="shared" si="350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49"/>
        <v>2</v>
      </c>
    </row>
    <row r="11163" spans="1:8" x14ac:dyDescent="0.2">
      <c r="A11163" t="s">
        <v>7</v>
      </c>
      <c r="B11163" t="s">
        <v>31</v>
      </c>
      <c r="C11163" t="str">
        <f t="shared" si="350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49"/>
        <v>2</v>
      </c>
    </row>
    <row r="11164" spans="1:8" x14ac:dyDescent="0.2">
      <c r="A11164" t="s">
        <v>7</v>
      </c>
      <c r="B11164" t="s">
        <v>31</v>
      </c>
      <c r="C11164" t="str">
        <f t="shared" si="350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49"/>
        <v>4</v>
      </c>
    </row>
    <row r="11165" spans="1:8" x14ac:dyDescent="0.2">
      <c r="A11165" t="s">
        <v>7</v>
      </c>
      <c r="B11165" t="s">
        <v>31</v>
      </c>
      <c r="C11165" t="str">
        <f t="shared" si="350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49"/>
        <v>2</v>
      </c>
    </row>
    <row r="11166" spans="1:8" x14ac:dyDescent="0.2">
      <c r="A11166" t="s">
        <v>7</v>
      </c>
      <c r="B11166" t="s">
        <v>31</v>
      </c>
      <c r="C11166" t="str">
        <f t="shared" si="350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49"/>
        <v>4</v>
      </c>
    </row>
    <row r="11167" spans="1:8" x14ac:dyDescent="0.2">
      <c r="A11167" t="s">
        <v>7</v>
      </c>
      <c r="B11167" t="s">
        <v>31</v>
      </c>
      <c r="C11167" t="str">
        <f t="shared" si="350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49"/>
        <v>2</v>
      </c>
    </row>
    <row r="11168" spans="1:8" x14ac:dyDescent="0.2">
      <c r="A11168" t="s">
        <v>7</v>
      </c>
      <c r="B11168" t="s">
        <v>31</v>
      </c>
      <c r="C11168" t="str">
        <f t="shared" si="350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49"/>
        <v>4</v>
      </c>
    </row>
    <row r="11169" spans="1:8" x14ac:dyDescent="0.2">
      <c r="A11169" t="s">
        <v>7</v>
      </c>
      <c r="B11169" t="s">
        <v>31</v>
      </c>
      <c r="C11169" t="str">
        <f t="shared" si="350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49"/>
        <v>2</v>
      </c>
    </row>
    <row r="11170" spans="1:8" x14ac:dyDescent="0.2">
      <c r="A11170" t="s">
        <v>7</v>
      </c>
      <c r="B11170" t="s">
        <v>31</v>
      </c>
      <c r="C11170" t="str">
        <f t="shared" si="350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49"/>
        <v>4</v>
      </c>
    </row>
    <row r="11171" spans="1:8" x14ac:dyDescent="0.2">
      <c r="A11171" t="s">
        <v>7</v>
      </c>
      <c r="B11171" t="s">
        <v>31</v>
      </c>
      <c r="C11171" t="str">
        <f t="shared" si="350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49"/>
        <v>2</v>
      </c>
    </row>
    <row r="11172" spans="1:8" x14ac:dyDescent="0.2">
      <c r="A11172" t="s">
        <v>7</v>
      </c>
      <c r="B11172" t="s">
        <v>31</v>
      </c>
      <c r="C11172" t="str">
        <f t="shared" si="350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49"/>
        <v>4</v>
      </c>
    </row>
    <row r="11173" spans="1:8" x14ac:dyDescent="0.2">
      <c r="A11173" t="s">
        <v>7</v>
      </c>
      <c r="B11173" t="s">
        <v>31</v>
      </c>
      <c r="C11173" t="str">
        <f t="shared" si="350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49"/>
        <v>4</v>
      </c>
    </row>
    <row r="11174" spans="1:8" x14ac:dyDescent="0.2">
      <c r="A11174" t="s">
        <v>7</v>
      </c>
      <c r="B11174" t="s">
        <v>31</v>
      </c>
      <c r="C11174" t="str">
        <f t="shared" si="350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49"/>
        <v>3</v>
      </c>
    </row>
    <row r="11175" spans="1:8" x14ac:dyDescent="0.2">
      <c r="A11175" t="s">
        <v>7</v>
      </c>
      <c r="B11175" t="s">
        <v>31</v>
      </c>
      <c r="C11175" t="str">
        <f t="shared" si="350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49"/>
        <v>3</v>
      </c>
    </row>
    <row r="11176" spans="1:8" x14ac:dyDescent="0.2">
      <c r="A11176" t="s">
        <v>7</v>
      </c>
      <c r="B11176" t="s">
        <v>31</v>
      </c>
      <c r="C11176" t="str">
        <f t="shared" si="350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49"/>
        <v>3</v>
      </c>
    </row>
    <row r="11177" spans="1:8" x14ac:dyDescent="0.2">
      <c r="A11177" t="s">
        <v>7</v>
      </c>
      <c r="B11177" t="s">
        <v>31</v>
      </c>
      <c r="C11177" t="str">
        <f t="shared" si="350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49"/>
        <v>1</v>
      </c>
    </row>
    <row r="11178" spans="1:8" x14ac:dyDescent="0.2">
      <c r="A11178" t="s">
        <v>7</v>
      </c>
      <c r="B11178" t="s">
        <v>31</v>
      </c>
      <c r="C11178" t="str">
        <f t="shared" si="350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49"/>
        <v>1</v>
      </c>
    </row>
    <row r="11179" spans="1:8" x14ac:dyDescent="0.2">
      <c r="A11179" t="s">
        <v>7</v>
      </c>
      <c r="B11179" t="s">
        <v>31</v>
      </c>
      <c r="C11179" t="str">
        <f t="shared" si="350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49"/>
        <v>3</v>
      </c>
    </row>
    <row r="11180" spans="1:8" x14ac:dyDescent="0.2">
      <c r="A11180" t="s">
        <v>7</v>
      </c>
      <c r="B11180" t="s">
        <v>31</v>
      </c>
      <c r="C11180" t="str">
        <f t="shared" si="350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49"/>
        <v>3</v>
      </c>
    </row>
    <row r="11181" spans="1:8" x14ac:dyDescent="0.2">
      <c r="A11181" t="s">
        <v>7</v>
      </c>
      <c r="B11181" t="s">
        <v>31</v>
      </c>
      <c r="C11181" t="str">
        <f t="shared" si="350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49"/>
        <v>3</v>
      </c>
    </row>
    <row r="11182" spans="1:8" x14ac:dyDescent="0.2">
      <c r="A11182" t="s">
        <v>7</v>
      </c>
      <c r="B11182" t="s">
        <v>31</v>
      </c>
      <c r="C11182" t="str">
        <f t="shared" si="350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49"/>
        <v>1</v>
      </c>
    </row>
    <row r="11183" spans="1:8" x14ac:dyDescent="0.2">
      <c r="A11183" t="s">
        <v>7</v>
      </c>
      <c r="B11183" t="s">
        <v>31</v>
      </c>
      <c r="C11183" t="str">
        <f t="shared" si="350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49"/>
        <v>3</v>
      </c>
    </row>
    <row r="11184" spans="1:8" x14ac:dyDescent="0.2">
      <c r="A11184" t="s">
        <v>7</v>
      </c>
      <c r="B11184" t="s">
        <v>31</v>
      </c>
      <c r="C11184" t="str">
        <f t="shared" si="350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49"/>
        <v>3</v>
      </c>
    </row>
    <row r="11185" spans="1:8" x14ac:dyDescent="0.2">
      <c r="A11185" t="s">
        <v>7</v>
      </c>
      <c r="B11185" t="s">
        <v>31</v>
      </c>
      <c r="C11185" t="str">
        <f t="shared" si="350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49"/>
        <v>3</v>
      </c>
    </row>
    <row r="11186" spans="1:8" x14ac:dyDescent="0.2">
      <c r="A11186" t="s">
        <v>7</v>
      </c>
      <c r="B11186" t="s">
        <v>31</v>
      </c>
      <c r="C11186" t="str">
        <f t="shared" si="350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49"/>
        <v>3</v>
      </c>
    </row>
    <row r="11187" spans="1:8" x14ac:dyDescent="0.2">
      <c r="A11187" t="s">
        <v>7</v>
      </c>
      <c r="B11187" t="s">
        <v>31</v>
      </c>
      <c r="C11187" t="str">
        <f t="shared" si="350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49"/>
        <v>2</v>
      </c>
    </row>
    <row r="11188" spans="1:8" x14ac:dyDescent="0.2">
      <c r="A11188" t="s">
        <v>7</v>
      </c>
      <c r="B11188" t="s">
        <v>31</v>
      </c>
      <c r="C11188" t="str">
        <f t="shared" si="350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49"/>
        <v>2</v>
      </c>
    </row>
    <row r="11189" spans="1:8" x14ac:dyDescent="0.2">
      <c r="A11189" t="s">
        <v>7</v>
      </c>
      <c r="B11189" t="s">
        <v>31</v>
      </c>
      <c r="C11189" t="str">
        <f t="shared" si="350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49"/>
        <v>2</v>
      </c>
    </row>
    <row r="11190" spans="1:8" x14ac:dyDescent="0.2">
      <c r="A11190" t="s">
        <v>7</v>
      </c>
      <c r="B11190" t="s">
        <v>31</v>
      </c>
      <c r="C11190" t="str">
        <f t="shared" si="350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49"/>
        <v>2</v>
      </c>
    </row>
    <row r="11191" spans="1:8" x14ac:dyDescent="0.2">
      <c r="A11191" t="s">
        <v>7</v>
      </c>
      <c r="B11191" t="s">
        <v>31</v>
      </c>
      <c r="C11191" t="str">
        <f t="shared" si="350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49"/>
        <v>0</v>
      </c>
    </row>
    <row r="11192" spans="1:8" x14ac:dyDescent="0.2">
      <c r="A11192" t="s">
        <v>7</v>
      </c>
      <c r="B11192" t="s">
        <v>31</v>
      </c>
      <c r="C11192" t="str">
        <f t="shared" si="350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49"/>
        <v>2</v>
      </c>
    </row>
    <row r="11193" spans="1:8" x14ac:dyDescent="0.2">
      <c r="A11193" t="s">
        <v>7</v>
      </c>
      <c r="B11193" t="s">
        <v>31</v>
      </c>
      <c r="C11193" t="str">
        <f t="shared" si="350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49"/>
        <v>2</v>
      </c>
    </row>
    <row r="11194" spans="1:8" x14ac:dyDescent="0.2">
      <c r="A11194" t="s">
        <v>7</v>
      </c>
      <c r="B11194" t="s">
        <v>31</v>
      </c>
      <c r="C11194" t="str">
        <f t="shared" si="350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49"/>
        <v>2</v>
      </c>
    </row>
    <row r="11195" spans="1:8" x14ac:dyDescent="0.2">
      <c r="A11195" t="s">
        <v>7</v>
      </c>
      <c r="B11195" t="s">
        <v>31</v>
      </c>
      <c r="C11195" t="str">
        <f t="shared" si="350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49"/>
        <v>2</v>
      </c>
    </row>
    <row r="11196" spans="1:8" x14ac:dyDescent="0.2">
      <c r="A11196" t="s">
        <v>7</v>
      </c>
      <c r="B11196" t="s">
        <v>31</v>
      </c>
      <c r="C11196" t="str">
        <f t="shared" si="350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49"/>
        <v>2</v>
      </c>
    </row>
    <row r="11197" spans="1:8" x14ac:dyDescent="0.2">
      <c r="A11197" t="s">
        <v>7</v>
      </c>
      <c r="B11197" t="s">
        <v>31</v>
      </c>
      <c r="C11197" t="str">
        <f t="shared" si="350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49"/>
        <v>2</v>
      </c>
    </row>
    <row r="11198" spans="1:8" x14ac:dyDescent="0.2">
      <c r="A11198" t="s">
        <v>7</v>
      </c>
      <c r="B11198" t="s">
        <v>31</v>
      </c>
      <c r="C11198" t="str">
        <f t="shared" si="350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49"/>
        <v>2</v>
      </c>
    </row>
    <row r="11199" spans="1:8" x14ac:dyDescent="0.2">
      <c r="A11199" t="s">
        <v>7</v>
      </c>
      <c r="B11199" t="s">
        <v>31</v>
      </c>
      <c r="C11199" t="str">
        <f t="shared" si="350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49"/>
        <v>2</v>
      </c>
    </row>
    <row r="11200" spans="1:8" x14ac:dyDescent="0.2">
      <c r="A11200" t="s">
        <v>7</v>
      </c>
      <c r="B11200" t="s">
        <v>31</v>
      </c>
      <c r="C11200" t="str">
        <f t="shared" si="350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49"/>
        <v>1</v>
      </c>
    </row>
    <row r="11201" spans="1:8" x14ac:dyDescent="0.2">
      <c r="A11201" t="s">
        <v>7</v>
      </c>
      <c r="B11201" t="s">
        <v>31</v>
      </c>
      <c r="C11201" t="str">
        <f t="shared" si="350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49"/>
        <v>-1</v>
      </c>
    </row>
    <row r="11202" spans="1:8" x14ac:dyDescent="0.2">
      <c r="A11202" t="s">
        <v>7</v>
      </c>
      <c r="B11202" t="s">
        <v>31</v>
      </c>
      <c r="C11202" t="str">
        <f t="shared" si="350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49"/>
        <v>1</v>
      </c>
    </row>
    <row r="11203" spans="1:8" x14ac:dyDescent="0.2">
      <c r="A11203" t="s">
        <v>7</v>
      </c>
      <c r="B11203" t="s">
        <v>31</v>
      </c>
      <c r="C11203" t="str">
        <f t="shared" si="350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1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0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1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2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1"/>
        <v>1</v>
      </c>
    </row>
    <row r="11206" spans="1:8" x14ac:dyDescent="0.2">
      <c r="A11206" t="s">
        <v>7</v>
      </c>
      <c r="B11206" t="s">
        <v>31</v>
      </c>
      <c r="C11206" t="str">
        <f t="shared" si="352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1"/>
        <v>0</v>
      </c>
    </row>
    <row r="11207" spans="1:8" x14ac:dyDescent="0.2">
      <c r="A11207" t="s">
        <v>7</v>
      </c>
      <c r="B11207" t="s">
        <v>31</v>
      </c>
      <c r="C11207" t="str">
        <f t="shared" si="352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1"/>
        <v>1</v>
      </c>
    </row>
    <row r="11208" spans="1:8" x14ac:dyDescent="0.2">
      <c r="A11208" t="s">
        <v>7</v>
      </c>
      <c r="B11208" t="s">
        <v>31</v>
      </c>
      <c r="C11208" t="str">
        <f t="shared" si="352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1"/>
        <v>1</v>
      </c>
    </row>
    <row r="11209" spans="1:8" x14ac:dyDescent="0.2">
      <c r="A11209" t="s">
        <v>7</v>
      </c>
      <c r="B11209" t="s">
        <v>31</v>
      </c>
      <c r="C11209" t="str">
        <f t="shared" si="352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1"/>
        <v>0</v>
      </c>
    </row>
    <row r="11210" spans="1:8" x14ac:dyDescent="0.2">
      <c r="A11210" t="s">
        <v>7</v>
      </c>
      <c r="B11210" t="s">
        <v>31</v>
      </c>
      <c r="C11210" t="str">
        <f t="shared" si="352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1"/>
        <v>0</v>
      </c>
    </row>
    <row r="11211" spans="1:8" x14ac:dyDescent="0.2">
      <c r="A11211" t="s">
        <v>7</v>
      </c>
      <c r="B11211" t="s">
        <v>31</v>
      </c>
      <c r="C11211" t="str">
        <f t="shared" si="352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1"/>
        <v>0</v>
      </c>
    </row>
    <row r="11212" spans="1:8" x14ac:dyDescent="0.2">
      <c r="A11212" t="s">
        <v>7</v>
      </c>
      <c r="B11212" t="s">
        <v>31</v>
      </c>
      <c r="C11212" t="str">
        <f t="shared" si="352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1"/>
        <v>0</v>
      </c>
    </row>
    <row r="11213" spans="1:8" x14ac:dyDescent="0.2">
      <c r="A11213" t="s">
        <v>7</v>
      </c>
      <c r="B11213" t="s">
        <v>31</v>
      </c>
      <c r="C11213" t="str">
        <f t="shared" si="352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1"/>
        <v>0</v>
      </c>
    </row>
    <row r="11214" spans="1:8" x14ac:dyDescent="0.2">
      <c r="A11214" t="s">
        <v>7</v>
      </c>
      <c r="B11214" t="s">
        <v>31</v>
      </c>
      <c r="C11214" t="str">
        <f t="shared" si="352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1"/>
        <v>0</v>
      </c>
    </row>
    <row r="11215" spans="1:8" x14ac:dyDescent="0.2">
      <c r="A11215" t="s">
        <v>7</v>
      </c>
      <c r="B11215" t="s">
        <v>31</v>
      </c>
      <c r="C11215" t="str">
        <f t="shared" si="352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1"/>
        <v>0</v>
      </c>
    </row>
    <row r="11216" spans="1:8" x14ac:dyDescent="0.2">
      <c r="A11216" t="s">
        <v>7</v>
      </c>
      <c r="B11216" t="s">
        <v>31</v>
      </c>
      <c r="C11216" t="str">
        <f t="shared" si="352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1"/>
        <v>0</v>
      </c>
    </row>
    <row r="11217" spans="1:8" x14ac:dyDescent="0.2">
      <c r="A11217" t="s">
        <v>7</v>
      </c>
      <c r="B11217" t="s">
        <v>31</v>
      </c>
      <c r="C11217" t="str">
        <f t="shared" si="352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1"/>
        <v>0</v>
      </c>
    </row>
    <row r="11218" spans="1:8" x14ac:dyDescent="0.2">
      <c r="A11218" t="s">
        <v>7</v>
      </c>
      <c r="B11218" t="s">
        <v>31</v>
      </c>
      <c r="C11218" t="str">
        <f t="shared" si="352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51"/>
        <v>-2</v>
      </c>
    </row>
    <row r="11219" spans="1:8" x14ac:dyDescent="0.2">
      <c r="A11219" t="s">
        <v>7</v>
      </c>
      <c r="B11219" t="s">
        <v>31</v>
      </c>
      <c r="C11219" t="str">
        <f t="shared" si="352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1"/>
        <v>0</v>
      </c>
    </row>
    <row r="11220" spans="1:8" x14ac:dyDescent="0.2">
      <c r="A11220" t="s">
        <v>7</v>
      </c>
      <c r="B11220" t="s">
        <v>31</v>
      </c>
      <c r="C11220" t="str">
        <f t="shared" si="352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1"/>
        <v>0</v>
      </c>
    </row>
    <row r="11221" spans="1:8" x14ac:dyDescent="0.2">
      <c r="A11221" t="s">
        <v>7</v>
      </c>
      <c r="B11221" t="s">
        <v>31</v>
      </c>
      <c r="C11221" t="str">
        <f t="shared" si="352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1"/>
        <v>0</v>
      </c>
    </row>
    <row r="11222" spans="1:8" x14ac:dyDescent="0.2">
      <c r="A11222" t="s">
        <v>7</v>
      </c>
      <c r="B11222" t="s">
        <v>31</v>
      </c>
      <c r="C11222" t="str">
        <f t="shared" si="352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1"/>
        <v>0</v>
      </c>
    </row>
    <row r="11223" spans="1:8" x14ac:dyDescent="0.2">
      <c r="A11223" t="s">
        <v>7</v>
      </c>
      <c r="B11223" t="s">
        <v>31</v>
      </c>
      <c r="C11223" t="str">
        <f t="shared" si="352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1"/>
        <v>0</v>
      </c>
    </row>
    <row r="11224" spans="1:8" x14ac:dyDescent="0.2">
      <c r="A11224" t="s">
        <v>7</v>
      </c>
      <c r="B11224" t="s">
        <v>31</v>
      </c>
      <c r="C11224" t="str">
        <f t="shared" si="352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1"/>
        <v>0</v>
      </c>
    </row>
    <row r="11225" spans="1:8" x14ac:dyDescent="0.2">
      <c r="A11225" t="s">
        <v>7</v>
      </c>
      <c r="B11225" t="s">
        <v>31</v>
      </c>
      <c r="C11225" t="str">
        <f t="shared" si="352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1"/>
        <v>-1</v>
      </c>
    </row>
    <row r="11226" spans="1:8" x14ac:dyDescent="0.2">
      <c r="A11226" t="s">
        <v>7</v>
      </c>
      <c r="B11226" t="s">
        <v>31</v>
      </c>
      <c r="C11226" t="str">
        <f t="shared" si="352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1"/>
        <v>-1</v>
      </c>
    </row>
    <row r="11227" spans="1:8" x14ac:dyDescent="0.2">
      <c r="A11227" t="s">
        <v>7</v>
      </c>
      <c r="B11227" t="s">
        <v>31</v>
      </c>
      <c r="C11227" t="str">
        <f t="shared" si="352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1"/>
        <v>-1</v>
      </c>
    </row>
    <row r="11228" spans="1:8" x14ac:dyDescent="0.2">
      <c r="A11228" t="s">
        <v>7</v>
      </c>
      <c r="B11228" t="s">
        <v>31</v>
      </c>
      <c r="C11228" t="str">
        <f t="shared" si="352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51"/>
        <v>-1</v>
      </c>
    </row>
    <row r="11229" spans="1:8" x14ac:dyDescent="0.2">
      <c r="A11229" t="s">
        <v>7</v>
      </c>
      <c r="B11229" t="s">
        <v>31</v>
      </c>
      <c r="C11229" t="str">
        <f t="shared" si="352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1"/>
        <v>-1</v>
      </c>
    </row>
    <row r="11230" spans="1:8" x14ac:dyDescent="0.2">
      <c r="A11230" t="s">
        <v>7</v>
      </c>
      <c r="B11230" t="s">
        <v>31</v>
      </c>
      <c r="C11230" t="str">
        <f t="shared" si="352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51"/>
        <v>-1</v>
      </c>
    </row>
    <row r="11231" spans="1:8" x14ac:dyDescent="0.2">
      <c r="A11231" t="s">
        <v>7</v>
      </c>
      <c r="B11231" t="s">
        <v>31</v>
      </c>
      <c r="C11231" t="str">
        <f t="shared" si="352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51"/>
        <v>-1</v>
      </c>
    </row>
    <row r="11232" spans="1:8" x14ac:dyDescent="0.2">
      <c r="A11232" t="s">
        <v>7</v>
      </c>
      <c r="B11232" t="s">
        <v>31</v>
      </c>
      <c r="C11232" t="str">
        <f t="shared" si="352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1"/>
        <v>-1</v>
      </c>
    </row>
    <row r="11233" spans="1:8" x14ac:dyDescent="0.2">
      <c r="A11233" t="s">
        <v>7</v>
      </c>
      <c r="B11233" t="s">
        <v>31</v>
      </c>
      <c r="C11233" t="str">
        <f t="shared" si="352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1"/>
        <v>-1</v>
      </c>
    </row>
    <row r="11234" spans="1:8" x14ac:dyDescent="0.2">
      <c r="A11234" t="s">
        <v>7</v>
      </c>
      <c r="B11234" t="s">
        <v>31</v>
      </c>
      <c r="C11234" t="str">
        <f t="shared" si="352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1"/>
        <v>-1</v>
      </c>
    </row>
    <row r="11235" spans="1:8" x14ac:dyDescent="0.2">
      <c r="A11235" t="s">
        <v>7</v>
      </c>
      <c r="B11235" t="s">
        <v>31</v>
      </c>
      <c r="C11235" t="str">
        <f t="shared" si="352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1"/>
        <v>-2</v>
      </c>
    </row>
    <row r="11236" spans="1:8" x14ac:dyDescent="0.2">
      <c r="A11236" t="s">
        <v>7</v>
      </c>
      <c r="B11236" t="s">
        <v>31</v>
      </c>
      <c r="C11236" t="str">
        <f t="shared" si="352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1"/>
        <v>-2</v>
      </c>
    </row>
    <row r="11237" spans="1:8" x14ac:dyDescent="0.2">
      <c r="A11237" t="s">
        <v>7</v>
      </c>
      <c r="B11237" t="s">
        <v>31</v>
      </c>
      <c r="C11237" t="str">
        <f t="shared" si="352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51"/>
        <v>-4</v>
      </c>
    </row>
    <row r="11238" spans="1:8" x14ac:dyDescent="0.2">
      <c r="A11238" t="s">
        <v>7</v>
      </c>
      <c r="B11238" t="s">
        <v>31</v>
      </c>
      <c r="C11238" t="str">
        <f t="shared" si="352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1"/>
        <v>-2</v>
      </c>
    </row>
    <row r="11239" spans="1:8" x14ac:dyDescent="0.2">
      <c r="A11239" t="s">
        <v>7</v>
      </c>
      <c r="B11239" t="s">
        <v>31</v>
      </c>
      <c r="C11239" t="str">
        <f t="shared" si="352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1"/>
        <v>-2</v>
      </c>
    </row>
    <row r="11240" spans="1:8" x14ac:dyDescent="0.2">
      <c r="A11240" t="s">
        <v>7</v>
      </c>
      <c r="B11240" t="s">
        <v>31</v>
      </c>
      <c r="C11240" t="str">
        <f t="shared" si="352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1"/>
        <v>-2</v>
      </c>
    </row>
    <row r="11241" spans="1:8" x14ac:dyDescent="0.2">
      <c r="A11241" t="s">
        <v>7</v>
      </c>
      <c r="B11241" t="s">
        <v>31</v>
      </c>
      <c r="C11241" t="str">
        <f t="shared" si="352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1"/>
        <v>-2</v>
      </c>
    </row>
    <row r="11242" spans="1:8" x14ac:dyDescent="0.2">
      <c r="A11242" t="s">
        <v>7</v>
      </c>
      <c r="B11242" t="s">
        <v>31</v>
      </c>
      <c r="C11242" t="str">
        <f t="shared" si="352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1"/>
        <v>-2</v>
      </c>
    </row>
    <row r="11243" spans="1:8" x14ac:dyDescent="0.2">
      <c r="A11243" t="s">
        <v>7</v>
      </c>
      <c r="B11243" t="s">
        <v>31</v>
      </c>
      <c r="C11243" t="str">
        <f t="shared" si="352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1"/>
        <v>-2</v>
      </c>
    </row>
    <row r="11244" spans="1:8" x14ac:dyDescent="0.2">
      <c r="A11244" t="s">
        <v>7</v>
      </c>
      <c r="B11244" t="s">
        <v>31</v>
      </c>
      <c r="C11244" t="str">
        <f t="shared" si="352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1"/>
        <v>-2</v>
      </c>
    </row>
    <row r="11245" spans="1:8" x14ac:dyDescent="0.2">
      <c r="A11245" t="s">
        <v>7</v>
      </c>
      <c r="B11245" t="s">
        <v>31</v>
      </c>
      <c r="C11245" t="str">
        <f t="shared" si="352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1"/>
        <v>-2</v>
      </c>
    </row>
    <row r="11246" spans="1:8" x14ac:dyDescent="0.2">
      <c r="A11246" t="s">
        <v>7</v>
      </c>
      <c r="B11246" t="s">
        <v>31</v>
      </c>
      <c r="C11246" t="str">
        <f t="shared" si="352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1"/>
        <v>-2</v>
      </c>
    </row>
    <row r="11247" spans="1:8" x14ac:dyDescent="0.2">
      <c r="A11247" t="s">
        <v>7</v>
      </c>
      <c r="B11247" t="s">
        <v>31</v>
      </c>
      <c r="C11247" t="str">
        <f t="shared" si="352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1"/>
        <v>-2</v>
      </c>
    </row>
    <row r="11248" spans="1:8" x14ac:dyDescent="0.2">
      <c r="A11248" t="s">
        <v>7</v>
      </c>
      <c r="B11248" t="s">
        <v>31</v>
      </c>
      <c r="C11248" t="str">
        <f t="shared" si="352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1"/>
        <v>-4</v>
      </c>
    </row>
    <row r="11249" spans="1:8" x14ac:dyDescent="0.2">
      <c r="A11249" t="s">
        <v>7</v>
      </c>
      <c r="B11249" t="s">
        <v>31</v>
      </c>
      <c r="C11249" t="str">
        <f t="shared" si="352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1"/>
        <v>-2</v>
      </c>
    </row>
    <row r="11250" spans="1:8" x14ac:dyDescent="0.2">
      <c r="A11250" t="s">
        <v>7</v>
      </c>
      <c r="B11250" t="s">
        <v>31</v>
      </c>
      <c r="C11250" t="str">
        <f t="shared" si="352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1"/>
        <v>-2</v>
      </c>
    </row>
    <row r="11251" spans="1:8" x14ac:dyDescent="0.2">
      <c r="A11251" t="s">
        <v>7</v>
      </c>
      <c r="B11251" t="s">
        <v>31</v>
      </c>
      <c r="C11251" t="str">
        <f t="shared" si="352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1"/>
        <v>-2</v>
      </c>
    </row>
    <row r="11252" spans="1:8" x14ac:dyDescent="0.2">
      <c r="A11252" t="s">
        <v>7</v>
      </c>
      <c r="B11252" t="s">
        <v>31</v>
      </c>
      <c r="C11252" t="str">
        <f t="shared" si="352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1"/>
        <v>-2</v>
      </c>
    </row>
    <row r="11253" spans="1:8" x14ac:dyDescent="0.2">
      <c r="A11253" t="s">
        <v>7</v>
      </c>
      <c r="B11253" t="s">
        <v>31</v>
      </c>
      <c r="C11253" t="str">
        <f t="shared" si="352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1"/>
        <v>-3</v>
      </c>
    </row>
    <row r="11254" spans="1:8" x14ac:dyDescent="0.2">
      <c r="A11254" t="s">
        <v>7</v>
      </c>
      <c r="B11254" t="s">
        <v>31</v>
      </c>
      <c r="C11254" t="str">
        <f t="shared" si="352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1"/>
        <v>-3</v>
      </c>
    </row>
    <row r="11255" spans="1:8" x14ac:dyDescent="0.2">
      <c r="A11255" t="s">
        <v>7</v>
      </c>
      <c r="B11255" t="s">
        <v>31</v>
      </c>
      <c r="C11255" t="str">
        <f t="shared" si="352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1"/>
        <v>-3</v>
      </c>
    </row>
    <row r="11256" spans="1:8" x14ac:dyDescent="0.2">
      <c r="A11256" t="s">
        <v>7</v>
      </c>
      <c r="B11256" t="s">
        <v>31</v>
      </c>
      <c r="C11256" t="str">
        <f t="shared" si="352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1"/>
        <v>-3</v>
      </c>
    </row>
    <row r="11257" spans="1:8" x14ac:dyDescent="0.2">
      <c r="A11257" t="s">
        <v>7</v>
      </c>
      <c r="B11257" t="s">
        <v>31</v>
      </c>
      <c r="C11257" t="str">
        <f t="shared" si="352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1"/>
        <v>-3</v>
      </c>
    </row>
    <row r="11258" spans="1:8" x14ac:dyDescent="0.2">
      <c r="A11258" t="s">
        <v>7</v>
      </c>
      <c r="B11258" t="s">
        <v>31</v>
      </c>
      <c r="C11258" t="str">
        <f t="shared" si="352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1"/>
        <v>-3</v>
      </c>
    </row>
    <row r="11259" spans="1:8" x14ac:dyDescent="0.2">
      <c r="A11259" t="s">
        <v>7</v>
      </c>
      <c r="B11259" t="s">
        <v>31</v>
      </c>
      <c r="C11259" t="str">
        <f t="shared" si="352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1"/>
        <v>-3</v>
      </c>
    </row>
    <row r="11260" spans="1:8" x14ac:dyDescent="0.2">
      <c r="A11260" t="s">
        <v>7</v>
      </c>
      <c r="B11260" t="s">
        <v>31</v>
      </c>
      <c r="C11260" t="str">
        <f t="shared" si="352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1"/>
        <v>-3</v>
      </c>
    </row>
    <row r="11261" spans="1:8" x14ac:dyDescent="0.2">
      <c r="A11261" t="s">
        <v>7</v>
      </c>
      <c r="B11261" t="s">
        <v>31</v>
      </c>
      <c r="C11261" t="str">
        <f t="shared" si="352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1"/>
        <v>-3</v>
      </c>
    </row>
    <row r="11262" spans="1:8" x14ac:dyDescent="0.2">
      <c r="A11262" t="s">
        <v>7</v>
      </c>
      <c r="B11262" t="s">
        <v>31</v>
      </c>
      <c r="C11262" t="str">
        <f t="shared" si="352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1"/>
        <v>-3</v>
      </c>
    </row>
    <row r="11263" spans="1:8" x14ac:dyDescent="0.2">
      <c r="A11263" t="s">
        <v>7</v>
      </c>
      <c r="B11263" t="s">
        <v>31</v>
      </c>
      <c r="C11263" t="str">
        <f t="shared" si="352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1"/>
        <v>-3</v>
      </c>
    </row>
    <row r="11264" spans="1:8" x14ac:dyDescent="0.2">
      <c r="A11264" t="s">
        <v>7</v>
      </c>
      <c r="B11264" t="s">
        <v>31</v>
      </c>
      <c r="C11264" t="str">
        <f t="shared" si="352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1"/>
        <v>-3</v>
      </c>
    </row>
    <row r="11265" spans="1:8" x14ac:dyDescent="0.2">
      <c r="A11265" t="s">
        <v>7</v>
      </c>
      <c r="B11265" t="s">
        <v>31</v>
      </c>
      <c r="C11265" t="str">
        <f t="shared" si="352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1"/>
        <v>-3</v>
      </c>
    </row>
    <row r="11266" spans="1:8" x14ac:dyDescent="0.2">
      <c r="A11266" t="s">
        <v>7</v>
      </c>
      <c r="B11266" t="s">
        <v>31</v>
      </c>
      <c r="C11266" t="str">
        <f t="shared" si="352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1"/>
        <v>-3</v>
      </c>
    </row>
    <row r="11267" spans="1:8" x14ac:dyDescent="0.2">
      <c r="A11267" t="s">
        <v>7</v>
      </c>
      <c r="B11267" t="s">
        <v>31</v>
      </c>
      <c r="C11267" t="str">
        <f t="shared" si="352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3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2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3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4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3"/>
        <v>-3</v>
      </c>
    </row>
    <row r="11270" spans="1:8" x14ac:dyDescent="0.2">
      <c r="A11270" t="s">
        <v>7</v>
      </c>
      <c r="B11270" t="s">
        <v>31</v>
      </c>
      <c r="C11270" t="str">
        <f t="shared" si="354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3"/>
        <v>-3</v>
      </c>
    </row>
    <row r="11271" spans="1:8" x14ac:dyDescent="0.2">
      <c r="A11271" t="s">
        <v>7</v>
      </c>
      <c r="B11271" t="s">
        <v>31</v>
      </c>
      <c r="C11271" t="str">
        <f t="shared" si="354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3"/>
        <v>-3</v>
      </c>
    </row>
    <row r="11272" spans="1:8" x14ac:dyDescent="0.2">
      <c r="A11272" t="s">
        <v>7</v>
      </c>
      <c r="B11272" t="s">
        <v>31</v>
      </c>
      <c r="C11272" t="str">
        <f t="shared" si="354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3"/>
        <v>-3</v>
      </c>
    </row>
    <row r="11273" spans="1:8" x14ac:dyDescent="0.2">
      <c r="A11273" t="s">
        <v>7</v>
      </c>
      <c r="B11273" t="s">
        <v>31</v>
      </c>
      <c r="C11273" t="str">
        <f t="shared" si="354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3"/>
        <v>-3</v>
      </c>
    </row>
    <row r="11274" spans="1:8" x14ac:dyDescent="0.2">
      <c r="A11274" t="s">
        <v>7</v>
      </c>
      <c r="B11274" t="s">
        <v>31</v>
      </c>
      <c r="C11274" t="str">
        <f t="shared" si="354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3"/>
        <v>-3</v>
      </c>
    </row>
    <row r="11275" spans="1:8" x14ac:dyDescent="0.2">
      <c r="A11275" t="s">
        <v>7</v>
      </c>
      <c r="B11275" t="s">
        <v>31</v>
      </c>
      <c r="C11275" t="str">
        <f t="shared" si="354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3"/>
        <v>-3</v>
      </c>
    </row>
    <row r="11276" spans="1:8" x14ac:dyDescent="0.2">
      <c r="A11276" t="s">
        <v>7</v>
      </c>
      <c r="B11276" t="s">
        <v>31</v>
      </c>
      <c r="C11276" t="str">
        <f t="shared" si="354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3"/>
        <v>-3</v>
      </c>
    </row>
    <row r="11277" spans="1:8" x14ac:dyDescent="0.2">
      <c r="A11277" t="s">
        <v>7</v>
      </c>
      <c r="B11277" t="s">
        <v>31</v>
      </c>
      <c r="C11277" t="str">
        <f t="shared" si="354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3"/>
        <v>-3</v>
      </c>
    </row>
    <row r="11278" spans="1:8" x14ac:dyDescent="0.2">
      <c r="A11278" t="s">
        <v>7</v>
      </c>
      <c r="B11278" t="s">
        <v>31</v>
      </c>
      <c r="C11278" t="str">
        <f t="shared" si="354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3"/>
        <v>-3</v>
      </c>
    </row>
    <row r="11279" spans="1:8" x14ac:dyDescent="0.2">
      <c r="A11279" t="s">
        <v>7</v>
      </c>
      <c r="B11279" t="s">
        <v>31</v>
      </c>
      <c r="C11279" t="str">
        <f t="shared" si="354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3"/>
        <v>-3</v>
      </c>
    </row>
    <row r="11280" spans="1:8" x14ac:dyDescent="0.2">
      <c r="A11280" t="s">
        <v>7</v>
      </c>
      <c r="B11280" t="s">
        <v>31</v>
      </c>
      <c r="C11280" t="str">
        <f t="shared" si="354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3"/>
        <v>-3</v>
      </c>
    </row>
    <row r="11281" spans="1:8" x14ac:dyDescent="0.2">
      <c r="A11281" t="s">
        <v>7</v>
      </c>
      <c r="B11281" t="s">
        <v>31</v>
      </c>
      <c r="C11281" t="str">
        <f t="shared" si="354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3"/>
        <v>-3</v>
      </c>
    </row>
    <row r="11282" spans="1:8" x14ac:dyDescent="0.2">
      <c r="A11282" t="s">
        <v>7</v>
      </c>
      <c r="B11282" t="s">
        <v>31</v>
      </c>
      <c r="C11282" t="str">
        <f t="shared" si="354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3"/>
        <v>-3</v>
      </c>
    </row>
    <row r="11283" spans="1:8" x14ac:dyDescent="0.2">
      <c r="A11283" t="s">
        <v>7</v>
      </c>
      <c r="B11283" t="s">
        <v>31</v>
      </c>
      <c r="C11283" t="str">
        <f t="shared" si="354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3"/>
        <v>-3</v>
      </c>
    </row>
    <row r="11284" spans="1:8" x14ac:dyDescent="0.2">
      <c r="A11284" t="s">
        <v>7</v>
      </c>
      <c r="B11284" t="s">
        <v>31</v>
      </c>
      <c r="C11284" t="str">
        <f t="shared" si="354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3"/>
        <v>-4</v>
      </c>
    </row>
    <row r="11285" spans="1:8" x14ac:dyDescent="0.2">
      <c r="A11285" t="s">
        <v>7</v>
      </c>
      <c r="B11285" t="s">
        <v>31</v>
      </c>
      <c r="C11285" t="str">
        <f t="shared" si="354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3"/>
        <v>-4</v>
      </c>
    </row>
    <row r="11286" spans="1:8" x14ac:dyDescent="0.2">
      <c r="A11286" t="s">
        <v>7</v>
      </c>
      <c r="B11286" t="s">
        <v>31</v>
      </c>
      <c r="C11286" t="str">
        <f t="shared" si="354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3"/>
        <v>-4</v>
      </c>
    </row>
    <row r="11287" spans="1:8" x14ac:dyDescent="0.2">
      <c r="A11287" t="s">
        <v>7</v>
      </c>
      <c r="B11287" t="s">
        <v>31</v>
      </c>
      <c r="C11287" t="str">
        <f t="shared" si="354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3"/>
        <v>-4</v>
      </c>
    </row>
    <row r="11288" spans="1:8" x14ac:dyDescent="0.2">
      <c r="A11288" t="s">
        <v>7</v>
      </c>
      <c r="B11288" t="s">
        <v>31</v>
      </c>
      <c r="C11288" t="str">
        <f t="shared" si="354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3"/>
        <v>-4</v>
      </c>
    </row>
    <row r="11289" spans="1:8" x14ac:dyDescent="0.2">
      <c r="A11289" t="s">
        <v>7</v>
      </c>
      <c r="B11289" t="s">
        <v>31</v>
      </c>
      <c r="C11289" t="str">
        <f t="shared" si="354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3"/>
        <v>-4</v>
      </c>
    </row>
    <row r="11290" spans="1:8" x14ac:dyDescent="0.2">
      <c r="A11290" t="s">
        <v>7</v>
      </c>
      <c r="B11290" t="s">
        <v>31</v>
      </c>
      <c r="C11290" t="str">
        <f t="shared" si="354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3"/>
        <v>-4</v>
      </c>
    </row>
    <row r="11291" spans="1:8" x14ac:dyDescent="0.2">
      <c r="A11291" t="s">
        <v>7</v>
      </c>
      <c r="B11291" t="s">
        <v>31</v>
      </c>
      <c r="C11291" t="str">
        <f t="shared" si="354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3"/>
        <v>-4</v>
      </c>
    </row>
    <row r="11292" spans="1:8" x14ac:dyDescent="0.2">
      <c r="A11292" t="s">
        <v>7</v>
      </c>
      <c r="B11292" t="s">
        <v>31</v>
      </c>
      <c r="C11292" t="str">
        <f t="shared" si="354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3"/>
        <v>-4</v>
      </c>
    </row>
    <row r="11293" spans="1:8" x14ac:dyDescent="0.2">
      <c r="A11293" t="s">
        <v>7</v>
      </c>
      <c r="B11293" t="s">
        <v>31</v>
      </c>
      <c r="C11293" t="str">
        <f t="shared" si="354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3"/>
        <v>-4</v>
      </c>
    </row>
    <row r="11294" spans="1:8" x14ac:dyDescent="0.2">
      <c r="A11294" t="s">
        <v>7</v>
      </c>
      <c r="B11294" t="s">
        <v>31</v>
      </c>
      <c r="C11294" t="str">
        <f t="shared" si="354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3"/>
        <v>-4</v>
      </c>
    </row>
    <row r="11295" spans="1:8" x14ac:dyDescent="0.2">
      <c r="A11295" t="s">
        <v>7</v>
      </c>
      <c r="B11295" t="s">
        <v>31</v>
      </c>
      <c r="C11295" t="str">
        <f t="shared" si="354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3"/>
        <v>-4</v>
      </c>
    </row>
    <row r="11296" spans="1:8" x14ac:dyDescent="0.2">
      <c r="A11296" t="s">
        <v>7</v>
      </c>
      <c r="B11296" t="s">
        <v>31</v>
      </c>
      <c r="C11296" t="str">
        <f t="shared" si="354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3"/>
        <v>-4</v>
      </c>
    </row>
    <row r="11297" spans="1:8" x14ac:dyDescent="0.2">
      <c r="A11297" t="s">
        <v>7</v>
      </c>
      <c r="B11297" t="s">
        <v>31</v>
      </c>
      <c r="C11297" t="str">
        <f t="shared" si="354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3"/>
        <v>-4</v>
      </c>
    </row>
    <row r="11298" spans="1:8" x14ac:dyDescent="0.2">
      <c r="A11298" t="s">
        <v>7</v>
      </c>
      <c r="B11298" t="s">
        <v>31</v>
      </c>
      <c r="C11298" t="str">
        <f t="shared" si="354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3"/>
        <v>-4</v>
      </c>
    </row>
    <row r="11299" spans="1:8" x14ac:dyDescent="0.2">
      <c r="A11299" t="s">
        <v>7</v>
      </c>
      <c r="B11299" t="s">
        <v>31</v>
      </c>
      <c r="C11299" t="str">
        <f t="shared" si="354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3"/>
        <v>-4</v>
      </c>
    </row>
    <row r="11300" spans="1:8" x14ac:dyDescent="0.2">
      <c r="A11300" t="s">
        <v>7</v>
      </c>
      <c r="B11300" t="s">
        <v>31</v>
      </c>
      <c r="C11300" t="str">
        <f t="shared" si="354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3"/>
        <v>-4</v>
      </c>
    </row>
    <row r="11301" spans="1:8" x14ac:dyDescent="0.2">
      <c r="A11301" t="s">
        <v>7</v>
      </c>
      <c r="B11301" t="s">
        <v>31</v>
      </c>
      <c r="C11301" t="str">
        <f t="shared" si="354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3"/>
        <v>-6</v>
      </c>
    </row>
    <row r="11302" spans="1:8" x14ac:dyDescent="0.2">
      <c r="A11302" t="s">
        <v>7</v>
      </c>
      <c r="B11302" t="s">
        <v>31</v>
      </c>
      <c r="C11302" t="str">
        <f t="shared" si="354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3"/>
        <v>-4</v>
      </c>
    </row>
    <row r="11303" spans="1:8" x14ac:dyDescent="0.2">
      <c r="A11303" t="s">
        <v>7</v>
      </c>
      <c r="B11303" t="s">
        <v>31</v>
      </c>
      <c r="C11303" t="str">
        <f t="shared" si="354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3"/>
        <v>-4</v>
      </c>
    </row>
    <row r="11304" spans="1:8" x14ac:dyDescent="0.2">
      <c r="A11304" t="s">
        <v>7</v>
      </c>
      <c r="B11304" t="s">
        <v>31</v>
      </c>
      <c r="C11304" t="str">
        <f t="shared" si="354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3"/>
        <v>-4</v>
      </c>
    </row>
    <row r="11305" spans="1:8" x14ac:dyDescent="0.2">
      <c r="A11305" t="s">
        <v>7</v>
      </c>
      <c r="B11305" t="s">
        <v>31</v>
      </c>
      <c r="C11305" t="str">
        <f t="shared" si="354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3"/>
        <v>-4</v>
      </c>
    </row>
    <row r="11306" spans="1:8" x14ac:dyDescent="0.2">
      <c r="A11306" t="s">
        <v>7</v>
      </c>
      <c r="B11306" t="s">
        <v>31</v>
      </c>
      <c r="C11306" t="str">
        <f t="shared" si="354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3"/>
        <v>-4</v>
      </c>
    </row>
    <row r="11307" spans="1:8" x14ac:dyDescent="0.2">
      <c r="A11307" t="s">
        <v>7</v>
      </c>
      <c r="B11307" t="s">
        <v>31</v>
      </c>
      <c r="C11307" t="str">
        <f t="shared" si="354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3"/>
        <v>-4</v>
      </c>
    </row>
    <row r="11308" spans="1:8" x14ac:dyDescent="0.2">
      <c r="A11308" t="s">
        <v>7</v>
      </c>
      <c r="B11308" t="s">
        <v>31</v>
      </c>
      <c r="C11308" t="str">
        <f t="shared" si="354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3"/>
        <v>-5</v>
      </c>
    </row>
    <row r="11309" spans="1:8" x14ac:dyDescent="0.2">
      <c r="A11309" t="s">
        <v>7</v>
      </c>
      <c r="B11309" t="s">
        <v>31</v>
      </c>
      <c r="C11309" t="str">
        <f t="shared" si="354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3"/>
        <v>-5</v>
      </c>
    </row>
    <row r="11310" spans="1:8" x14ac:dyDescent="0.2">
      <c r="A11310" t="s">
        <v>7</v>
      </c>
      <c r="B11310" t="s">
        <v>31</v>
      </c>
      <c r="C11310" t="str">
        <f t="shared" si="354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3"/>
        <v>-5</v>
      </c>
    </row>
    <row r="11311" spans="1:8" x14ac:dyDescent="0.2">
      <c r="A11311" t="s">
        <v>7</v>
      </c>
      <c r="B11311" t="s">
        <v>31</v>
      </c>
      <c r="C11311" t="str">
        <f t="shared" si="354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3"/>
        <v>-5</v>
      </c>
    </row>
    <row r="11312" spans="1:8" x14ac:dyDescent="0.2">
      <c r="A11312" t="s">
        <v>7</v>
      </c>
      <c r="B11312" t="s">
        <v>31</v>
      </c>
      <c r="C11312" t="str">
        <f t="shared" si="354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3"/>
        <v>-5</v>
      </c>
    </row>
    <row r="11313" spans="1:8" x14ac:dyDescent="0.2">
      <c r="A11313" t="s">
        <v>7</v>
      </c>
      <c r="B11313" t="s">
        <v>31</v>
      </c>
      <c r="C11313" t="str">
        <f t="shared" si="354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3"/>
        <v>-5</v>
      </c>
    </row>
    <row r="11314" spans="1:8" x14ac:dyDescent="0.2">
      <c r="A11314" t="s">
        <v>7</v>
      </c>
      <c r="B11314" t="s">
        <v>31</v>
      </c>
      <c r="C11314" t="str">
        <f t="shared" si="354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3"/>
        <v>-5</v>
      </c>
    </row>
    <row r="11315" spans="1:8" x14ac:dyDescent="0.2">
      <c r="A11315" t="s">
        <v>7</v>
      </c>
      <c r="B11315" t="s">
        <v>31</v>
      </c>
      <c r="C11315" t="str">
        <f t="shared" si="354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3"/>
        <v>-5</v>
      </c>
    </row>
    <row r="11316" spans="1:8" x14ac:dyDescent="0.2">
      <c r="A11316" t="s">
        <v>7</v>
      </c>
      <c r="B11316" t="s">
        <v>31</v>
      </c>
      <c r="C11316" t="str">
        <f t="shared" si="354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3"/>
        <v>-5</v>
      </c>
    </row>
    <row r="11317" spans="1:8" x14ac:dyDescent="0.2">
      <c r="A11317" t="s">
        <v>7</v>
      </c>
      <c r="B11317" t="s">
        <v>31</v>
      </c>
      <c r="C11317" t="str">
        <f t="shared" si="354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3"/>
        <v>-5</v>
      </c>
    </row>
    <row r="11318" spans="1:8" x14ac:dyDescent="0.2">
      <c r="A11318" t="s">
        <v>7</v>
      </c>
      <c r="B11318" t="s">
        <v>31</v>
      </c>
      <c r="C11318" t="str">
        <f t="shared" si="354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3"/>
        <v>-5</v>
      </c>
    </row>
    <row r="11319" spans="1:8" x14ac:dyDescent="0.2">
      <c r="A11319" t="s">
        <v>7</v>
      </c>
      <c r="B11319" t="s">
        <v>31</v>
      </c>
      <c r="C11319" t="str">
        <f t="shared" si="354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3"/>
        <v>-5</v>
      </c>
    </row>
    <row r="11320" spans="1:8" x14ac:dyDescent="0.2">
      <c r="A11320" t="s">
        <v>7</v>
      </c>
      <c r="B11320" t="s">
        <v>31</v>
      </c>
      <c r="C11320" t="str">
        <f t="shared" si="354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3"/>
        <v>-5</v>
      </c>
    </row>
    <row r="11321" spans="1:8" x14ac:dyDescent="0.2">
      <c r="A11321" t="s">
        <v>7</v>
      </c>
      <c r="B11321" t="s">
        <v>31</v>
      </c>
      <c r="C11321" t="str">
        <f t="shared" si="354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3"/>
        <v>-5</v>
      </c>
    </row>
    <row r="11322" spans="1:8" x14ac:dyDescent="0.2">
      <c r="A11322" t="s">
        <v>7</v>
      </c>
      <c r="B11322" t="s">
        <v>31</v>
      </c>
      <c r="C11322" t="str">
        <f t="shared" si="354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3"/>
        <v>-5</v>
      </c>
    </row>
    <row r="11323" spans="1:8" x14ac:dyDescent="0.2">
      <c r="A11323" t="s">
        <v>7</v>
      </c>
      <c r="B11323" t="s">
        <v>31</v>
      </c>
      <c r="C11323" t="str">
        <f t="shared" si="354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3"/>
        <v>-5</v>
      </c>
    </row>
    <row r="11324" spans="1:8" x14ac:dyDescent="0.2">
      <c r="A11324" t="s">
        <v>7</v>
      </c>
      <c r="B11324" t="s">
        <v>31</v>
      </c>
      <c r="C11324" t="str">
        <f t="shared" si="354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3"/>
        <v>-5</v>
      </c>
    </row>
    <row r="11325" spans="1:8" x14ac:dyDescent="0.2">
      <c r="A11325" t="s">
        <v>7</v>
      </c>
      <c r="B11325" t="s">
        <v>31</v>
      </c>
      <c r="C11325" t="str">
        <f t="shared" si="354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3"/>
        <v>-5</v>
      </c>
    </row>
    <row r="11326" spans="1:8" x14ac:dyDescent="0.2">
      <c r="A11326" t="s">
        <v>7</v>
      </c>
      <c r="B11326" t="s">
        <v>31</v>
      </c>
      <c r="C11326" t="str">
        <f t="shared" si="354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3"/>
        <v>-5</v>
      </c>
    </row>
    <row r="11327" spans="1:8" x14ac:dyDescent="0.2">
      <c r="A11327" t="s">
        <v>7</v>
      </c>
      <c r="B11327" t="s">
        <v>31</v>
      </c>
      <c r="C11327" t="str">
        <f t="shared" si="354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3"/>
        <v>-5</v>
      </c>
    </row>
    <row r="11328" spans="1:8" x14ac:dyDescent="0.2">
      <c r="A11328" t="s">
        <v>7</v>
      </c>
      <c r="B11328" t="s">
        <v>31</v>
      </c>
      <c r="C11328" t="str">
        <f t="shared" si="354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3"/>
        <v>-5</v>
      </c>
    </row>
    <row r="11329" spans="1:8" x14ac:dyDescent="0.2">
      <c r="A11329" t="s">
        <v>7</v>
      </c>
      <c r="B11329" t="s">
        <v>31</v>
      </c>
      <c r="C11329" t="str">
        <f t="shared" si="354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3"/>
        <v>-5</v>
      </c>
    </row>
    <row r="11330" spans="1:8" x14ac:dyDescent="0.2">
      <c r="A11330" t="s">
        <v>7</v>
      </c>
      <c r="B11330" t="s">
        <v>31</v>
      </c>
      <c r="C11330" t="str">
        <f t="shared" si="354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3"/>
        <v>-5</v>
      </c>
    </row>
    <row r="11331" spans="1:8" x14ac:dyDescent="0.2">
      <c r="A11331" t="s">
        <v>7</v>
      </c>
      <c r="B11331" t="s">
        <v>31</v>
      </c>
      <c r="C11331" t="str">
        <f t="shared" si="354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5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4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5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6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5"/>
        <v>-7</v>
      </c>
    </row>
    <row r="11334" spans="1:8" x14ac:dyDescent="0.2">
      <c r="A11334" t="s">
        <v>7</v>
      </c>
      <c r="B11334" t="s">
        <v>31</v>
      </c>
      <c r="C11334" t="str">
        <f t="shared" si="356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5"/>
        <v>-5</v>
      </c>
    </row>
    <row r="11335" spans="1:8" x14ac:dyDescent="0.2">
      <c r="A11335" t="s">
        <v>7</v>
      </c>
      <c r="B11335" t="s">
        <v>31</v>
      </c>
      <c r="C11335" t="str">
        <f t="shared" si="356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5"/>
        <v>-5</v>
      </c>
    </row>
    <row r="11336" spans="1:8" x14ac:dyDescent="0.2">
      <c r="A11336" t="s">
        <v>7</v>
      </c>
      <c r="B11336" t="s">
        <v>31</v>
      </c>
      <c r="C11336" t="str">
        <f t="shared" si="356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5"/>
        <v>-5</v>
      </c>
    </row>
    <row r="11337" spans="1:8" x14ac:dyDescent="0.2">
      <c r="A11337" t="s">
        <v>7</v>
      </c>
      <c r="B11337" t="s">
        <v>31</v>
      </c>
      <c r="C11337" t="str">
        <f t="shared" si="356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5"/>
        <v>-5</v>
      </c>
    </row>
    <row r="11338" spans="1:8" x14ac:dyDescent="0.2">
      <c r="A11338" t="s">
        <v>7</v>
      </c>
      <c r="B11338" t="s">
        <v>31</v>
      </c>
      <c r="C11338" t="str">
        <f t="shared" si="356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5"/>
        <v>-5</v>
      </c>
    </row>
    <row r="11339" spans="1:8" x14ac:dyDescent="0.2">
      <c r="A11339" t="s">
        <v>7</v>
      </c>
      <c r="B11339" t="s">
        <v>31</v>
      </c>
      <c r="C11339" t="str">
        <f t="shared" si="356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5"/>
        <v>-5</v>
      </c>
    </row>
    <row r="11340" spans="1:8" x14ac:dyDescent="0.2">
      <c r="A11340" t="s">
        <v>7</v>
      </c>
      <c r="B11340" t="s">
        <v>31</v>
      </c>
      <c r="C11340" t="str">
        <f t="shared" si="356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5"/>
        <v>-5</v>
      </c>
    </row>
    <row r="11341" spans="1:8" x14ac:dyDescent="0.2">
      <c r="A11341" t="s">
        <v>7</v>
      </c>
      <c r="B11341" t="s">
        <v>31</v>
      </c>
      <c r="C11341" t="str">
        <f t="shared" si="356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5"/>
        <v>-5</v>
      </c>
    </row>
    <row r="11342" spans="1:8" x14ac:dyDescent="0.2">
      <c r="A11342" t="s">
        <v>7</v>
      </c>
      <c r="B11342" t="s">
        <v>31</v>
      </c>
      <c r="C11342" t="str">
        <f t="shared" si="356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5"/>
        <v>-5</v>
      </c>
    </row>
    <row r="11343" spans="1:8" x14ac:dyDescent="0.2">
      <c r="A11343" t="s">
        <v>7</v>
      </c>
      <c r="B11343" t="s">
        <v>31</v>
      </c>
      <c r="C11343" t="str">
        <f t="shared" si="356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5"/>
        <v>-5</v>
      </c>
    </row>
    <row r="11344" spans="1:8" x14ac:dyDescent="0.2">
      <c r="A11344" t="s">
        <v>7</v>
      </c>
      <c r="B11344" t="s">
        <v>31</v>
      </c>
      <c r="C11344" t="str">
        <f t="shared" si="356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5"/>
        <v>-5</v>
      </c>
    </row>
    <row r="11345" spans="1:8" x14ac:dyDescent="0.2">
      <c r="A11345" t="s">
        <v>7</v>
      </c>
      <c r="B11345" t="s">
        <v>31</v>
      </c>
      <c r="C11345" t="str">
        <f t="shared" si="356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5"/>
        <v>-6</v>
      </c>
    </row>
    <row r="11346" spans="1:8" x14ac:dyDescent="0.2">
      <c r="A11346" t="s">
        <v>7</v>
      </c>
      <c r="B11346" t="s">
        <v>31</v>
      </c>
      <c r="C11346" t="str">
        <f t="shared" si="356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5"/>
        <v>-6</v>
      </c>
    </row>
    <row r="11347" spans="1:8" x14ac:dyDescent="0.2">
      <c r="A11347" t="s">
        <v>18</v>
      </c>
      <c r="B11347" t="s">
        <v>31</v>
      </c>
      <c r="C11347" t="str">
        <f t="shared" si="356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5"/>
        <v>-6</v>
      </c>
    </row>
    <row r="11348" spans="1:8" x14ac:dyDescent="0.2">
      <c r="A11348" t="s">
        <v>7</v>
      </c>
      <c r="B11348" t="s">
        <v>31</v>
      </c>
      <c r="C11348" t="str">
        <f t="shared" si="356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5"/>
        <v>-6</v>
      </c>
    </row>
    <row r="11349" spans="1:8" x14ac:dyDescent="0.2">
      <c r="A11349" t="s">
        <v>18</v>
      </c>
      <c r="B11349" t="s">
        <v>31</v>
      </c>
      <c r="C11349" t="str">
        <f t="shared" si="356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5"/>
        <v>-6</v>
      </c>
    </row>
    <row r="11350" spans="1:8" x14ac:dyDescent="0.2">
      <c r="A11350" t="s">
        <v>7</v>
      </c>
      <c r="B11350" t="s">
        <v>31</v>
      </c>
      <c r="C11350" t="str">
        <f t="shared" si="356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5"/>
        <v>-6</v>
      </c>
    </row>
    <row r="11351" spans="1:8" x14ac:dyDescent="0.2">
      <c r="A11351" t="s">
        <v>18</v>
      </c>
      <c r="B11351" t="s">
        <v>31</v>
      </c>
      <c r="C11351" t="str">
        <f t="shared" si="356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5"/>
        <v>-6</v>
      </c>
    </row>
    <row r="11352" spans="1:8" x14ac:dyDescent="0.2">
      <c r="A11352" t="s">
        <v>18</v>
      </c>
      <c r="B11352" t="s">
        <v>31</v>
      </c>
      <c r="C11352" t="str">
        <f t="shared" si="356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5"/>
        <v>-6</v>
      </c>
    </row>
    <row r="11353" spans="1:8" x14ac:dyDescent="0.2">
      <c r="A11353" t="s">
        <v>18</v>
      </c>
      <c r="B11353" t="s">
        <v>31</v>
      </c>
      <c r="C11353" t="str">
        <f t="shared" si="356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5"/>
        <v>-6</v>
      </c>
    </row>
    <row r="11354" spans="1:8" x14ac:dyDescent="0.2">
      <c r="A11354" t="s">
        <v>7</v>
      </c>
      <c r="B11354" t="s">
        <v>31</v>
      </c>
      <c r="C11354" t="str">
        <f t="shared" si="356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5"/>
        <v>-6</v>
      </c>
    </row>
    <row r="11355" spans="1:8" x14ac:dyDescent="0.2">
      <c r="A11355" t="s">
        <v>19</v>
      </c>
      <c r="B11355" t="s">
        <v>31</v>
      </c>
      <c r="C11355" t="str">
        <f t="shared" si="356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5"/>
        <v>-6</v>
      </c>
    </row>
    <row r="11356" spans="1:8" x14ac:dyDescent="0.2">
      <c r="A11356" t="s">
        <v>7</v>
      </c>
      <c r="B11356" t="s">
        <v>31</v>
      </c>
      <c r="C11356" t="str">
        <f t="shared" si="356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5"/>
        <v>-6</v>
      </c>
    </row>
    <row r="11357" spans="1:8" x14ac:dyDescent="0.2">
      <c r="A11357" t="s">
        <v>7</v>
      </c>
      <c r="B11357" t="s">
        <v>31</v>
      </c>
      <c r="C11357" t="str">
        <f t="shared" si="356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5"/>
        <v>-6</v>
      </c>
    </row>
    <row r="11358" spans="1:8" x14ac:dyDescent="0.2">
      <c r="A11358" t="s">
        <v>7</v>
      </c>
      <c r="B11358" t="s">
        <v>31</v>
      </c>
      <c r="C11358" t="str">
        <f t="shared" si="356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5"/>
        <v>-6</v>
      </c>
    </row>
    <row r="11359" spans="1:8" x14ac:dyDescent="0.2">
      <c r="A11359" t="s">
        <v>7</v>
      </c>
      <c r="B11359" t="s">
        <v>31</v>
      </c>
      <c r="C11359" t="str">
        <f t="shared" si="356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5"/>
        <v>-6</v>
      </c>
    </row>
    <row r="11360" spans="1:8" x14ac:dyDescent="0.2">
      <c r="A11360" t="s">
        <v>7</v>
      </c>
      <c r="B11360" t="s">
        <v>31</v>
      </c>
      <c r="C11360" t="str">
        <f t="shared" si="356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5"/>
        <v>-6</v>
      </c>
    </row>
    <row r="11361" spans="1:8" x14ac:dyDescent="0.2">
      <c r="A11361" t="s">
        <v>18</v>
      </c>
      <c r="B11361" t="s">
        <v>31</v>
      </c>
      <c r="C11361" t="str">
        <f t="shared" si="356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5"/>
        <v>-6</v>
      </c>
    </row>
    <row r="11362" spans="1:8" x14ac:dyDescent="0.2">
      <c r="A11362" t="s">
        <v>7</v>
      </c>
      <c r="B11362" t="s">
        <v>31</v>
      </c>
      <c r="C11362" t="str">
        <f t="shared" si="356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5"/>
        <v>-8</v>
      </c>
    </row>
    <row r="11363" spans="1:8" x14ac:dyDescent="0.2">
      <c r="A11363" t="s">
        <v>7</v>
      </c>
      <c r="B11363" t="s">
        <v>31</v>
      </c>
      <c r="C11363" t="str">
        <f t="shared" si="356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5"/>
        <v>-6</v>
      </c>
    </row>
    <row r="11364" spans="1:8" x14ac:dyDescent="0.2">
      <c r="A11364" t="s">
        <v>19</v>
      </c>
      <c r="B11364" t="s">
        <v>31</v>
      </c>
      <c r="C11364" t="str">
        <f t="shared" si="356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5"/>
        <v>-6</v>
      </c>
    </row>
    <row r="11365" spans="1:8" x14ac:dyDescent="0.2">
      <c r="A11365" t="s">
        <v>19</v>
      </c>
      <c r="B11365" t="s">
        <v>31</v>
      </c>
      <c r="C11365" t="str">
        <f t="shared" si="356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5"/>
        <v>-6</v>
      </c>
    </row>
    <row r="11366" spans="1:8" x14ac:dyDescent="0.2">
      <c r="A11366" t="s">
        <v>18</v>
      </c>
      <c r="B11366" t="s">
        <v>31</v>
      </c>
      <c r="C11366" t="str">
        <f t="shared" si="356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5"/>
        <v>-6</v>
      </c>
    </row>
    <row r="11367" spans="1:8" x14ac:dyDescent="0.2">
      <c r="A11367" t="s">
        <v>7</v>
      </c>
      <c r="B11367" t="s">
        <v>31</v>
      </c>
      <c r="C11367" t="str">
        <f t="shared" si="356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5"/>
        <v>-6</v>
      </c>
    </row>
    <row r="11368" spans="1:8" x14ac:dyDescent="0.2">
      <c r="A11368" t="s">
        <v>7</v>
      </c>
      <c r="B11368" t="s">
        <v>31</v>
      </c>
      <c r="C11368" t="str">
        <f t="shared" si="356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5"/>
        <v>-6</v>
      </c>
    </row>
    <row r="11369" spans="1:8" x14ac:dyDescent="0.2">
      <c r="A11369" t="s">
        <v>7</v>
      </c>
      <c r="B11369" t="s">
        <v>31</v>
      </c>
      <c r="C11369" t="str">
        <f t="shared" si="356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5"/>
        <v>-6</v>
      </c>
    </row>
    <row r="11370" spans="1:8" x14ac:dyDescent="0.2">
      <c r="A11370" t="s">
        <v>7</v>
      </c>
      <c r="B11370" t="s">
        <v>31</v>
      </c>
      <c r="C11370" t="str">
        <f t="shared" si="356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5"/>
        <v>-6</v>
      </c>
    </row>
    <row r="11371" spans="1:8" x14ac:dyDescent="0.2">
      <c r="A11371" t="s">
        <v>7</v>
      </c>
      <c r="B11371" t="s">
        <v>31</v>
      </c>
      <c r="C11371" t="str">
        <f t="shared" si="356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5"/>
        <v>-6</v>
      </c>
    </row>
    <row r="11372" spans="1:8" x14ac:dyDescent="0.2">
      <c r="A11372" t="s">
        <v>19</v>
      </c>
      <c r="B11372" t="s">
        <v>31</v>
      </c>
      <c r="C11372" t="str">
        <f t="shared" si="356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5"/>
        <v>-6</v>
      </c>
    </row>
    <row r="11373" spans="1:8" x14ac:dyDescent="0.2">
      <c r="A11373" t="s">
        <v>7</v>
      </c>
      <c r="B11373" t="s">
        <v>31</v>
      </c>
      <c r="C11373" t="str">
        <f t="shared" si="356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5"/>
        <v>-6</v>
      </c>
    </row>
    <row r="11374" spans="1:8" x14ac:dyDescent="0.2">
      <c r="A11374" t="s">
        <v>18</v>
      </c>
      <c r="B11374" t="s">
        <v>31</v>
      </c>
      <c r="C11374" t="str">
        <f t="shared" si="356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5"/>
        <v>-6</v>
      </c>
    </row>
    <row r="11375" spans="1:8" x14ac:dyDescent="0.2">
      <c r="A11375" t="s">
        <v>7</v>
      </c>
      <c r="B11375" t="s">
        <v>31</v>
      </c>
      <c r="C11375" t="str">
        <f t="shared" si="356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5"/>
        <v>-6</v>
      </c>
    </row>
    <row r="11376" spans="1:8" x14ac:dyDescent="0.2">
      <c r="A11376" t="s">
        <v>7</v>
      </c>
      <c r="B11376" t="s">
        <v>31</v>
      </c>
      <c r="C11376" t="str">
        <f t="shared" si="356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5"/>
        <v>-6</v>
      </c>
    </row>
    <row r="11377" spans="1:8" x14ac:dyDescent="0.2">
      <c r="A11377" t="s">
        <v>19</v>
      </c>
      <c r="B11377" t="s">
        <v>31</v>
      </c>
      <c r="C11377" t="str">
        <f t="shared" si="356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5"/>
        <v>-6</v>
      </c>
    </row>
    <row r="11378" spans="1:8" x14ac:dyDescent="0.2">
      <c r="A11378" t="s">
        <v>7</v>
      </c>
      <c r="B11378" t="s">
        <v>31</v>
      </c>
      <c r="C11378" t="str">
        <f t="shared" si="356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5"/>
        <v>-6</v>
      </c>
    </row>
    <row r="11379" spans="1:8" x14ac:dyDescent="0.2">
      <c r="A11379" t="s">
        <v>7</v>
      </c>
      <c r="B11379" t="s">
        <v>31</v>
      </c>
      <c r="C11379" t="str">
        <f t="shared" si="356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55"/>
        <v>-6</v>
      </c>
    </row>
    <row r="11380" spans="1:8" x14ac:dyDescent="0.2">
      <c r="A11380" t="s">
        <v>18</v>
      </c>
      <c r="B11380" t="s">
        <v>31</v>
      </c>
      <c r="C11380" t="str">
        <f t="shared" si="356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5"/>
        <v>-6</v>
      </c>
    </row>
    <row r="11381" spans="1:8" x14ac:dyDescent="0.2">
      <c r="A11381" t="s">
        <v>19</v>
      </c>
      <c r="B11381" t="s">
        <v>31</v>
      </c>
      <c r="C11381" t="str">
        <f t="shared" si="356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5"/>
        <v>-6</v>
      </c>
    </row>
    <row r="11382" spans="1:8" x14ac:dyDescent="0.2">
      <c r="A11382" t="s">
        <v>18</v>
      </c>
      <c r="B11382" t="s">
        <v>31</v>
      </c>
      <c r="C11382" t="str">
        <f t="shared" si="356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5"/>
        <v>-6</v>
      </c>
    </row>
    <row r="11383" spans="1:8" x14ac:dyDescent="0.2">
      <c r="A11383" t="s">
        <v>19</v>
      </c>
      <c r="B11383" t="s">
        <v>31</v>
      </c>
      <c r="C11383" t="str">
        <f t="shared" si="356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5"/>
        <v>-6</v>
      </c>
    </row>
    <row r="11384" spans="1:8" x14ac:dyDescent="0.2">
      <c r="A11384" t="s">
        <v>18</v>
      </c>
      <c r="B11384" t="s">
        <v>31</v>
      </c>
      <c r="C11384" t="str">
        <f t="shared" si="356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5"/>
        <v>-6</v>
      </c>
    </row>
    <row r="11385" spans="1:8" x14ac:dyDescent="0.2">
      <c r="A11385" t="s">
        <v>7</v>
      </c>
      <c r="B11385" t="s">
        <v>31</v>
      </c>
      <c r="C11385" t="str">
        <f t="shared" si="356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5"/>
        <v>-6</v>
      </c>
    </row>
    <row r="11386" spans="1:8" x14ac:dyDescent="0.2">
      <c r="A11386" t="s">
        <v>18</v>
      </c>
      <c r="B11386" t="s">
        <v>31</v>
      </c>
      <c r="C11386" t="str">
        <f t="shared" si="356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5"/>
        <v>-6</v>
      </c>
    </row>
    <row r="11387" spans="1:8" x14ac:dyDescent="0.2">
      <c r="A11387" t="s">
        <v>19</v>
      </c>
      <c r="B11387" t="s">
        <v>31</v>
      </c>
      <c r="C11387" t="str">
        <f t="shared" si="356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5"/>
        <v>-6</v>
      </c>
    </row>
    <row r="11388" spans="1:8" x14ac:dyDescent="0.2">
      <c r="A11388" t="s">
        <v>18</v>
      </c>
      <c r="B11388" t="s">
        <v>31</v>
      </c>
      <c r="C11388" t="str">
        <f t="shared" si="356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5"/>
        <v>-6</v>
      </c>
    </row>
    <row r="11389" spans="1:8" x14ac:dyDescent="0.2">
      <c r="A11389" t="s">
        <v>7</v>
      </c>
      <c r="B11389" t="s">
        <v>31</v>
      </c>
      <c r="C11389" t="str">
        <f t="shared" si="356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5"/>
        <v>-6</v>
      </c>
    </row>
    <row r="11390" spans="1:8" x14ac:dyDescent="0.2">
      <c r="A11390" t="s">
        <v>18</v>
      </c>
      <c r="B11390" t="s">
        <v>31</v>
      </c>
      <c r="C11390" t="str">
        <f t="shared" si="356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5"/>
        <v>-6</v>
      </c>
    </row>
    <row r="11391" spans="1:8" x14ac:dyDescent="0.2">
      <c r="A11391" t="s">
        <v>7</v>
      </c>
      <c r="B11391" t="s">
        <v>31</v>
      </c>
      <c r="C11391" t="str">
        <f t="shared" si="356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5"/>
        <v>-6</v>
      </c>
    </row>
    <row r="11392" spans="1:8" x14ac:dyDescent="0.2">
      <c r="A11392" t="s">
        <v>7</v>
      </c>
      <c r="B11392" t="s">
        <v>31</v>
      </c>
      <c r="C11392" t="str">
        <f t="shared" si="356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5"/>
        <v>-6</v>
      </c>
    </row>
    <row r="11393" spans="1:8" x14ac:dyDescent="0.2">
      <c r="A11393" t="s">
        <v>7</v>
      </c>
      <c r="B11393" t="s">
        <v>31</v>
      </c>
      <c r="C11393" t="str">
        <f t="shared" si="356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5"/>
        <v>-6</v>
      </c>
    </row>
    <row r="11394" spans="1:8" x14ac:dyDescent="0.2">
      <c r="A11394" t="s">
        <v>7</v>
      </c>
      <c r="B11394" t="s">
        <v>31</v>
      </c>
      <c r="C11394" t="str">
        <f t="shared" si="356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5"/>
        <v>-6</v>
      </c>
    </row>
    <row r="11395" spans="1:8" x14ac:dyDescent="0.2">
      <c r="A11395" t="s">
        <v>18</v>
      </c>
      <c r="B11395" t="s">
        <v>31</v>
      </c>
      <c r="C11395" t="str">
        <f t="shared" si="356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7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6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7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58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7"/>
        <v>-6</v>
      </c>
    </row>
    <row r="11398" spans="1:8" x14ac:dyDescent="0.2">
      <c r="A11398" t="s">
        <v>18</v>
      </c>
      <c r="B11398" t="s">
        <v>31</v>
      </c>
      <c r="C11398" t="str">
        <f t="shared" si="358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7"/>
        <v>-6</v>
      </c>
    </row>
    <row r="11399" spans="1:8" x14ac:dyDescent="0.2">
      <c r="A11399" t="s">
        <v>19</v>
      </c>
      <c r="B11399" t="s">
        <v>31</v>
      </c>
      <c r="C11399" t="str">
        <f t="shared" si="358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7"/>
        <v>-6</v>
      </c>
    </row>
    <row r="11400" spans="1:8" x14ac:dyDescent="0.2">
      <c r="A11400" t="s">
        <v>19</v>
      </c>
      <c r="B11400" t="s">
        <v>31</v>
      </c>
      <c r="C11400" t="str">
        <f t="shared" si="358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7"/>
        <v>-6</v>
      </c>
    </row>
    <row r="11401" spans="1:8" x14ac:dyDescent="0.2">
      <c r="A11401" t="s">
        <v>18</v>
      </c>
      <c r="B11401" t="s">
        <v>31</v>
      </c>
      <c r="C11401" t="str">
        <f t="shared" si="358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7"/>
        <v>-6</v>
      </c>
    </row>
    <row r="11402" spans="1:8" x14ac:dyDescent="0.2">
      <c r="A11402" t="s">
        <v>7</v>
      </c>
      <c r="B11402" t="s">
        <v>31</v>
      </c>
      <c r="C11402" t="str">
        <f t="shared" si="358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7"/>
        <v>-6</v>
      </c>
    </row>
    <row r="11403" spans="1:8" x14ac:dyDescent="0.2">
      <c r="A11403" t="s">
        <v>19</v>
      </c>
      <c r="B11403" t="s">
        <v>31</v>
      </c>
      <c r="C11403" t="str">
        <f t="shared" si="358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7"/>
        <v>-6</v>
      </c>
    </row>
    <row r="11404" spans="1:8" x14ac:dyDescent="0.2">
      <c r="A11404" t="s">
        <v>7</v>
      </c>
      <c r="B11404" t="s">
        <v>31</v>
      </c>
      <c r="C11404" t="str">
        <f t="shared" si="358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7"/>
        <v>-6</v>
      </c>
    </row>
    <row r="11405" spans="1:8" x14ac:dyDescent="0.2">
      <c r="A11405" t="s">
        <v>18</v>
      </c>
      <c r="B11405" t="s">
        <v>31</v>
      </c>
      <c r="C11405" t="str">
        <f t="shared" si="358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7"/>
        <v>-6</v>
      </c>
    </row>
    <row r="11406" spans="1:8" x14ac:dyDescent="0.2">
      <c r="A11406" t="s">
        <v>18</v>
      </c>
      <c r="B11406" t="s">
        <v>31</v>
      </c>
      <c r="C11406" t="str">
        <f t="shared" si="358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7"/>
        <v>-6</v>
      </c>
    </row>
    <row r="11407" spans="1:8" x14ac:dyDescent="0.2">
      <c r="A11407" t="s">
        <v>18</v>
      </c>
      <c r="B11407" t="s">
        <v>31</v>
      </c>
      <c r="C11407" t="str">
        <f t="shared" si="358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7"/>
        <v>-6</v>
      </c>
    </row>
    <row r="11408" spans="1:8" x14ac:dyDescent="0.2">
      <c r="A11408" t="s">
        <v>7</v>
      </c>
      <c r="B11408" t="s">
        <v>31</v>
      </c>
      <c r="C11408" t="str">
        <f t="shared" si="358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7"/>
        <v>-6</v>
      </c>
    </row>
    <row r="11409" spans="1:8" x14ac:dyDescent="0.2">
      <c r="A11409" t="s">
        <v>7</v>
      </c>
      <c r="B11409" t="s">
        <v>31</v>
      </c>
      <c r="C11409" t="str">
        <f t="shared" si="358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7"/>
        <v>-6</v>
      </c>
    </row>
    <row r="11410" spans="1:8" x14ac:dyDescent="0.2">
      <c r="A11410" t="s">
        <v>18</v>
      </c>
      <c r="B11410" t="s">
        <v>31</v>
      </c>
      <c r="C11410" t="str">
        <f t="shared" si="358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7"/>
        <v>-6</v>
      </c>
    </row>
    <row r="11411" spans="1:8" x14ac:dyDescent="0.2">
      <c r="A11411" t="s">
        <v>19</v>
      </c>
      <c r="B11411" t="s">
        <v>31</v>
      </c>
      <c r="C11411" t="str">
        <f t="shared" si="358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7"/>
        <v>-6</v>
      </c>
    </row>
    <row r="11412" spans="1:8" x14ac:dyDescent="0.2">
      <c r="A11412" t="s">
        <v>18</v>
      </c>
      <c r="B11412" t="s">
        <v>31</v>
      </c>
      <c r="C11412" t="str">
        <f t="shared" si="358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7"/>
        <v>-6</v>
      </c>
    </row>
    <row r="11413" spans="1:8" x14ac:dyDescent="0.2">
      <c r="A11413" t="s">
        <v>18</v>
      </c>
      <c r="B11413" t="s">
        <v>31</v>
      </c>
      <c r="C11413" t="str">
        <f t="shared" si="358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7"/>
        <v>-6</v>
      </c>
    </row>
    <row r="11414" spans="1:8" x14ac:dyDescent="0.2">
      <c r="A11414" t="s">
        <v>18</v>
      </c>
      <c r="B11414" t="s">
        <v>31</v>
      </c>
      <c r="C11414" t="str">
        <f t="shared" si="358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7"/>
        <v>-6</v>
      </c>
    </row>
    <row r="11415" spans="1:8" x14ac:dyDescent="0.2">
      <c r="A11415" t="s">
        <v>18</v>
      </c>
      <c r="B11415" t="s">
        <v>31</v>
      </c>
      <c r="C11415" t="str">
        <f t="shared" si="358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7"/>
        <v>-6</v>
      </c>
    </row>
    <row r="11416" spans="1:8" x14ac:dyDescent="0.2">
      <c r="A11416" t="s">
        <v>18</v>
      </c>
      <c r="B11416" t="s">
        <v>31</v>
      </c>
      <c r="C11416" t="str">
        <f t="shared" si="358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7"/>
        <v>-6</v>
      </c>
    </row>
    <row r="11417" spans="1:8" x14ac:dyDescent="0.2">
      <c r="A11417" t="s">
        <v>19</v>
      </c>
      <c r="B11417" t="s">
        <v>31</v>
      </c>
      <c r="C11417" t="str">
        <f t="shared" si="358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7"/>
        <v>-6</v>
      </c>
    </row>
    <row r="11418" spans="1:8" x14ac:dyDescent="0.2">
      <c r="A11418" t="s">
        <v>18</v>
      </c>
      <c r="B11418" t="s">
        <v>31</v>
      </c>
      <c r="C11418" t="str">
        <f t="shared" si="358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7"/>
        <v>-6</v>
      </c>
    </row>
    <row r="11419" spans="1:8" x14ac:dyDescent="0.2">
      <c r="A11419" t="s">
        <v>7</v>
      </c>
      <c r="B11419" t="s">
        <v>31</v>
      </c>
      <c r="C11419" t="str">
        <f t="shared" si="358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7"/>
        <v>-6</v>
      </c>
    </row>
    <row r="11420" spans="1:8" x14ac:dyDescent="0.2">
      <c r="A11420" t="s">
        <v>18</v>
      </c>
      <c r="B11420" t="s">
        <v>31</v>
      </c>
      <c r="C11420" t="str">
        <f t="shared" si="358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7"/>
        <v>-6</v>
      </c>
    </row>
    <row r="11421" spans="1:8" x14ac:dyDescent="0.2">
      <c r="A11421" t="s">
        <v>18</v>
      </c>
      <c r="B11421" t="s">
        <v>31</v>
      </c>
      <c r="C11421" t="str">
        <f t="shared" si="358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7"/>
        <v>-6</v>
      </c>
    </row>
    <row r="11422" spans="1:8" x14ac:dyDescent="0.2">
      <c r="A11422" t="s">
        <v>7</v>
      </c>
      <c r="B11422" t="s">
        <v>31</v>
      </c>
      <c r="C11422" t="str">
        <f t="shared" si="358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7"/>
        <v>-6</v>
      </c>
    </row>
    <row r="11423" spans="1:8" x14ac:dyDescent="0.2">
      <c r="A11423" t="s">
        <v>7</v>
      </c>
      <c r="B11423" t="s">
        <v>31</v>
      </c>
      <c r="C11423" t="str">
        <f t="shared" si="358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7"/>
        <v>-6</v>
      </c>
    </row>
    <row r="11424" spans="1:8" x14ac:dyDescent="0.2">
      <c r="A11424" t="s">
        <v>18</v>
      </c>
      <c r="B11424" t="s">
        <v>31</v>
      </c>
      <c r="C11424" t="str">
        <f t="shared" si="358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7"/>
        <v>-6</v>
      </c>
    </row>
    <row r="11425" spans="1:8" x14ac:dyDescent="0.2">
      <c r="A11425" t="s">
        <v>7</v>
      </c>
      <c r="B11425" t="s">
        <v>31</v>
      </c>
      <c r="C11425" t="str">
        <f t="shared" si="358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7"/>
        <v>-6</v>
      </c>
    </row>
    <row r="11426" spans="1:8" x14ac:dyDescent="0.2">
      <c r="A11426" t="s">
        <v>18</v>
      </c>
      <c r="B11426" t="s">
        <v>31</v>
      </c>
      <c r="C11426" t="str">
        <f t="shared" si="358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7"/>
        <v>-6</v>
      </c>
    </row>
    <row r="11427" spans="1:8" x14ac:dyDescent="0.2">
      <c r="A11427" t="s">
        <v>7</v>
      </c>
      <c r="B11427" t="s">
        <v>31</v>
      </c>
      <c r="C11427" t="str">
        <f t="shared" si="358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7"/>
        <v>-6</v>
      </c>
    </row>
    <row r="11428" spans="1:8" x14ac:dyDescent="0.2">
      <c r="A11428" t="s">
        <v>7</v>
      </c>
      <c r="B11428" t="s">
        <v>31</v>
      </c>
      <c r="C11428" t="str">
        <f t="shared" si="358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7"/>
        <v>-6</v>
      </c>
    </row>
    <row r="11429" spans="1:8" x14ac:dyDescent="0.2">
      <c r="A11429" t="s">
        <v>18</v>
      </c>
      <c r="B11429" t="s">
        <v>31</v>
      </c>
      <c r="C11429" t="str">
        <f t="shared" si="358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7"/>
        <v>-6</v>
      </c>
    </row>
    <row r="11430" spans="1:8" x14ac:dyDescent="0.2">
      <c r="A11430" t="s">
        <v>7</v>
      </c>
      <c r="B11430" t="s">
        <v>31</v>
      </c>
      <c r="C11430" t="str">
        <f t="shared" si="358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7"/>
        <v>-6</v>
      </c>
    </row>
    <row r="11431" spans="1:8" x14ac:dyDescent="0.2">
      <c r="A11431" t="s">
        <v>19</v>
      </c>
      <c r="B11431" t="s">
        <v>31</v>
      </c>
      <c r="C11431" t="str">
        <f t="shared" si="358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7"/>
        <v>-6</v>
      </c>
    </row>
    <row r="11432" spans="1:8" x14ac:dyDescent="0.2">
      <c r="A11432" t="s">
        <v>18</v>
      </c>
      <c r="B11432" t="s">
        <v>31</v>
      </c>
      <c r="C11432" t="str">
        <f t="shared" si="358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7"/>
        <v>-6</v>
      </c>
    </row>
    <row r="11433" spans="1:8" x14ac:dyDescent="0.2">
      <c r="A11433" t="s">
        <v>7</v>
      </c>
      <c r="B11433" t="s">
        <v>31</v>
      </c>
      <c r="C11433" t="str">
        <f t="shared" si="358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7"/>
        <v>-6</v>
      </c>
    </row>
    <row r="11434" spans="1:8" x14ac:dyDescent="0.2">
      <c r="A11434" t="s">
        <v>18</v>
      </c>
      <c r="B11434" t="s">
        <v>31</v>
      </c>
      <c r="C11434" t="str">
        <f t="shared" si="358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7"/>
        <v>-6</v>
      </c>
    </row>
    <row r="11435" spans="1:8" x14ac:dyDescent="0.2">
      <c r="A11435" t="s">
        <v>7</v>
      </c>
      <c r="B11435" t="s">
        <v>31</v>
      </c>
      <c r="C11435" t="str">
        <f t="shared" si="358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7"/>
        <v>-6</v>
      </c>
    </row>
    <row r="11436" spans="1:8" x14ac:dyDescent="0.2">
      <c r="A11436" t="s">
        <v>19</v>
      </c>
      <c r="B11436" t="s">
        <v>31</v>
      </c>
      <c r="C11436" t="str">
        <f t="shared" si="358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7"/>
        <v>-6</v>
      </c>
    </row>
    <row r="11437" spans="1:8" x14ac:dyDescent="0.2">
      <c r="A11437" t="s">
        <v>7</v>
      </c>
      <c r="B11437" t="s">
        <v>31</v>
      </c>
      <c r="C11437" t="str">
        <f t="shared" si="358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7"/>
        <v>-6</v>
      </c>
    </row>
    <row r="11438" spans="1:8" x14ac:dyDescent="0.2">
      <c r="A11438" t="s">
        <v>18</v>
      </c>
      <c r="B11438" t="s">
        <v>31</v>
      </c>
      <c r="C11438" t="str">
        <f t="shared" si="358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7"/>
        <v>-6</v>
      </c>
    </row>
    <row r="11439" spans="1:8" x14ac:dyDescent="0.2">
      <c r="A11439" t="s">
        <v>19</v>
      </c>
      <c r="B11439" t="s">
        <v>31</v>
      </c>
      <c r="C11439" t="str">
        <f t="shared" si="358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7"/>
        <v>-6</v>
      </c>
    </row>
    <row r="11440" spans="1:8" x14ac:dyDescent="0.2">
      <c r="A11440" t="s">
        <v>18</v>
      </c>
      <c r="B11440" t="s">
        <v>31</v>
      </c>
      <c r="C11440" t="str">
        <f t="shared" si="358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7"/>
        <v>-6</v>
      </c>
    </row>
    <row r="11441" spans="1:8" x14ac:dyDescent="0.2">
      <c r="A11441" t="s">
        <v>7</v>
      </c>
      <c r="B11441" t="s">
        <v>31</v>
      </c>
      <c r="C11441" t="str">
        <f t="shared" si="358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7"/>
        <v>-6</v>
      </c>
    </row>
    <row r="11442" spans="1:8" x14ac:dyDescent="0.2">
      <c r="A11442" t="s">
        <v>18</v>
      </c>
      <c r="B11442" t="s">
        <v>31</v>
      </c>
      <c r="C11442" t="str">
        <f t="shared" si="358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7"/>
        <v>-6</v>
      </c>
    </row>
    <row r="11443" spans="1:8" x14ac:dyDescent="0.2">
      <c r="A11443" t="s">
        <v>18</v>
      </c>
      <c r="B11443" t="s">
        <v>31</v>
      </c>
      <c r="C11443" t="str">
        <f t="shared" si="358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7"/>
        <v>0</v>
      </c>
    </row>
    <row r="11444" spans="1:8" x14ac:dyDescent="0.2">
      <c r="A11444" t="s">
        <v>18</v>
      </c>
      <c r="B11444" t="s">
        <v>31</v>
      </c>
      <c r="C11444" t="str">
        <f t="shared" si="358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7"/>
        <v>-6</v>
      </c>
    </row>
    <row r="11445" spans="1:8" x14ac:dyDescent="0.2">
      <c r="A11445" t="s">
        <v>18</v>
      </c>
      <c r="B11445" t="s">
        <v>31</v>
      </c>
      <c r="C11445" t="str">
        <f t="shared" si="358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7"/>
        <v>-6</v>
      </c>
    </row>
    <row r="11446" spans="1:8" x14ac:dyDescent="0.2">
      <c r="A11446" t="s">
        <v>18</v>
      </c>
      <c r="B11446" t="s">
        <v>31</v>
      </c>
      <c r="C11446" t="str">
        <f t="shared" si="358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7"/>
        <v>-6</v>
      </c>
    </row>
    <row r="11447" spans="1:8" x14ac:dyDescent="0.2">
      <c r="A11447" t="s">
        <v>7</v>
      </c>
      <c r="B11447" t="s">
        <v>31</v>
      </c>
      <c r="C11447" t="str">
        <f t="shared" si="358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7"/>
        <v>-6</v>
      </c>
    </row>
    <row r="11448" spans="1:8" x14ac:dyDescent="0.2">
      <c r="A11448" t="s">
        <v>18</v>
      </c>
      <c r="B11448" t="s">
        <v>31</v>
      </c>
      <c r="C11448" t="str">
        <f t="shared" si="358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7"/>
        <v>-6</v>
      </c>
    </row>
    <row r="11449" spans="1:8" x14ac:dyDescent="0.2">
      <c r="A11449" t="s">
        <v>18</v>
      </c>
      <c r="B11449" t="s">
        <v>31</v>
      </c>
      <c r="C11449" t="str">
        <f t="shared" si="358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7"/>
        <v>-6</v>
      </c>
    </row>
    <row r="11450" spans="1:8" x14ac:dyDescent="0.2">
      <c r="A11450" t="s">
        <v>7</v>
      </c>
      <c r="B11450" t="s">
        <v>31</v>
      </c>
      <c r="C11450" t="str">
        <f t="shared" si="358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7"/>
        <v>-6</v>
      </c>
    </row>
    <row r="11451" spans="1:8" x14ac:dyDescent="0.2">
      <c r="A11451" t="s">
        <v>7</v>
      </c>
      <c r="B11451" t="s">
        <v>31</v>
      </c>
      <c r="C11451" t="str">
        <f t="shared" si="358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7"/>
        <v>-6</v>
      </c>
    </row>
    <row r="11452" spans="1:8" x14ac:dyDescent="0.2">
      <c r="A11452" t="s">
        <v>18</v>
      </c>
      <c r="B11452" t="s">
        <v>31</v>
      </c>
      <c r="C11452" t="str">
        <f t="shared" si="358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7"/>
        <v>-6</v>
      </c>
    </row>
    <row r="11453" spans="1:8" x14ac:dyDescent="0.2">
      <c r="A11453" t="s">
        <v>7</v>
      </c>
      <c r="B11453" t="s">
        <v>31</v>
      </c>
      <c r="C11453" t="str">
        <f t="shared" si="358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7"/>
        <v>-6</v>
      </c>
    </row>
    <row r="11454" spans="1:8" x14ac:dyDescent="0.2">
      <c r="A11454" t="s">
        <v>18</v>
      </c>
      <c r="B11454" t="s">
        <v>31</v>
      </c>
      <c r="C11454" t="str">
        <f t="shared" si="358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7"/>
        <v>-6</v>
      </c>
    </row>
    <row r="11455" spans="1:8" x14ac:dyDescent="0.2">
      <c r="A11455" t="s">
        <v>7</v>
      </c>
      <c r="B11455" t="s">
        <v>31</v>
      </c>
      <c r="C11455" t="str">
        <f t="shared" si="358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7"/>
        <v>-6</v>
      </c>
    </row>
    <row r="11456" spans="1:8" x14ac:dyDescent="0.2">
      <c r="A11456" t="s">
        <v>18</v>
      </c>
      <c r="B11456" t="s">
        <v>31</v>
      </c>
      <c r="C11456" t="str">
        <f t="shared" si="358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7"/>
        <v>-6</v>
      </c>
    </row>
    <row r="11457" spans="1:8" x14ac:dyDescent="0.2">
      <c r="A11457" t="s">
        <v>7</v>
      </c>
      <c r="B11457" t="s">
        <v>31</v>
      </c>
      <c r="C11457" t="str">
        <f t="shared" si="358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7"/>
        <v>-6</v>
      </c>
    </row>
    <row r="11458" spans="1:8" x14ac:dyDescent="0.2">
      <c r="A11458" t="s">
        <v>18</v>
      </c>
      <c r="B11458" t="s">
        <v>31</v>
      </c>
      <c r="C11458" t="str">
        <f t="shared" si="358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7"/>
        <v>-6</v>
      </c>
    </row>
    <row r="11459" spans="1:8" x14ac:dyDescent="0.2">
      <c r="A11459" t="s">
        <v>7</v>
      </c>
      <c r="B11459" t="s">
        <v>31</v>
      </c>
      <c r="C11459" t="str">
        <f t="shared" si="358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59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58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59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0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59"/>
        <v>-6</v>
      </c>
    </row>
    <row r="11462" spans="1:8" x14ac:dyDescent="0.2">
      <c r="A11462" t="s">
        <v>18</v>
      </c>
      <c r="B11462" t="s">
        <v>31</v>
      </c>
      <c r="C11462" t="str">
        <f t="shared" si="360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59"/>
        <v>-6</v>
      </c>
    </row>
    <row r="11463" spans="1:8" x14ac:dyDescent="0.2">
      <c r="A11463" t="s">
        <v>7</v>
      </c>
      <c r="B11463" t="s">
        <v>31</v>
      </c>
      <c r="C11463" t="str">
        <f t="shared" si="360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59"/>
        <v>-6</v>
      </c>
    </row>
    <row r="11464" spans="1:8" x14ac:dyDescent="0.2">
      <c r="A11464" t="s">
        <v>7</v>
      </c>
      <c r="B11464" t="s">
        <v>31</v>
      </c>
      <c r="C11464" t="str">
        <f t="shared" si="360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59"/>
        <v>-6</v>
      </c>
    </row>
    <row r="11465" spans="1:8" x14ac:dyDescent="0.2">
      <c r="A11465" t="s">
        <v>7</v>
      </c>
      <c r="B11465" t="s">
        <v>31</v>
      </c>
      <c r="C11465" t="str">
        <f t="shared" si="360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59"/>
        <v>-6</v>
      </c>
    </row>
    <row r="11466" spans="1:8" x14ac:dyDescent="0.2">
      <c r="A11466" t="s">
        <v>18</v>
      </c>
      <c r="B11466" t="s">
        <v>31</v>
      </c>
      <c r="C11466" t="str">
        <f t="shared" si="360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59"/>
        <v>-8</v>
      </c>
    </row>
    <row r="11467" spans="1:8" x14ac:dyDescent="0.2">
      <c r="A11467" t="s">
        <v>18</v>
      </c>
      <c r="B11467" t="s">
        <v>31</v>
      </c>
      <c r="C11467" t="str">
        <f t="shared" si="360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59"/>
        <v>-6</v>
      </c>
    </row>
    <row r="11468" spans="1:8" x14ac:dyDescent="0.2">
      <c r="A11468" t="s">
        <v>7</v>
      </c>
      <c r="B11468" t="s">
        <v>31</v>
      </c>
      <c r="C11468" t="str">
        <f t="shared" si="360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59"/>
        <v>39</v>
      </c>
    </row>
    <row r="11469" spans="1:8" x14ac:dyDescent="0.2">
      <c r="A11469" t="s">
        <v>7</v>
      </c>
      <c r="B11469" t="s">
        <v>31</v>
      </c>
      <c r="C11469" t="str">
        <f t="shared" si="360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59"/>
        <v>27</v>
      </c>
    </row>
    <row r="11470" spans="1:8" x14ac:dyDescent="0.2">
      <c r="A11470" t="s">
        <v>7</v>
      </c>
      <c r="B11470" t="s">
        <v>31</v>
      </c>
      <c r="C11470" t="str">
        <f t="shared" si="360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59"/>
        <v>24</v>
      </c>
    </row>
    <row r="11471" spans="1:8" x14ac:dyDescent="0.2">
      <c r="A11471" t="s">
        <v>7</v>
      </c>
      <c r="B11471" t="s">
        <v>31</v>
      </c>
      <c r="C11471" t="str">
        <f t="shared" si="360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59"/>
        <v>23</v>
      </c>
    </row>
    <row r="11472" spans="1:8" x14ac:dyDescent="0.2">
      <c r="A11472" t="s">
        <v>7</v>
      </c>
      <c r="B11472" t="s">
        <v>31</v>
      </c>
      <c r="C11472" t="str">
        <f t="shared" si="360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59"/>
        <v>23</v>
      </c>
    </row>
    <row r="11473" spans="1:8" x14ac:dyDescent="0.2">
      <c r="A11473" t="s">
        <v>7</v>
      </c>
      <c r="B11473" t="s">
        <v>31</v>
      </c>
      <c r="C11473" t="str">
        <f t="shared" si="360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59"/>
        <v>28</v>
      </c>
    </row>
    <row r="11474" spans="1:8" x14ac:dyDescent="0.2">
      <c r="A11474" t="s">
        <v>7</v>
      </c>
      <c r="B11474" t="s">
        <v>31</v>
      </c>
      <c r="C11474" t="str">
        <f t="shared" si="360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59"/>
        <v>22</v>
      </c>
    </row>
    <row r="11475" spans="1:8" x14ac:dyDescent="0.2">
      <c r="A11475" t="s">
        <v>7</v>
      </c>
      <c r="B11475" t="s">
        <v>31</v>
      </c>
      <c r="C11475" t="str">
        <f t="shared" si="360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59"/>
        <v>21</v>
      </c>
    </row>
    <row r="11476" spans="1:8" x14ac:dyDescent="0.2">
      <c r="A11476" t="s">
        <v>7</v>
      </c>
      <c r="B11476" t="s">
        <v>31</v>
      </c>
      <c r="C11476" t="str">
        <f t="shared" si="360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59"/>
        <v>21</v>
      </c>
    </row>
    <row r="11477" spans="1:8" x14ac:dyDescent="0.2">
      <c r="A11477" t="s">
        <v>7</v>
      </c>
      <c r="B11477" t="s">
        <v>31</v>
      </c>
      <c r="C11477" t="str">
        <f t="shared" si="360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59"/>
        <v>21</v>
      </c>
    </row>
    <row r="11478" spans="1:8" x14ac:dyDescent="0.2">
      <c r="A11478" t="s">
        <v>7</v>
      </c>
      <c r="B11478" t="s">
        <v>31</v>
      </c>
      <c r="C11478" t="str">
        <f t="shared" si="360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59"/>
        <v>21</v>
      </c>
    </row>
    <row r="11479" spans="1:8" x14ac:dyDescent="0.2">
      <c r="A11479" t="s">
        <v>7</v>
      </c>
      <c r="B11479" t="s">
        <v>31</v>
      </c>
      <c r="C11479" t="str">
        <f t="shared" si="360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59"/>
        <v>20</v>
      </c>
    </row>
    <row r="11480" spans="1:8" x14ac:dyDescent="0.2">
      <c r="A11480" t="s">
        <v>7</v>
      </c>
      <c r="B11480" t="s">
        <v>31</v>
      </c>
      <c r="C11480" t="str">
        <f t="shared" si="360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59"/>
        <v>20</v>
      </c>
    </row>
    <row r="11481" spans="1:8" x14ac:dyDescent="0.2">
      <c r="A11481" t="s">
        <v>7</v>
      </c>
      <c r="B11481" t="s">
        <v>31</v>
      </c>
      <c r="C11481" t="str">
        <f t="shared" si="360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59"/>
        <v>19</v>
      </c>
    </row>
    <row r="11482" spans="1:8" x14ac:dyDescent="0.2">
      <c r="A11482" t="s">
        <v>7</v>
      </c>
      <c r="B11482" t="s">
        <v>31</v>
      </c>
      <c r="C11482" t="str">
        <f t="shared" si="360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59"/>
        <v>18</v>
      </c>
    </row>
    <row r="11483" spans="1:8" x14ac:dyDescent="0.2">
      <c r="A11483" t="s">
        <v>7</v>
      </c>
      <c r="B11483" t="s">
        <v>31</v>
      </c>
      <c r="C11483" t="str">
        <f t="shared" si="360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59"/>
        <v>18</v>
      </c>
    </row>
    <row r="11484" spans="1:8" x14ac:dyDescent="0.2">
      <c r="A11484" t="s">
        <v>7</v>
      </c>
      <c r="B11484" t="s">
        <v>31</v>
      </c>
      <c r="C11484" t="str">
        <f t="shared" si="360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59"/>
        <v>17</v>
      </c>
    </row>
    <row r="11485" spans="1:8" x14ac:dyDescent="0.2">
      <c r="A11485" t="s">
        <v>7</v>
      </c>
      <c r="B11485" t="s">
        <v>31</v>
      </c>
      <c r="C11485" t="str">
        <f t="shared" si="360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59"/>
        <v>17</v>
      </c>
    </row>
    <row r="11486" spans="1:8" x14ac:dyDescent="0.2">
      <c r="A11486" t="s">
        <v>7</v>
      </c>
      <c r="B11486" t="s">
        <v>31</v>
      </c>
      <c r="C11486" t="str">
        <f t="shared" si="360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59"/>
        <v>17</v>
      </c>
    </row>
    <row r="11487" spans="1:8" x14ac:dyDescent="0.2">
      <c r="A11487" t="s">
        <v>7</v>
      </c>
      <c r="B11487" t="s">
        <v>31</v>
      </c>
      <c r="C11487" t="str">
        <f t="shared" si="360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59"/>
        <v>17</v>
      </c>
    </row>
    <row r="11488" spans="1:8" x14ac:dyDescent="0.2">
      <c r="A11488" t="s">
        <v>7</v>
      </c>
      <c r="B11488" t="s">
        <v>31</v>
      </c>
      <c r="C11488" t="str">
        <f t="shared" si="360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59"/>
        <v>16</v>
      </c>
    </row>
    <row r="11489" spans="1:8" x14ac:dyDescent="0.2">
      <c r="A11489" t="s">
        <v>7</v>
      </c>
      <c r="B11489" t="s">
        <v>31</v>
      </c>
      <c r="C11489" t="str">
        <f t="shared" si="360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59"/>
        <v>16</v>
      </c>
    </row>
    <row r="11490" spans="1:8" x14ac:dyDescent="0.2">
      <c r="A11490" t="s">
        <v>7</v>
      </c>
      <c r="B11490" t="s">
        <v>31</v>
      </c>
      <c r="C11490" t="str">
        <f t="shared" si="360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59"/>
        <v>21</v>
      </c>
    </row>
    <row r="11491" spans="1:8" x14ac:dyDescent="0.2">
      <c r="A11491" t="s">
        <v>7</v>
      </c>
      <c r="B11491" t="s">
        <v>31</v>
      </c>
      <c r="C11491" t="str">
        <f t="shared" si="360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59"/>
        <v>16</v>
      </c>
    </row>
    <row r="11492" spans="1:8" x14ac:dyDescent="0.2">
      <c r="A11492" t="s">
        <v>7</v>
      </c>
      <c r="B11492" t="s">
        <v>31</v>
      </c>
      <c r="C11492" t="str">
        <f t="shared" si="360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59"/>
        <v>16</v>
      </c>
    </row>
    <row r="11493" spans="1:8" x14ac:dyDescent="0.2">
      <c r="A11493" t="s">
        <v>7</v>
      </c>
      <c r="B11493" t="s">
        <v>31</v>
      </c>
      <c r="C11493" t="str">
        <f t="shared" si="360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59"/>
        <v>16</v>
      </c>
    </row>
    <row r="11494" spans="1:8" x14ac:dyDescent="0.2">
      <c r="A11494" t="s">
        <v>7</v>
      </c>
      <c r="B11494" t="s">
        <v>31</v>
      </c>
      <c r="C11494" t="str">
        <f t="shared" si="360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59"/>
        <v>15</v>
      </c>
    </row>
    <row r="11495" spans="1:8" x14ac:dyDescent="0.2">
      <c r="A11495" t="s">
        <v>7</v>
      </c>
      <c r="B11495" t="s">
        <v>31</v>
      </c>
      <c r="C11495" t="str">
        <f t="shared" si="360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59"/>
        <v>15</v>
      </c>
    </row>
    <row r="11496" spans="1:8" x14ac:dyDescent="0.2">
      <c r="A11496" t="s">
        <v>7</v>
      </c>
      <c r="B11496" t="s">
        <v>31</v>
      </c>
      <c r="C11496" t="str">
        <f t="shared" si="360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59"/>
        <v>14</v>
      </c>
    </row>
    <row r="11497" spans="1:8" x14ac:dyDescent="0.2">
      <c r="A11497" t="s">
        <v>7</v>
      </c>
      <c r="B11497" t="s">
        <v>31</v>
      </c>
      <c r="C11497" t="str">
        <f t="shared" si="360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59"/>
        <v>14</v>
      </c>
    </row>
    <row r="11498" spans="1:8" x14ac:dyDescent="0.2">
      <c r="A11498" t="s">
        <v>7</v>
      </c>
      <c r="B11498" t="s">
        <v>31</v>
      </c>
      <c r="C11498" t="str">
        <f t="shared" si="360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59"/>
        <v>14</v>
      </c>
    </row>
    <row r="11499" spans="1:8" x14ac:dyDescent="0.2">
      <c r="A11499" t="s">
        <v>7</v>
      </c>
      <c r="B11499" t="s">
        <v>31</v>
      </c>
      <c r="C11499" t="str">
        <f t="shared" si="360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59"/>
        <v>14</v>
      </c>
    </row>
    <row r="11500" spans="1:8" x14ac:dyDescent="0.2">
      <c r="A11500" t="s">
        <v>7</v>
      </c>
      <c r="B11500" t="s">
        <v>31</v>
      </c>
      <c r="C11500" t="str">
        <f t="shared" si="360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59"/>
        <v>14</v>
      </c>
    </row>
    <row r="11501" spans="1:8" x14ac:dyDescent="0.2">
      <c r="A11501" t="s">
        <v>7</v>
      </c>
      <c r="B11501" t="s">
        <v>31</v>
      </c>
      <c r="C11501" t="str">
        <f t="shared" si="360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59"/>
        <v>19</v>
      </c>
    </row>
    <row r="11502" spans="1:8" x14ac:dyDescent="0.2">
      <c r="A11502" t="s">
        <v>7</v>
      </c>
      <c r="B11502" t="s">
        <v>31</v>
      </c>
      <c r="C11502" t="str">
        <f t="shared" si="360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59"/>
        <v>19</v>
      </c>
    </row>
    <row r="11503" spans="1:8" x14ac:dyDescent="0.2">
      <c r="A11503" t="s">
        <v>7</v>
      </c>
      <c r="B11503" t="s">
        <v>31</v>
      </c>
      <c r="C11503" t="str">
        <f t="shared" si="360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59"/>
        <v>14</v>
      </c>
    </row>
    <row r="11504" spans="1:8" x14ac:dyDescent="0.2">
      <c r="A11504" t="s">
        <v>7</v>
      </c>
      <c r="B11504" t="s">
        <v>31</v>
      </c>
      <c r="C11504" t="str">
        <f t="shared" si="360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59"/>
        <v>13</v>
      </c>
    </row>
    <row r="11505" spans="1:8" x14ac:dyDescent="0.2">
      <c r="A11505" t="s">
        <v>7</v>
      </c>
      <c r="B11505" t="s">
        <v>31</v>
      </c>
      <c r="C11505" t="str">
        <f t="shared" si="360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59"/>
        <v>18</v>
      </c>
    </row>
    <row r="11506" spans="1:8" x14ac:dyDescent="0.2">
      <c r="A11506" t="s">
        <v>7</v>
      </c>
      <c r="B11506" t="s">
        <v>31</v>
      </c>
      <c r="C11506" t="str">
        <f t="shared" si="360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59"/>
        <v>18</v>
      </c>
    </row>
    <row r="11507" spans="1:8" x14ac:dyDescent="0.2">
      <c r="A11507" t="s">
        <v>7</v>
      </c>
      <c r="B11507" t="s">
        <v>31</v>
      </c>
      <c r="C11507" t="str">
        <f t="shared" si="360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59"/>
        <v>13</v>
      </c>
    </row>
    <row r="11508" spans="1:8" x14ac:dyDescent="0.2">
      <c r="A11508" t="s">
        <v>7</v>
      </c>
      <c r="B11508" t="s">
        <v>31</v>
      </c>
      <c r="C11508" t="str">
        <f t="shared" si="360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59"/>
        <v>12</v>
      </c>
    </row>
    <row r="11509" spans="1:8" x14ac:dyDescent="0.2">
      <c r="A11509" t="s">
        <v>7</v>
      </c>
      <c r="B11509" t="s">
        <v>31</v>
      </c>
      <c r="C11509" t="str">
        <f t="shared" si="360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59"/>
        <v>12</v>
      </c>
    </row>
    <row r="11510" spans="1:8" x14ac:dyDescent="0.2">
      <c r="A11510" t="s">
        <v>7</v>
      </c>
      <c r="B11510" t="s">
        <v>31</v>
      </c>
      <c r="C11510" t="str">
        <f t="shared" si="360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59"/>
        <v>12</v>
      </c>
    </row>
    <row r="11511" spans="1:8" x14ac:dyDescent="0.2">
      <c r="A11511" t="s">
        <v>7</v>
      </c>
      <c r="B11511" t="s">
        <v>31</v>
      </c>
      <c r="C11511" t="str">
        <f t="shared" si="360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59"/>
        <v>16</v>
      </c>
    </row>
    <row r="11512" spans="1:8" x14ac:dyDescent="0.2">
      <c r="A11512" t="s">
        <v>7</v>
      </c>
      <c r="B11512" t="s">
        <v>31</v>
      </c>
      <c r="C11512" t="str">
        <f t="shared" si="360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59"/>
        <v>16</v>
      </c>
    </row>
    <row r="11513" spans="1:8" x14ac:dyDescent="0.2">
      <c r="A11513" t="s">
        <v>7</v>
      </c>
      <c r="B11513" t="s">
        <v>31</v>
      </c>
      <c r="C11513" t="str">
        <f t="shared" si="360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59"/>
        <v>16</v>
      </c>
    </row>
    <row r="11514" spans="1:8" x14ac:dyDescent="0.2">
      <c r="A11514" t="s">
        <v>7</v>
      </c>
      <c r="B11514" t="s">
        <v>31</v>
      </c>
      <c r="C11514" t="str">
        <f t="shared" si="360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59"/>
        <v>16</v>
      </c>
    </row>
    <row r="11515" spans="1:8" x14ac:dyDescent="0.2">
      <c r="A11515" t="s">
        <v>7</v>
      </c>
      <c r="B11515" t="s">
        <v>31</v>
      </c>
      <c r="C11515" t="str">
        <f t="shared" si="360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59"/>
        <v>16</v>
      </c>
    </row>
    <row r="11516" spans="1:8" x14ac:dyDescent="0.2">
      <c r="A11516" t="s">
        <v>7</v>
      </c>
      <c r="B11516" t="s">
        <v>31</v>
      </c>
      <c r="C11516" t="str">
        <f t="shared" si="360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59"/>
        <v>11</v>
      </c>
    </row>
    <row r="11517" spans="1:8" x14ac:dyDescent="0.2">
      <c r="A11517" t="s">
        <v>7</v>
      </c>
      <c r="B11517" t="s">
        <v>31</v>
      </c>
      <c r="C11517" t="str">
        <f t="shared" si="360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59"/>
        <v>11</v>
      </c>
    </row>
    <row r="11518" spans="1:8" x14ac:dyDescent="0.2">
      <c r="A11518" t="s">
        <v>7</v>
      </c>
      <c r="B11518" t="s">
        <v>31</v>
      </c>
      <c r="C11518" t="str">
        <f t="shared" si="360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59"/>
        <v>11</v>
      </c>
    </row>
    <row r="11519" spans="1:8" x14ac:dyDescent="0.2">
      <c r="A11519" t="s">
        <v>7</v>
      </c>
      <c r="B11519" t="s">
        <v>31</v>
      </c>
      <c r="C11519" t="str">
        <f t="shared" si="360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59"/>
        <v>15</v>
      </c>
    </row>
    <row r="11520" spans="1:8" x14ac:dyDescent="0.2">
      <c r="A11520" t="s">
        <v>7</v>
      </c>
      <c r="B11520" t="s">
        <v>31</v>
      </c>
      <c r="C11520" t="str">
        <f t="shared" si="360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59"/>
        <v>10</v>
      </c>
    </row>
    <row r="11521" spans="1:8" x14ac:dyDescent="0.2">
      <c r="A11521" t="s">
        <v>7</v>
      </c>
      <c r="B11521" t="s">
        <v>31</v>
      </c>
      <c r="C11521" t="str">
        <f t="shared" si="360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59"/>
        <v>9</v>
      </c>
    </row>
    <row r="11522" spans="1:8" x14ac:dyDescent="0.2">
      <c r="A11522" t="s">
        <v>7</v>
      </c>
      <c r="B11522" t="s">
        <v>31</v>
      </c>
      <c r="C11522" t="str">
        <f t="shared" si="360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59"/>
        <v>9</v>
      </c>
    </row>
    <row r="11523" spans="1:8" x14ac:dyDescent="0.2">
      <c r="A11523" t="s">
        <v>7</v>
      </c>
      <c r="B11523" t="s">
        <v>31</v>
      </c>
      <c r="C11523" t="str">
        <f t="shared" si="360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1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0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1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2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1"/>
        <v>13</v>
      </c>
    </row>
    <row r="11526" spans="1:8" x14ac:dyDescent="0.2">
      <c r="A11526" t="s">
        <v>7</v>
      </c>
      <c r="B11526" t="s">
        <v>31</v>
      </c>
      <c r="C11526" t="str">
        <f t="shared" si="362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1"/>
        <v>8</v>
      </c>
    </row>
    <row r="11527" spans="1:8" x14ac:dyDescent="0.2">
      <c r="A11527" t="s">
        <v>7</v>
      </c>
      <c r="B11527" t="s">
        <v>31</v>
      </c>
      <c r="C11527" t="str">
        <f t="shared" si="362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1"/>
        <v>8</v>
      </c>
    </row>
    <row r="11528" spans="1:8" x14ac:dyDescent="0.2">
      <c r="A11528" t="s">
        <v>7</v>
      </c>
      <c r="B11528" t="s">
        <v>31</v>
      </c>
      <c r="C11528" t="str">
        <f t="shared" si="362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1"/>
        <v>8</v>
      </c>
    </row>
    <row r="11529" spans="1:8" x14ac:dyDescent="0.2">
      <c r="A11529" t="s">
        <v>7</v>
      </c>
      <c r="B11529" t="s">
        <v>31</v>
      </c>
      <c r="C11529" t="str">
        <f t="shared" si="362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1"/>
        <v>8</v>
      </c>
    </row>
    <row r="11530" spans="1:8" x14ac:dyDescent="0.2">
      <c r="A11530" t="s">
        <v>7</v>
      </c>
      <c r="B11530" t="s">
        <v>31</v>
      </c>
      <c r="C11530" t="str">
        <f t="shared" si="362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1"/>
        <v>8</v>
      </c>
    </row>
    <row r="11531" spans="1:8" x14ac:dyDescent="0.2">
      <c r="A11531" t="s">
        <v>7</v>
      </c>
      <c r="B11531" t="s">
        <v>31</v>
      </c>
      <c r="C11531" t="str">
        <f t="shared" si="362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1"/>
        <v>13</v>
      </c>
    </row>
    <row r="11532" spans="1:8" x14ac:dyDescent="0.2">
      <c r="A11532" t="s">
        <v>7</v>
      </c>
      <c r="B11532" t="s">
        <v>31</v>
      </c>
      <c r="C11532" t="str">
        <f t="shared" si="362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1"/>
        <v>8</v>
      </c>
    </row>
    <row r="11533" spans="1:8" x14ac:dyDescent="0.2">
      <c r="A11533" t="s">
        <v>7</v>
      </c>
      <c r="B11533" t="s">
        <v>31</v>
      </c>
      <c r="C11533" t="str">
        <f t="shared" si="362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1"/>
        <v>7</v>
      </c>
    </row>
    <row r="11534" spans="1:8" x14ac:dyDescent="0.2">
      <c r="A11534" t="s">
        <v>7</v>
      </c>
      <c r="B11534" t="s">
        <v>31</v>
      </c>
      <c r="C11534" t="str">
        <f t="shared" si="362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1"/>
        <v>7</v>
      </c>
    </row>
    <row r="11535" spans="1:8" x14ac:dyDescent="0.2">
      <c r="A11535" t="s">
        <v>7</v>
      </c>
      <c r="B11535" t="s">
        <v>31</v>
      </c>
      <c r="C11535" t="str">
        <f t="shared" si="362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1"/>
        <v>7</v>
      </c>
    </row>
    <row r="11536" spans="1:8" x14ac:dyDescent="0.2">
      <c r="A11536" t="s">
        <v>7</v>
      </c>
      <c r="B11536" t="s">
        <v>31</v>
      </c>
      <c r="C11536" t="str">
        <f t="shared" si="362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1"/>
        <v>7</v>
      </c>
    </row>
    <row r="11537" spans="1:8" x14ac:dyDescent="0.2">
      <c r="A11537" t="s">
        <v>7</v>
      </c>
      <c r="B11537" t="s">
        <v>31</v>
      </c>
      <c r="C11537" t="str">
        <f t="shared" si="362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1"/>
        <v>6</v>
      </c>
    </row>
    <row r="11538" spans="1:8" x14ac:dyDescent="0.2">
      <c r="A11538" t="s">
        <v>7</v>
      </c>
      <c r="B11538" t="s">
        <v>31</v>
      </c>
      <c r="C11538" t="str">
        <f t="shared" si="362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1"/>
        <v>6</v>
      </c>
    </row>
    <row r="11539" spans="1:8" x14ac:dyDescent="0.2">
      <c r="A11539" t="s">
        <v>7</v>
      </c>
      <c r="B11539" t="s">
        <v>31</v>
      </c>
      <c r="C11539" t="str">
        <f t="shared" si="362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1"/>
        <v>6</v>
      </c>
    </row>
    <row r="11540" spans="1:8" x14ac:dyDescent="0.2">
      <c r="A11540" t="s">
        <v>7</v>
      </c>
      <c r="B11540" t="s">
        <v>31</v>
      </c>
      <c r="C11540" t="str">
        <f t="shared" si="362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1"/>
        <v>6</v>
      </c>
    </row>
    <row r="11541" spans="1:8" x14ac:dyDescent="0.2">
      <c r="A11541" t="s">
        <v>7</v>
      </c>
      <c r="B11541" t="s">
        <v>31</v>
      </c>
      <c r="C11541" t="str">
        <f t="shared" si="362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1"/>
        <v>6</v>
      </c>
    </row>
    <row r="11542" spans="1:8" x14ac:dyDescent="0.2">
      <c r="A11542" t="s">
        <v>7</v>
      </c>
      <c r="B11542" t="s">
        <v>31</v>
      </c>
      <c r="C11542" t="str">
        <f t="shared" si="362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1"/>
        <v>6</v>
      </c>
    </row>
    <row r="11543" spans="1:8" x14ac:dyDescent="0.2">
      <c r="A11543" t="s">
        <v>7</v>
      </c>
      <c r="B11543" t="s">
        <v>31</v>
      </c>
      <c r="C11543" t="str">
        <f t="shared" si="362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1"/>
        <v>6</v>
      </c>
    </row>
    <row r="11544" spans="1:8" x14ac:dyDescent="0.2">
      <c r="A11544" t="s">
        <v>7</v>
      </c>
      <c r="B11544" t="s">
        <v>31</v>
      </c>
      <c r="C11544" t="str">
        <f t="shared" si="362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1"/>
        <v>6</v>
      </c>
    </row>
    <row r="11545" spans="1:8" x14ac:dyDescent="0.2">
      <c r="A11545" t="s">
        <v>7</v>
      </c>
      <c r="B11545" t="s">
        <v>31</v>
      </c>
      <c r="C11545" t="str">
        <f t="shared" si="362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1"/>
        <v>11</v>
      </c>
    </row>
    <row r="11546" spans="1:8" x14ac:dyDescent="0.2">
      <c r="A11546" t="s">
        <v>7</v>
      </c>
      <c r="B11546" t="s">
        <v>31</v>
      </c>
      <c r="C11546" t="str">
        <f t="shared" si="362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1"/>
        <v>6</v>
      </c>
    </row>
    <row r="11547" spans="1:8" x14ac:dyDescent="0.2">
      <c r="A11547" t="s">
        <v>7</v>
      </c>
      <c r="B11547" t="s">
        <v>31</v>
      </c>
      <c r="C11547" t="str">
        <f t="shared" si="362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1"/>
        <v>5</v>
      </c>
    </row>
    <row r="11548" spans="1:8" x14ac:dyDescent="0.2">
      <c r="A11548" t="s">
        <v>7</v>
      </c>
      <c r="B11548" t="s">
        <v>31</v>
      </c>
      <c r="C11548" t="str">
        <f t="shared" si="362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1"/>
        <v>5</v>
      </c>
    </row>
    <row r="11549" spans="1:8" x14ac:dyDescent="0.2">
      <c r="A11549" t="s">
        <v>7</v>
      </c>
      <c r="B11549" t="s">
        <v>31</v>
      </c>
      <c r="C11549" t="str">
        <f t="shared" si="362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1"/>
        <v>10</v>
      </c>
    </row>
    <row r="11550" spans="1:8" x14ac:dyDescent="0.2">
      <c r="A11550" t="s">
        <v>7</v>
      </c>
      <c r="B11550" t="s">
        <v>31</v>
      </c>
      <c r="C11550" t="str">
        <f t="shared" si="362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1"/>
        <v>10</v>
      </c>
    </row>
    <row r="11551" spans="1:8" x14ac:dyDescent="0.2">
      <c r="A11551" t="s">
        <v>7</v>
      </c>
      <c r="B11551" t="s">
        <v>31</v>
      </c>
      <c r="C11551" t="str">
        <f t="shared" si="362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1"/>
        <v>5</v>
      </c>
    </row>
    <row r="11552" spans="1:8" x14ac:dyDescent="0.2">
      <c r="A11552" t="s">
        <v>7</v>
      </c>
      <c r="B11552" t="s">
        <v>31</v>
      </c>
      <c r="C11552" t="str">
        <f t="shared" si="362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1"/>
        <v>4</v>
      </c>
    </row>
    <row r="11553" spans="1:8" x14ac:dyDescent="0.2">
      <c r="A11553" t="s">
        <v>7</v>
      </c>
      <c r="B11553" t="s">
        <v>31</v>
      </c>
      <c r="C11553" t="str">
        <f t="shared" si="362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1"/>
        <v>4</v>
      </c>
    </row>
    <row r="11554" spans="1:8" x14ac:dyDescent="0.2">
      <c r="A11554" t="s">
        <v>7</v>
      </c>
      <c r="B11554" t="s">
        <v>31</v>
      </c>
      <c r="C11554" t="str">
        <f t="shared" si="362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1"/>
        <v>8</v>
      </c>
    </row>
    <row r="11555" spans="1:8" x14ac:dyDescent="0.2">
      <c r="A11555" t="s">
        <v>7</v>
      </c>
      <c r="B11555" t="s">
        <v>31</v>
      </c>
      <c r="C11555" t="str">
        <f t="shared" si="362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1"/>
        <v>3</v>
      </c>
    </row>
    <row r="11556" spans="1:8" x14ac:dyDescent="0.2">
      <c r="A11556" t="s">
        <v>7</v>
      </c>
      <c r="B11556" t="s">
        <v>31</v>
      </c>
      <c r="C11556" t="str">
        <f t="shared" si="362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1"/>
        <v>3</v>
      </c>
    </row>
    <row r="11557" spans="1:8" x14ac:dyDescent="0.2">
      <c r="A11557" t="s">
        <v>7</v>
      </c>
      <c r="B11557" t="s">
        <v>31</v>
      </c>
      <c r="C11557" t="str">
        <f t="shared" si="362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1"/>
        <v>3</v>
      </c>
    </row>
    <row r="11558" spans="1:8" x14ac:dyDescent="0.2">
      <c r="A11558" t="s">
        <v>7</v>
      </c>
      <c r="B11558" t="s">
        <v>31</v>
      </c>
      <c r="C11558" t="str">
        <f t="shared" si="362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1"/>
        <v>3</v>
      </c>
    </row>
    <row r="11559" spans="1:8" x14ac:dyDescent="0.2">
      <c r="A11559" t="s">
        <v>7</v>
      </c>
      <c r="B11559" t="s">
        <v>31</v>
      </c>
      <c r="C11559" t="str">
        <f t="shared" si="362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1"/>
        <v>8</v>
      </c>
    </row>
    <row r="11560" spans="1:8" x14ac:dyDescent="0.2">
      <c r="A11560" t="s">
        <v>7</v>
      </c>
      <c r="B11560" t="s">
        <v>31</v>
      </c>
      <c r="C11560" t="str">
        <f t="shared" si="362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1"/>
        <v>2</v>
      </c>
    </row>
    <row r="11561" spans="1:8" x14ac:dyDescent="0.2">
      <c r="A11561" t="s">
        <v>7</v>
      </c>
      <c r="B11561" t="s">
        <v>31</v>
      </c>
      <c r="C11561" t="str">
        <f t="shared" si="362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1"/>
        <v>2</v>
      </c>
    </row>
    <row r="11562" spans="1:8" x14ac:dyDescent="0.2">
      <c r="A11562" t="s">
        <v>7</v>
      </c>
      <c r="B11562" t="s">
        <v>31</v>
      </c>
      <c r="C11562" t="str">
        <f t="shared" si="362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1"/>
        <v>2</v>
      </c>
    </row>
    <row r="11563" spans="1:8" x14ac:dyDescent="0.2">
      <c r="A11563" t="s">
        <v>7</v>
      </c>
      <c r="B11563" t="s">
        <v>31</v>
      </c>
      <c r="C11563" t="str">
        <f t="shared" si="362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1"/>
        <v>7</v>
      </c>
    </row>
    <row r="11564" spans="1:8" x14ac:dyDescent="0.2">
      <c r="A11564" t="s">
        <v>7</v>
      </c>
      <c r="B11564" t="s">
        <v>31</v>
      </c>
      <c r="C11564" t="str">
        <f t="shared" si="362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1"/>
        <v>2</v>
      </c>
    </row>
    <row r="11565" spans="1:8" x14ac:dyDescent="0.2">
      <c r="A11565" t="s">
        <v>7</v>
      </c>
      <c r="B11565" t="s">
        <v>31</v>
      </c>
      <c r="C11565" t="str">
        <f t="shared" si="362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1"/>
        <v>7</v>
      </c>
    </row>
    <row r="11566" spans="1:8" x14ac:dyDescent="0.2">
      <c r="A11566" t="s">
        <v>7</v>
      </c>
      <c r="B11566" t="s">
        <v>31</v>
      </c>
      <c r="C11566" t="str">
        <f t="shared" si="362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1"/>
        <v>6</v>
      </c>
    </row>
    <row r="11567" spans="1:8" x14ac:dyDescent="0.2">
      <c r="A11567" t="s">
        <v>7</v>
      </c>
      <c r="B11567" t="s">
        <v>31</v>
      </c>
      <c r="C11567" t="str">
        <f t="shared" si="362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1"/>
        <v>6</v>
      </c>
    </row>
    <row r="11568" spans="1:8" x14ac:dyDescent="0.2">
      <c r="A11568" t="s">
        <v>7</v>
      </c>
      <c r="B11568" t="s">
        <v>31</v>
      </c>
      <c r="C11568" t="str">
        <f t="shared" si="362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1"/>
        <v>1</v>
      </c>
    </row>
    <row r="11569" spans="1:8" x14ac:dyDescent="0.2">
      <c r="A11569" t="s">
        <v>7</v>
      </c>
      <c r="B11569" t="s">
        <v>31</v>
      </c>
      <c r="C11569" t="str">
        <f t="shared" si="362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1"/>
        <v>1</v>
      </c>
    </row>
    <row r="11570" spans="1:8" x14ac:dyDescent="0.2">
      <c r="A11570" t="s">
        <v>7</v>
      </c>
      <c r="B11570" t="s">
        <v>31</v>
      </c>
      <c r="C11570" t="str">
        <f t="shared" si="362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1"/>
        <v>6</v>
      </c>
    </row>
    <row r="11571" spans="1:8" x14ac:dyDescent="0.2">
      <c r="A11571" t="s">
        <v>7</v>
      </c>
      <c r="B11571" t="s">
        <v>31</v>
      </c>
      <c r="C11571" t="str">
        <f t="shared" si="362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1"/>
        <v>5</v>
      </c>
    </row>
    <row r="11572" spans="1:8" x14ac:dyDescent="0.2">
      <c r="A11572" t="s">
        <v>7</v>
      </c>
      <c r="B11572" t="s">
        <v>31</v>
      </c>
      <c r="C11572" t="str">
        <f t="shared" si="362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1"/>
        <v>0</v>
      </c>
    </row>
    <row r="11573" spans="1:8" x14ac:dyDescent="0.2">
      <c r="A11573" t="s">
        <v>7</v>
      </c>
      <c r="B11573" t="s">
        <v>31</v>
      </c>
      <c r="C11573" t="str">
        <f t="shared" si="362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1"/>
        <v>0</v>
      </c>
    </row>
    <row r="11574" spans="1:8" x14ac:dyDescent="0.2">
      <c r="A11574" t="s">
        <v>7</v>
      </c>
      <c r="B11574" t="s">
        <v>31</v>
      </c>
      <c r="C11574" t="str">
        <f t="shared" si="362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1"/>
        <v>5</v>
      </c>
    </row>
    <row r="11575" spans="1:8" x14ac:dyDescent="0.2">
      <c r="A11575" t="s">
        <v>7</v>
      </c>
      <c r="B11575" t="s">
        <v>31</v>
      </c>
      <c r="C11575" t="str">
        <f t="shared" si="362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1"/>
        <v>0</v>
      </c>
    </row>
    <row r="11576" spans="1:8" x14ac:dyDescent="0.2">
      <c r="A11576" t="s">
        <v>7</v>
      </c>
      <c r="B11576" t="s">
        <v>31</v>
      </c>
      <c r="C11576" t="str">
        <f t="shared" si="362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1"/>
        <v>5</v>
      </c>
    </row>
    <row r="11577" spans="1:8" x14ac:dyDescent="0.2">
      <c r="A11577" t="s">
        <v>7</v>
      </c>
      <c r="B11577" t="s">
        <v>31</v>
      </c>
      <c r="C11577" t="str">
        <f t="shared" si="362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1"/>
        <v>0</v>
      </c>
    </row>
    <row r="11578" spans="1:8" x14ac:dyDescent="0.2">
      <c r="A11578" t="s">
        <v>7</v>
      </c>
      <c r="B11578" t="s">
        <v>31</v>
      </c>
      <c r="C11578" t="str">
        <f t="shared" si="362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1"/>
        <v>-1</v>
      </c>
    </row>
    <row r="11579" spans="1:8" x14ac:dyDescent="0.2">
      <c r="A11579" t="s">
        <v>7</v>
      </c>
      <c r="B11579" t="s">
        <v>31</v>
      </c>
      <c r="C11579" t="str">
        <f t="shared" si="362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1"/>
        <v>4</v>
      </c>
    </row>
    <row r="11580" spans="1:8" x14ac:dyDescent="0.2">
      <c r="A11580" t="s">
        <v>7</v>
      </c>
      <c r="B11580" t="s">
        <v>31</v>
      </c>
      <c r="C11580" t="str">
        <f t="shared" si="362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1"/>
        <v>4</v>
      </c>
    </row>
    <row r="11581" spans="1:8" x14ac:dyDescent="0.2">
      <c r="A11581" t="s">
        <v>7</v>
      </c>
      <c r="B11581" t="s">
        <v>31</v>
      </c>
      <c r="C11581" t="str">
        <f t="shared" si="362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1"/>
        <v>3</v>
      </c>
    </row>
    <row r="11582" spans="1:8" x14ac:dyDescent="0.2">
      <c r="A11582" t="s">
        <v>7</v>
      </c>
      <c r="B11582" t="s">
        <v>31</v>
      </c>
      <c r="C11582" t="str">
        <f t="shared" si="362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1"/>
        <v>3</v>
      </c>
    </row>
    <row r="11583" spans="1:8" x14ac:dyDescent="0.2">
      <c r="A11583" t="s">
        <v>7</v>
      </c>
      <c r="B11583" t="s">
        <v>31</v>
      </c>
      <c r="C11583" t="str">
        <f t="shared" si="362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1"/>
        <v>3</v>
      </c>
    </row>
    <row r="11584" spans="1:8" x14ac:dyDescent="0.2">
      <c r="A11584" t="s">
        <v>7</v>
      </c>
      <c r="B11584" t="s">
        <v>31</v>
      </c>
      <c r="C11584" t="str">
        <f t="shared" si="362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1"/>
        <v>3</v>
      </c>
    </row>
    <row r="11585" spans="1:8" x14ac:dyDescent="0.2">
      <c r="A11585" t="s">
        <v>7</v>
      </c>
      <c r="B11585" t="s">
        <v>31</v>
      </c>
      <c r="C11585" t="str">
        <f t="shared" si="362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1"/>
        <v>3</v>
      </c>
    </row>
    <row r="11586" spans="1:8" x14ac:dyDescent="0.2">
      <c r="A11586" t="s">
        <v>7</v>
      </c>
      <c r="B11586" t="s">
        <v>31</v>
      </c>
      <c r="C11586" t="str">
        <f t="shared" si="362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1"/>
        <v>2</v>
      </c>
    </row>
    <row r="11587" spans="1:8" x14ac:dyDescent="0.2">
      <c r="A11587" t="s">
        <v>7</v>
      </c>
      <c r="B11587" t="s">
        <v>31</v>
      </c>
      <c r="C11587" t="str">
        <f t="shared" si="362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ref="H11587:H11650" si="363">F11587-G11587</f>
        <v>-3</v>
      </c>
    </row>
    <row r="11588" spans="1:8" x14ac:dyDescent="0.2">
      <c r="A11588" t="s">
        <v>7</v>
      </c>
      <c r="B11588" t="s">
        <v>31</v>
      </c>
      <c r="C11588" t="str">
        <f t="shared" si="362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3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4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3"/>
        <v>2</v>
      </c>
    </row>
    <row r="11590" spans="1:8" x14ac:dyDescent="0.2">
      <c r="A11590" t="s">
        <v>7</v>
      </c>
      <c r="B11590" t="s">
        <v>31</v>
      </c>
      <c r="C11590" t="str">
        <f t="shared" si="364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3"/>
        <v>2</v>
      </c>
    </row>
    <row r="11591" spans="1:8" x14ac:dyDescent="0.2">
      <c r="A11591" t="s">
        <v>7</v>
      </c>
      <c r="B11591" t="s">
        <v>31</v>
      </c>
      <c r="C11591" t="str">
        <f t="shared" si="364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3"/>
        <v>1</v>
      </c>
    </row>
    <row r="11592" spans="1:8" x14ac:dyDescent="0.2">
      <c r="A11592" t="s">
        <v>7</v>
      </c>
      <c r="B11592" t="s">
        <v>31</v>
      </c>
      <c r="C11592" t="str">
        <f t="shared" si="364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3"/>
        <v>1</v>
      </c>
    </row>
    <row r="11593" spans="1:8" x14ac:dyDescent="0.2">
      <c r="A11593" t="s">
        <v>7</v>
      </c>
      <c r="B11593" t="s">
        <v>31</v>
      </c>
      <c r="C11593" t="str">
        <f t="shared" si="364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3"/>
        <v>1</v>
      </c>
    </row>
    <row r="11594" spans="1:8" x14ac:dyDescent="0.2">
      <c r="A11594" t="s">
        <v>7</v>
      </c>
      <c r="B11594" t="s">
        <v>31</v>
      </c>
      <c r="C11594" t="str">
        <f t="shared" si="364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3"/>
        <v>0</v>
      </c>
    </row>
    <row r="11595" spans="1:8" x14ac:dyDescent="0.2">
      <c r="A11595" t="s">
        <v>7</v>
      </c>
      <c r="B11595" t="s">
        <v>31</v>
      </c>
      <c r="C11595" t="str">
        <f t="shared" si="364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63"/>
        <v>-5</v>
      </c>
    </row>
    <row r="11596" spans="1:8" x14ac:dyDescent="0.2">
      <c r="A11596" t="s">
        <v>7</v>
      </c>
      <c r="B11596" t="s">
        <v>31</v>
      </c>
      <c r="C11596" t="str">
        <f t="shared" si="364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3"/>
        <v>0</v>
      </c>
    </row>
    <row r="11597" spans="1:8" x14ac:dyDescent="0.2">
      <c r="A11597" t="s">
        <v>7</v>
      </c>
      <c r="B11597" t="s">
        <v>31</v>
      </c>
      <c r="C11597" t="str">
        <f t="shared" si="364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3"/>
        <v>0</v>
      </c>
    </row>
    <row r="11598" spans="1:8" x14ac:dyDescent="0.2">
      <c r="A11598" t="s">
        <v>7</v>
      </c>
      <c r="B11598" t="s">
        <v>31</v>
      </c>
      <c r="C11598" t="str">
        <f t="shared" si="364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3"/>
        <v>0</v>
      </c>
    </row>
    <row r="11599" spans="1:8" x14ac:dyDescent="0.2">
      <c r="A11599" t="s">
        <v>7</v>
      </c>
      <c r="B11599" t="s">
        <v>31</v>
      </c>
      <c r="C11599" t="str">
        <f t="shared" si="364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3"/>
        <v>0</v>
      </c>
    </row>
    <row r="11600" spans="1:8" x14ac:dyDescent="0.2">
      <c r="A11600" t="s">
        <v>7</v>
      </c>
      <c r="B11600" t="s">
        <v>31</v>
      </c>
      <c r="C11600" t="str">
        <f t="shared" si="364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3"/>
        <v>-1</v>
      </c>
    </row>
    <row r="11601" spans="1:8" x14ac:dyDescent="0.2">
      <c r="A11601" t="s">
        <v>7</v>
      </c>
      <c r="B11601" t="s">
        <v>31</v>
      </c>
      <c r="C11601" t="str">
        <f t="shared" si="364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3"/>
        <v>-1</v>
      </c>
    </row>
    <row r="11602" spans="1:8" x14ac:dyDescent="0.2">
      <c r="A11602" t="s">
        <v>7</v>
      </c>
      <c r="B11602" t="s">
        <v>31</v>
      </c>
      <c r="C11602" t="str">
        <f t="shared" si="364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3"/>
        <v>0</v>
      </c>
    </row>
    <row r="11603" spans="1:8" x14ac:dyDescent="0.2">
      <c r="A11603" t="s">
        <v>7</v>
      </c>
      <c r="B11603" t="s">
        <v>31</v>
      </c>
      <c r="C11603" t="str">
        <f t="shared" si="364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3"/>
        <v>-1</v>
      </c>
    </row>
    <row r="11604" spans="1:8" x14ac:dyDescent="0.2">
      <c r="A11604" t="s">
        <v>7</v>
      </c>
      <c r="B11604" t="s">
        <v>31</v>
      </c>
      <c r="C11604" t="str">
        <f t="shared" si="364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3"/>
        <v>-1</v>
      </c>
    </row>
    <row r="11605" spans="1:8" x14ac:dyDescent="0.2">
      <c r="A11605" t="s">
        <v>7</v>
      </c>
      <c r="B11605" t="s">
        <v>31</v>
      </c>
      <c r="C11605" t="str">
        <f t="shared" si="364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3"/>
        <v>-1</v>
      </c>
    </row>
    <row r="11606" spans="1:8" x14ac:dyDescent="0.2">
      <c r="A11606" t="s">
        <v>7</v>
      </c>
      <c r="B11606" t="s">
        <v>31</v>
      </c>
      <c r="C11606" t="str">
        <f t="shared" si="364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3"/>
        <v>-6</v>
      </c>
    </row>
    <row r="11607" spans="1:8" x14ac:dyDescent="0.2">
      <c r="A11607" t="s">
        <v>7</v>
      </c>
      <c r="B11607" t="s">
        <v>31</v>
      </c>
      <c r="C11607" t="str">
        <f t="shared" si="364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3"/>
        <v>-1</v>
      </c>
    </row>
    <row r="11608" spans="1:8" x14ac:dyDescent="0.2">
      <c r="A11608" t="s">
        <v>7</v>
      </c>
      <c r="B11608" t="s">
        <v>31</v>
      </c>
      <c r="C11608" t="str">
        <f t="shared" si="364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3"/>
        <v>-2</v>
      </c>
    </row>
    <row r="11609" spans="1:8" x14ac:dyDescent="0.2">
      <c r="A11609" t="s">
        <v>7</v>
      </c>
      <c r="B11609" t="s">
        <v>31</v>
      </c>
      <c r="C11609" t="str">
        <f t="shared" si="364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3"/>
        <v>-2</v>
      </c>
    </row>
    <row r="11610" spans="1:8" x14ac:dyDescent="0.2">
      <c r="A11610" t="s">
        <v>7</v>
      </c>
      <c r="B11610" t="s">
        <v>31</v>
      </c>
      <c r="C11610" t="str">
        <f t="shared" si="364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3"/>
        <v>-2</v>
      </c>
    </row>
    <row r="11611" spans="1:8" x14ac:dyDescent="0.2">
      <c r="A11611" t="s">
        <v>7</v>
      </c>
      <c r="B11611" t="s">
        <v>31</v>
      </c>
      <c r="C11611" t="str">
        <f t="shared" si="364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3"/>
        <v>-2</v>
      </c>
    </row>
    <row r="11612" spans="1:8" x14ac:dyDescent="0.2">
      <c r="A11612" t="s">
        <v>7</v>
      </c>
      <c r="B11612" t="s">
        <v>31</v>
      </c>
      <c r="C11612" t="str">
        <f t="shared" si="364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3"/>
        <v>-3</v>
      </c>
    </row>
    <row r="11613" spans="1:8" x14ac:dyDescent="0.2">
      <c r="A11613" t="s">
        <v>7</v>
      </c>
      <c r="B11613" t="s">
        <v>31</v>
      </c>
      <c r="C11613" t="str">
        <f t="shared" si="364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3"/>
        <v>-3</v>
      </c>
    </row>
    <row r="11614" spans="1:8" x14ac:dyDescent="0.2">
      <c r="A11614" t="s">
        <v>7</v>
      </c>
      <c r="B11614" t="s">
        <v>31</v>
      </c>
      <c r="C11614" t="str">
        <f t="shared" si="364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3"/>
        <v>-8</v>
      </c>
    </row>
    <row r="11615" spans="1:8" x14ac:dyDescent="0.2">
      <c r="A11615" t="s">
        <v>7</v>
      </c>
      <c r="B11615" t="s">
        <v>31</v>
      </c>
      <c r="C11615" t="str">
        <f t="shared" si="364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3"/>
        <v>-9</v>
      </c>
    </row>
    <row r="11616" spans="1:8" x14ac:dyDescent="0.2">
      <c r="A11616" t="s">
        <v>7</v>
      </c>
      <c r="B11616" t="s">
        <v>31</v>
      </c>
      <c r="C11616" t="str">
        <f t="shared" si="364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3"/>
        <v>-4</v>
      </c>
    </row>
    <row r="11617" spans="1:8" x14ac:dyDescent="0.2">
      <c r="A11617" t="s">
        <v>7</v>
      </c>
      <c r="B11617" t="s">
        <v>31</v>
      </c>
      <c r="C11617" t="str">
        <f t="shared" si="364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3"/>
        <v>-4</v>
      </c>
    </row>
    <row r="11618" spans="1:8" x14ac:dyDescent="0.2">
      <c r="A11618" t="s">
        <v>7</v>
      </c>
      <c r="B11618" t="s">
        <v>31</v>
      </c>
      <c r="C11618" t="str">
        <f t="shared" si="364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3"/>
        <v>-4</v>
      </c>
    </row>
    <row r="11619" spans="1:8" x14ac:dyDescent="0.2">
      <c r="A11619" t="s">
        <v>7</v>
      </c>
      <c r="B11619" t="s">
        <v>31</v>
      </c>
      <c r="C11619" t="str">
        <f t="shared" si="364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3"/>
        <v>-5</v>
      </c>
    </row>
    <row r="11620" spans="1:8" x14ac:dyDescent="0.2">
      <c r="A11620" t="s">
        <v>7</v>
      </c>
      <c r="B11620" t="s">
        <v>31</v>
      </c>
      <c r="C11620" t="str">
        <f t="shared" si="364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3"/>
        <v>-5</v>
      </c>
    </row>
    <row r="11621" spans="1:8" x14ac:dyDescent="0.2">
      <c r="A11621" t="s">
        <v>7</v>
      </c>
      <c r="B11621" t="s">
        <v>31</v>
      </c>
      <c r="C11621" t="str">
        <f t="shared" si="364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3"/>
        <v>-5</v>
      </c>
    </row>
    <row r="11622" spans="1:8" x14ac:dyDescent="0.2">
      <c r="A11622" t="s">
        <v>7</v>
      </c>
      <c r="B11622" t="s">
        <v>31</v>
      </c>
      <c r="C11622" t="str">
        <f t="shared" si="364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3"/>
        <v>-6</v>
      </c>
    </row>
    <row r="11623" spans="1:8" x14ac:dyDescent="0.2">
      <c r="A11623" t="s">
        <v>7</v>
      </c>
      <c r="B11623" t="s">
        <v>31</v>
      </c>
      <c r="C11623" t="str">
        <f t="shared" si="364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3"/>
        <v>-6</v>
      </c>
    </row>
    <row r="11624" spans="1:8" x14ac:dyDescent="0.2">
      <c r="A11624" t="s">
        <v>7</v>
      </c>
      <c r="B11624" t="s">
        <v>31</v>
      </c>
      <c r="C11624" t="str">
        <f t="shared" si="364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3"/>
        <v>-6</v>
      </c>
    </row>
    <row r="11625" spans="1:8" x14ac:dyDescent="0.2">
      <c r="A11625" t="s">
        <v>7</v>
      </c>
      <c r="B11625" t="s">
        <v>31</v>
      </c>
      <c r="C11625" t="str">
        <f t="shared" si="364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3"/>
        <v>-6</v>
      </c>
    </row>
    <row r="11626" spans="1:8" x14ac:dyDescent="0.2">
      <c r="A11626" t="s">
        <v>7</v>
      </c>
      <c r="B11626" t="s">
        <v>31</v>
      </c>
      <c r="C11626" t="str">
        <f t="shared" si="364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3"/>
        <v>-6</v>
      </c>
    </row>
    <row r="11627" spans="1:8" x14ac:dyDescent="0.2">
      <c r="A11627" t="s">
        <v>7</v>
      </c>
      <c r="B11627" t="s">
        <v>31</v>
      </c>
      <c r="C11627" t="str">
        <f t="shared" si="364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3"/>
        <v>-7</v>
      </c>
    </row>
    <row r="11628" spans="1:8" x14ac:dyDescent="0.2">
      <c r="A11628" t="s">
        <v>7</v>
      </c>
      <c r="B11628" t="s">
        <v>31</v>
      </c>
      <c r="C11628" t="str">
        <f t="shared" si="364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3"/>
        <v>-7</v>
      </c>
    </row>
    <row r="11629" spans="1:8" x14ac:dyDescent="0.2">
      <c r="A11629" t="s">
        <v>7</v>
      </c>
      <c r="B11629" t="s">
        <v>31</v>
      </c>
      <c r="C11629" t="str">
        <f t="shared" si="364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3"/>
        <v>0</v>
      </c>
    </row>
    <row r="11630" spans="1:8" x14ac:dyDescent="0.2">
      <c r="A11630" t="s">
        <v>7</v>
      </c>
      <c r="B11630" t="s">
        <v>31</v>
      </c>
      <c r="C11630" t="str">
        <f t="shared" si="364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3"/>
        <v>-7</v>
      </c>
    </row>
    <row r="11631" spans="1:8" x14ac:dyDescent="0.2">
      <c r="A11631" t="s">
        <v>7</v>
      </c>
      <c r="B11631" t="s">
        <v>31</v>
      </c>
      <c r="C11631" t="str">
        <f t="shared" si="364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3"/>
        <v>-8</v>
      </c>
    </row>
    <row r="11632" spans="1:8" x14ac:dyDescent="0.2">
      <c r="A11632" t="s">
        <v>7</v>
      </c>
      <c r="B11632" t="s">
        <v>31</v>
      </c>
      <c r="C11632" t="str">
        <f t="shared" si="364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3"/>
        <v>-8</v>
      </c>
    </row>
    <row r="11633" spans="1:8" x14ac:dyDescent="0.2">
      <c r="A11633" t="s">
        <v>7</v>
      </c>
      <c r="B11633" t="s">
        <v>31</v>
      </c>
      <c r="C11633" t="str">
        <f t="shared" si="364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3"/>
        <v>-8</v>
      </c>
    </row>
    <row r="11634" spans="1:8" x14ac:dyDescent="0.2">
      <c r="A11634" t="s">
        <v>7</v>
      </c>
      <c r="B11634" t="s">
        <v>31</v>
      </c>
      <c r="C11634" t="str">
        <f t="shared" si="364"/>
        <v>No cumple</v>
      </c>
      <c r="D11634">
        <v>3726</v>
      </c>
      <c r="E11634" t="s">
        <v>11</v>
      </c>
      <c r="F11634">
        <v>7</v>
      </c>
      <c r="G11634">
        <v>20</v>
      </c>
      <c r="H11634">
        <f t="shared" si="363"/>
        <v>-13</v>
      </c>
    </row>
    <row r="11635" spans="1:8" x14ac:dyDescent="0.2">
      <c r="A11635" t="s">
        <v>7</v>
      </c>
      <c r="B11635" t="s">
        <v>31</v>
      </c>
      <c r="C11635" t="str">
        <f t="shared" si="364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3"/>
        <v>-8</v>
      </c>
    </row>
    <row r="11636" spans="1:8" x14ac:dyDescent="0.2">
      <c r="A11636" t="s">
        <v>7</v>
      </c>
      <c r="B11636" t="s">
        <v>31</v>
      </c>
      <c r="C11636" t="str">
        <f t="shared" si="364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3"/>
        <v>-9</v>
      </c>
    </row>
    <row r="11637" spans="1:8" x14ac:dyDescent="0.2">
      <c r="A11637" t="s">
        <v>7</v>
      </c>
      <c r="B11637" t="s">
        <v>31</v>
      </c>
      <c r="C11637" t="str">
        <f t="shared" si="364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3"/>
        <v>-9</v>
      </c>
    </row>
    <row r="11638" spans="1:8" x14ac:dyDescent="0.2">
      <c r="A11638" t="s">
        <v>7</v>
      </c>
      <c r="B11638" t="s">
        <v>31</v>
      </c>
      <c r="C11638" t="str">
        <f t="shared" si="364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3"/>
        <v>-10</v>
      </c>
    </row>
    <row r="11639" spans="1:8" x14ac:dyDescent="0.2">
      <c r="A11639" t="s">
        <v>7</v>
      </c>
      <c r="B11639" t="s">
        <v>31</v>
      </c>
      <c r="C11639" t="str">
        <f t="shared" si="364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3"/>
        <v>-10</v>
      </c>
    </row>
    <row r="11640" spans="1:8" x14ac:dyDescent="0.2">
      <c r="A11640" t="s">
        <v>7</v>
      </c>
      <c r="B11640" t="s">
        <v>31</v>
      </c>
      <c r="C11640" t="str">
        <f t="shared" si="364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3"/>
        <v>-10</v>
      </c>
    </row>
    <row r="11641" spans="1:8" x14ac:dyDescent="0.2">
      <c r="A11641" t="s">
        <v>7</v>
      </c>
      <c r="B11641" t="s">
        <v>31</v>
      </c>
      <c r="C11641" t="str">
        <f t="shared" si="364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3"/>
        <v>-10</v>
      </c>
    </row>
    <row r="11642" spans="1:8" x14ac:dyDescent="0.2">
      <c r="A11642" t="s">
        <v>7</v>
      </c>
      <c r="B11642" t="s">
        <v>31</v>
      </c>
      <c r="C11642" t="str">
        <f t="shared" si="364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3"/>
        <v>-15</v>
      </c>
    </row>
    <row r="11643" spans="1:8" x14ac:dyDescent="0.2">
      <c r="A11643" t="s">
        <v>7</v>
      </c>
      <c r="B11643" t="s">
        <v>31</v>
      </c>
      <c r="C11643" t="str">
        <f t="shared" si="364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3"/>
        <v>-11</v>
      </c>
    </row>
    <row r="11644" spans="1:8" x14ac:dyDescent="0.2">
      <c r="A11644" t="s">
        <v>7</v>
      </c>
      <c r="B11644" t="s">
        <v>31</v>
      </c>
      <c r="C11644" t="str">
        <f t="shared" si="364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3"/>
        <v>-16</v>
      </c>
    </row>
    <row r="11645" spans="1:8" x14ac:dyDescent="0.2">
      <c r="A11645" t="s">
        <v>7</v>
      </c>
      <c r="B11645" t="s">
        <v>31</v>
      </c>
      <c r="C11645" t="str">
        <f t="shared" si="364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3"/>
        <v>-12</v>
      </c>
    </row>
    <row r="11646" spans="1:8" x14ac:dyDescent="0.2">
      <c r="A11646" t="s">
        <v>7</v>
      </c>
      <c r="B11646" t="s">
        <v>31</v>
      </c>
      <c r="C11646" t="str">
        <f t="shared" si="364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3"/>
        <v>-12</v>
      </c>
    </row>
    <row r="11647" spans="1:8" x14ac:dyDescent="0.2">
      <c r="A11647" t="s">
        <v>7</v>
      </c>
      <c r="B11647" t="s">
        <v>31</v>
      </c>
      <c r="C11647" t="str">
        <f t="shared" si="364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3"/>
        <v>-12</v>
      </c>
    </row>
    <row r="11648" spans="1:8" x14ac:dyDescent="0.2">
      <c r="A11648" t="s">
        <v>7</v>
      </c>
      <c r="B11648" t="s">
        <v>31</v>
      </c>
      <c r="C11648" t="str">
        <f t="shared" si="364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3"/>
        <v>-13</v>
      </c>
    </row>
    <row r="11649" spans="1:8" x14ac:dyDescent="0.2">
      <c r="A11649" t="s">
        <v>7</v>
      </c>
      <c r="B11649" t="s">
        <v>31</v>
      </c>
      <c r="C11649" t="str">
        <f t="shared" si="364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3"/>
        <v>-13</v>
      </c>
    </row>
    <row r="11650" spans="1:8" x14ac:dyDescent="0.2">
      <c r="A11650" t="s">
        <v>7</v>
      </c>
      <c r="B11650" t="s">
        <v>31</v>
      </c>
      <c r="C11650" t="str">
        <f t="shared" si="364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3"/>
        <v>-13</v>
      </c>
    </row>
    <row r="11651" spans="1:8" x14ac:dyDescent="0.2">
      <c r="A11651" t="s">
        <v>7</v>
      </c>
      <c r="B11651" t="s">
        <v>31</v>
      </c>
      <c r="C11651" t="str">
        <f t="shared" si="364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4" si="365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4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5"/>
        <v>-13</v>
      </c>
    </row>
    <row r="11653" spans="1:8" x14ac:dyDescent="0.2">
      <c r="A11653" t="s">
        <v>7</v>
      </c>
      <c r="B11653" t="s">
        <v>31</v>
      </c>
      <c r="C11653" t="str">
        <f t="shared" ref="C11653:C11716" si="366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5"/>
        <v>-13</v>
      </c>
    </row>
    <row r="11654" spans="1:8" x14ac:dyDescent="0.2">
      <c r="A11654" t="s">
        <v>7</v>
      </c>
      <c r="B11654" t="s">
        <v>31</v>
      </c>
      <c r="C11654" t="str">
        <f t="shared" si="366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5"/>
        <v>-14</v>
      </c>
    </row>
    <row r="11655" spans="1:8" x14ac:dyDescent="0.2">
      <c r="A11655" t="s">
        <v>7</v>
      </c>
      <c r="B11655" t="s">
        <v>31</v>
      </c>
      <c r="C11655" t="str">
        <f t="shared" si="366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5"/>
        <v>-14</v>
      </c>
    </row>
    <row r="11656" spans="1:8" x14ac:dyDescent="0.2">
      <c r="A11656" t="s">
        <v>7</v>
      </c>
      <c r="B11656" t="s">
        <v>31</v>
      </c>
      <c r="C11656" t="str">
        <f t="shared" si="366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5"/>
        <v>-14</v>
      </c>
    </row>
    <row r="11657" spans="1:8" x14ac:dyDescent="0.2">
      <c r="A11657" t="s">
        <v>7</v>
      </c>
      <c r="B11657" t="s">
        <v>31</v>
      </c>
      <c r="C11657" t="str">
        <f t="shared" si="366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5"/>
        <v>-14</v>
      </c>
    </row>
    <row r="11658" spans="1:8" x14ac:dyDescent="0.2">
      <c r="A11658" t="s">
        <v>7</v>
      </c>
      <c r="B11658" t="s">
        <v>31</v>
      </c>
      <c r="C11658" t="str">
        <f t="shared" si="366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5"/>
        <v>-14</v>
      </c>
    </row>
    <row r="11659" spans="1:8" x14ac:dyDescent="0.2">
      <c r="A11659" t="s">
        <v>7</v>
      </c>
      <c r="B11659" t="s">
        <v>31</v>
      </c>
      <c r="C11659" t="str">
        <f t="shared" si="366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5"/>
        <v>-14</v>
      </c>
    </row>
    <row r="11660" spans="1:8" x14ac:dyDescent="0.2">
      <c r="A11660" t="s">
        <v>7</v>
      </c>
      <c r="B11660" t="s">
        <v>31</v>
      </c>
      <c r="C11660" t="str">
        <f t="shared" si="366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5"/>
        <v>-14</v>
      </c>
    </row>
    <row r="11661" spans="1:8" x14ac:dyDescent="0.2">
      <c r="A11661" t="s">
        <v>19</v>
      </c>
      <c r="B11661" t="s">
        <v>31</v>
      </c>
      <c r="C11661" t="str">
        <f t="shared" si="366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5"/>
        <v>-15</v>
      </c>
    </row>
    <row r="11662" spans="1:8" x14ac:dyDescent="0.2">
      <c r="A11662" t="s">
        <v>18</v>
      </c>
      <c r="B11662" t="s">
        <v>31</v>
      </c>
      <c r="C11662" t="str">
        <f t="shared" si="366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5"/>
        <v>-15</v>
      </c>
    </row>
    <row r="11663" spans="1:8" x14ac:dyDescent="0.2">
      <c r="A11663" t="s">
        <v>18</v>
      </c>
      <c r="B11663" t="s">
        <v>31</v>
      </c>
      <c r="C11663" t="str">
        <f t="shared" si="366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5"/>
        <v>-15</v>
      </c>
    </row>
    <row r="11664" spans="1:8" x14ac:dyDescent="0.2">
      <c r="A11664" t="s">
        <v>18</v>
      </c>
      <c r="B11664" t="s">
        <v>31</v>
      </c>
      <c r="C11664" t="str">
        <f t="shared" si="366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5"/>
        <v>-15</v>
      </c>
    </row>
    <row r="11665" spans="1:8" x14ac:dyDescent="0.2">
      <c r="A11665" t="s">
        <v>18</v>
      </c>
      <c r="B11665" t="s">
        <v>31</v>
      </c>
      <c r="C11665" t="str">
        <f t="shared" si="366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5"/>
        <v>-15</v>
      </c>
    </row>
    <row r="11666" spans="1:8" x14ac:dyDescent="0.2">
      <c r="A11666" t="s">
        <v>18</v>
      </c>
      <c r="B11666" t="s">
        <v>31</v>
      </c>
      <c r="C11666" t="str">
        <f t="shared" si="366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5"/>
        <v>-15</v>
      </c>
    </row>
    <row r="11667" spans="1:8" x14ac:dyDescent="0.2">
      <c r="A11667" t="s">
        <v>18</v>
      </c>
      <c r="B11667" t="s">
        <v>31</v>
      </c>
      <c r="C11667" t="str">
        <f t="shared" si="366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5"/>
        <v>-15</v>
      </c>
    </row>
    <row r="11668" spans="1:8" x14ac:dyDescent="0.2">
      <c r="A11668" t="s">
        <v>18</v>
      </c>
      <c r="B11668" t="s">
        <v>31</v>
      </c>
      <c r="C11668" t="str">
        <f t="shared" si="366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5"/>
        <v>-15</v>
      </c>
    </row>
    <row r="11669" spans="1:8" x14ac:dyDescent="0.2">
      <c r="A11669" t="s">
        <v>18</v>
      </c>
      <c r="B11669" t="s">
        <v>31</v>
      </c>
      <c r="C11669" t="str">
        <f t="shared" si="366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5"/>
        <v>-15</v>
      </c>
    </row>
    <row r="11670" spans="1:8" x14ac:dyDescent="0.2">
      <c r="A11670" t="s">
        <v>18</v>
      </c>
      <c r="B11670" t="s">
        <v>31</v>
      </c>
      <c r="C11670" t="str">
        <f t="shared" si="366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5"/>
        <v>-15</v>
      </c>
    </row>
    <row r="11671" spans="1:8" x14ac:dyDescent="0.2">
      <c r="A11671" t="s">
        <v>19</v>
      </c>
      <c r="B11671" t="s">
        <v>31</v>
      </c>
      <c r="C11671" t="str">
        <f t="shared" si="366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5"/>
        <v>-15</v>
      </c>
    </row>
    <row r="11672" spans="1:8" x14ac:dyDescent="0.2">
      <c r="A11672" t="s">
        <v>18</v>
      </c>
      <c r="B11672" t="s">
        <v>31</v>
      </c>
      <c r="C11672" t="str">
        <f t="shared" si="366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5"/>
        <v>-15</v>
      </c>
    </row>
    <row r="11673" spans="1:8" x14ac:dyDescent="0.2">
      <c r="A11673" t="s">
        <v>18</v>
      </c>
      <c r="B11673" t="s">
        <v>31</v>
      </c>
      <c r="C11673" t="str">
        <f t="shared" si="366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5"/>
        <v>-15</v>
      </c>
    </row>
    <row r="11674" spans="1:8" x14ac:dyDescent="0.2">
      <c r="A11674" t="s">
        <v>18</v>
      </c>
      <c r="B11674" t="s">
        <v>31</v>
      </c>
      <c r="C11674" t="str">
        <f t="shared" si="366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5"/>
        <v>-15</v>
      </c>
    </row>
    <row r="11675" spans="1:8" x14ac:dyDescent="0.2">
      <c r="A11675" t="s">
        <v>19</v>
      </c>
      <c r="B11675" t="s">
        <v>31</v>
      </c>
      <c r="C11675" t="str">
        <f t="shared" si="366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5"/>
        <v>-15</v>
      </c>
    </row>
    <row r="11676" spans="1:8" x14ac:dyDescent="0.2">
      <c r="A11676" t="s">
        <v>18</v>
      </c>
      <c r="B11676" t="s">
        <v>31</v>
      </c>
      <c r="C11676" t="str">
        <f t="shared" si="366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5"/>
        <v>-15</v>
      </c>
    </row>
    <row r="11677" spans="1:8" x14ac:dyDescent="0.2">
      <c r="A11677" t="s">
        <v>18</v>
      </c>
      <c r="B11677" t="s">
        <v>31</v>
      </c>
      <c r="C11677" t="str">
        <f t="shared" si="366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5"/>
        <v>-15</v>
      </c>
    </row>
    <row r="11678" spans="1:8" x14ac:dyDescent="0.2">
      <c r="A11678" t="s">
        <v>18</v>
      </c>
      <c r="B11678" t="s">
        <v>31</v>
      </c>
      <c r="C11678" t="str">
        <f t="shared" si="366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5"/>
        <v>-15</v>
      </c>
    </row>
    <row r="11679" spans="1:8" x14ac:dyDescent="0.2">
      <c r="A11679" t="s">
        <v>18</v>
      </c>
      <c r="B11679" t="s">
        <v>31</v>
      </c>
      <c r="C11679" t="str">
        <f t="shared" si="366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5"/>
        <v>-15</v>
      </c>
    </row>
    <row r="11680" spans="1:8" x14ac:dyDescent="0.2">
      <c r="A11680" t="s">
        <v>18</v>
      </c>
      <c r="B11680" t="s">
        <v>31</v>
      </c>
      <c r="C11680" t="str">
        <f t="shared" si="366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5"/>
        <v>-15</v>
      </c>
    </row>
    <row r="11681" spans="1:8" x14ac:dyDescent="0.2">
      <c r="A11681" t="s">
        <v>7</v>
      </c>
      <c r="B11681" t="s">
        <v>31</v>
      </c>
      <c r="C11681" t="str">
        <f t="shared" si="366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5"/>
        <v>-15</v>
      </c>
    </row>
    <row r="11682" spans="1:8" x14ac:dyDescent="0.2">
      <c r="A11682" t="s">
        <v>18</v>
      </c>
      <c r="B11682" t="s">
        <v>31</v>
      </c>
      <c r="C11682" t="str">
        <f t="shared" si="366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5"/>
        <v>-15</v>
      </c>
    </row>
    <row r="11683" spans="1:8" x14ac:dyDescent="0.2">
      <c r="A11683" t="s">
        <v>18</v>
      </c>
      <c r="B11683" t="s">
        <v>31</v>
      </c>
      <c r="C11683" t="str">
        <f t="shared" si="366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5"/>
        <v>-15</v>
      </c>
    </row>
    <row r="11684" spans="1:8" x14ac:dyDescent="0.2">
      <c r="A11684" t="s">
        <v>18</v>
      </c>
      <c r="B11684" t="s">
        <v>31</v>
      </c>
      <c r="C11684" t="str">
        <f t="shared" si="366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5"/>
        <v>-15</v>
      </c>
    </row>
    <row r="11685" spans="1:8" x14ac:dyDescent="0.2">
      <c r="A11685" t="s">
        <v>18</v>
      </c>
      <c r="B11685" t="s">
        <v>31</v>
      </c>
      <c r="C11685" t="str">
        <f t="shared" si="366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5"/>
        <v>-15</v>
      </c>
    </row>
    <row r="11686" spans="1:8" x14ac:dyDescent="0.2">
      <c r="A11686" t="s">
        <v>18</v>
      </c>
      <c r="B11686" t="s">
        <v>31</v>
      </c>
      <c r="C11686" t="str">
        <f t="shared" si="366"/>
        <v>No cumple</v>
      </c>
      <c r="D11686">
        <v>9948</v>
      </c>
      <c r="E11686" t="s">
        <v>12</v>
      </c>
      <c r="F11686">
        <v>0</v>
      </c>
      <c r="G11686">
        <v>20</v>
      </c>
      <c r="H11686">
        <f t="shared" si="365"/>
        <v>-20</v>
      </c>
    </row>
    <row r="11687" spans="1:8" x14ac:dyDescent="0.2">
      <c r="A11687" t="s">
        <v>7</v>
      </c>
      <c r="B11687" t="s">
        <v>31</v>
      </c>
      <c r="C11687" t="str">
        <f t="shared" si="366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5"/>
        <v>15</v>
      </c>
    </row>
    <row r="11688" spans="1:8" x14ac:dyDescent="0.2">
      <c r="A11688" t="s">
        <v>7</v>
      </c>
      <c r="B11688" t="s">
        <v>31</v>
      </c>
      <c r="C11688" t="str">
        <f t="shared" si="366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5"/>
        <v>15</v>
      </c>
    </row>
    <row r="11689" spans="1:8" x14ac:dyDescent="0.2">
      <c r="A11689" t="s">
        <v>7</v>
      </c>
      <c r="B11689" t="s">
        <v>31</v>
      </c>
      <c r="C11689" t="str">
        <f t="shared" si="366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65"/>
        <v>9</v>
      </c>
    </row>
    <row r="11690" spans="1:8" x14ac:dyDescent="0.2">
      <c r="A11690" t="s">
        <v>7</v>
      </c>
      <c r="B11690" t="s">
        <v>31</v>
      </c>
      <c r="C11690" t="str">
        <f t="shared" si="366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65"/>
        <v>8</v>
      </c>
    </row>
    <row r="11691" spans="1:8" x14ac:dyDescent="0.2">
      <c r="A11691" t="s">
        <v>7</v>
      </c>
      <c r="B11691" t="s">
        <v>31</v>
      </c>
      <c r="C11691" t="str">
        <f t="shared" si="366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65"/>
        <v>8</v>
      </c>
    </row>
    <row r="11692" spans="1:8" x14ac:dyDescent="0.2">
      <c r="A11692" t="s">
        <v>7</v>
      </c>
      <c r="B11692" t="s">
        <v>31</v>
      </c>
      <c r="C11692" t="str">
        <f t="shared" si="366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65"/>
        <v>8</v>
      </c>
    </row>
    <row r="11693" spans="1:8" x14ac:dyDescent="0.2">
      <c r="A11693" t="s">
        <v>7</v>
      </c>
      <c r="B11693" t="s">
        <v>31</v>
      </c>
      <c r="C11693" t="str">
        <f t="shared" si="366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65"/>
        <v>7</v>
      </c>
    </row>
    <row r="11694" spans="1:8" x14ac:dyDescent="0.2">
      <c r="A11694" t="s">
        <v>7</v>
      </c>
      <c r="B11694" t="s">
        <v>31</v>
      </c>
      <c r="C11694" t="str">
        <f t="shared" si="366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65"/>
        <v>7</v>
      </c>
    </row>
    <row r="11695" spans="1:8" x14ac:dyDescent="0.2">
      <c r="A11695" t="s">
        <v>7</v>
      </c>
      <c r="B11695" t="s">
        <v>31</v>
      </c>
      <c r="C11695" t="str">
        <f t="shared" si="366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65"/>
        <v>7</v>
      </c>
    </row>
    <row r="11696" spans="1:8" x14ac:dyDescent="0.2">
      <c r="A11696" t="s">
        <v>7</v>
      </c>
      <c r="B11696" t="s">
        <v>31</v>
      </c>
      <c r="C11696" t="str">
        <f t="shared" si="366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65"/>
        <v>7</v>
      </c>
    </row>
    <row r="11697" spans="1:8" x14ac:dyDescent="0.2">
      <c r="A11697" t="s">
        <v>7</v>
      </c>
      <c r="B11697" t="s">
        <v>31</v>
      </c>
      <c r="C11697" t="str">
        <f t="shared" si="366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65"/>
        <v>6</v>
      </c>
    </row>
    <row r="11698" spans="1:8" x14ac:dyDescent="0.2">
      <c r="A11698" t="s">
        <v>7</v>
      </c>
      <c r="B11698" t="s">
        <v>31</v>
      </c>
      <c r="C11698" t="str">
        <f t="shared" si="366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65"/>
        <v>6</v>
      </c>
    </row>
    <row r="11699" spans="1:8" x14ac:dyDescent="0.2">
      <c r="A11699" t="s">
        <v>7</v>
      </c>
      <c r="B11699" t="s">
        <v>31</v>
      </c>
      <c r="C11699" t="str">
        <f t="shared" si="366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65"/>
        <v>6</v>
      </c>
    </row>
    <row r="11700" spans="1:8" x14ac:dyDescent="0.2">
      <c r="A11700" t="s">
        <v>7</v>
      </c>
      <c r="B11700" t="s">
        <v>31</v>
      </c>
      <c r="C11700" t="str">
        <f t="shared" si="366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65"/>
        <v>6</v>
      </c>
    </row>
    <row r="11701" spans="1:8" x14ac:dyDescent="0.2">
      <c r="A11701" t="s">
        <v>7</v>
      </c>
      <c r="B11701" t="s">
        <v>31</v>
      </c>
      <c r="C11701" t="str">
        <f t="shared" si="366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65"/>
        <v>8</v>
      </c>
    </row>
    <row r="11702" spans="1:8" x14ac:dyDescent="0.2">
      <c r="A11702" t="s">
        <v>7</v>
      </c>
      <c r="B11702" t="s">
        <v>31</v>
      </c>
      <c r="C11702" t="str">
        <f t="shared" si="366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65"/>
        <v>5</v>
      </c>
    </row>
    <row r="11703" spans="1:8" x14ac:dyDescent="0.2">
      <c r="A11703" t="s">
        <v>7</v>
      </c>
      <c r="B11703" t="s">
        <v>31</v>
      </c>
      <c r="C11703" t="str">
        <f t="shared" si="366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65"/>
        <v>5</v>
      </c>
    </row>
    <row r="11704" spans="1:8" x14ac:dyDescent="0.2">
      <c r="A11704" t="s">
        <v>7</v>
      </c>
      <c r="B11704" t="s">
        <v>31</v>
      </c>
      <c r="C11704" t="str">
        <f t="shared" si="366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65"/>
        <v>5</v>
      </c>
    </row>
    <row r="11705" spans="1:8" x14ac:dyDescent="0.2">
      <c r="A11705" t="s">
        <v>7</v>
      </c>
      <c r="B11705" t="s">
        <v>31</v>
      </c>
      <c r="C11705" t="str">
        <f t="shared" si="366"/>
        <v>Cumple</v>
      </c>
      <c r="D11705">
        <v>988</v>
      </c>
      <c r="E11705" t="s">
        <v>13</v>
      </c>
      <c r="F11705">
        <v>11</v>
      </c>
      <c r="G11705">
        <v>3</v>
      </c>
      <c r="H11705">
        <f t="shared" si="365"/>
        <v>8</v>
      </c>
    </row>
    <row r="11706" spans="1:8" x14ac:dyDescent="0.2">
      <c r="A11706" t="s">
        <v>7</v>
      </c>
      <c r="B11706" t="s">
        <v>31</v>
      </c>
      <c r="C11706" t="str">
        <f t="shared" si="366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65"/>
        <v>5</v>
      </c>
    </row>
    <row r="11707" spans="1:8" x14ac:dyDescent="0.2">
      <c r="A11707" t="s">
        <v>7</v>
      </c>
      <c r="B11707" t="s">
        <v>31</v>
      </c>
      <c r="C11707" t="str">
        <f t="shared" si="366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65"/>
        <v>5</v>
      </c>
    </row>
    <row r="11708" spans="1:8" x14ac:dyDescent="0.2">
      <c r="A11708" t="s">
        <v>7</v>
      </c>
      <c r="B11708" t="s">
        <v>31</v>
      </c>
      <c r="C11708" t="str">
        <f t="shared" si="366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65"/>
        <v>8</v>
      </c>
    </row>
    <row r="11709" spans="1:8" x14ac:dyDescent="0.2">
      <c r="A11709" t="s">
        <v>7</v>
      </c>
      <c r="B11709" t="s">
        <v>31</v>
      </c>
      <c r="C11709" t="str">
        <f t="shared" si="366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65"/>
        <v>5</v>
      </c>
    </row>
    <row r="11710" spans="1:8" x14ac:dyDescent="0.2">
      <c r="A11710" t="s">
        <v>7</v>
      </c>
      <c r="B11710" t="s">
        <v>31</v>
      </c>
      <c r="C11710" t="str">
        <f t="shared" si="366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65"/>
        <v>5</v>
      </c>
    </row>
    <row r="11711" spans="1:8" x14ac:dyDescent="0.2">
      <c r="A11711" t="s">
        <v>7</v>
      </c>
      <c r="B11711" t="s">
        <v>31</v>
      </c>
      <c r="C11711" t="str">
        <f t="shared" si="366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65"/>
        <v>8</v>
      </c>
    </row>
    <row r="11712" spans="1:8" x14ac:dyDescent="0.2">
      <c r="A11712" t="s">
        <v>7</v>
      </c>
      <c r="B11712" t="s">
        <v>31</v>
      </c>
      <c r="C11712" t="str">
        <f t="shared" si="366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65"/>
        <v>5</v>
      </c>
    </row>
    <row r="11713" spans="1:8" x14ac:dyDescent="0.2">
      <c r="A11713" t="s">
        <v>7</v>
      </c>
      <c r="B11713" t="s">
        <v>31</v>
      </c>
      <c r="C11713" t="str">
        <f t="shared" si="366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65"/>
        <v>5</v>
      </c>
    </row>
    <row r="11714" spans="1:8" x14ac:dyDescent="0.2">
      <c r="A11714" t="s">
        <v>7</v>
      </c>
      <c r="B11714" t="s">
        <v>31</v>
      </c>
      <c r="C11714" t="str">
        <f t="shared" si="366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65"/>
        <v>4</v>
      </c>
    </row>
    <row r="11715" spans="1:8" x14ac:dyDescent="0.2">
      <c r="A11715" t="s">
        <v>7</v>
      </c>
      <c r="B11715" t="s">
        <v>31</v>
      </c>
      <c r="C11715" t="str">
        <f t="shared" si="366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ref="H11715:H11778" si="367">F11715-G11715</f>
        <v>4</v>
      </c>
    </row>
    <row r="11716" spans="1:8" x14ac:dyDescent="0.2">
      <c r="A11716" t="s">
        <v>7</v>
      </c>
      <c r="B11716" t="s">
        <v>31</v>
      </c>
      <c r="C11716" t="str">
        <f t="shared" si="366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67"/>
        <v>7</v>
      </c>
    </row>
    <row r="11717" spans="1:8" x14ac:dyDescent="0.2">
      <c r="A11717" t="s">
        <v>7</v>
      </c>
      <c r="B11717" t="s">
        <v>31</v>
      </c>
      <c r="C11717" t="str">
        <f t="shared" ref="C11717:C11780" si="368">IF(H11717&gt;=0,"Cumple","No cumple")</f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67"/>
        <v>4</v>
      </c>
    </row>
    <row r="11718" spans="1:8" x14ac:dyDescent="0.2">
      <c r="A11718" t="s">
        <v>7</v>
      </c>
      <c r="B11718" t="s">
        <v>31</v>
      </c>
      <c r="C11718" t="str">
        <f t="shared" si="368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67"/>
        <v>7</v>
      </c>
    </row>
    <row r="11719" spans="1:8" x14ac:dyDescent="0.2">
      <c r="A11719" t="s">
        <v>7</v>
      </c>
      <c r="B11719" t="s">
        <v>31</v>
      </c>
      <c r="C11719" t="str">
        <f t="shared" si="368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67"/>
        <v>7</v>
      </c>
    </row>
    <row r="11720" spans="1:8" x14ac:dyDescent="0.2">
      <c r="A11720" t="s">
        <v>7</v>
      </c>
      <c r="B11720" t="s">
        <v>31</v>
      </c>
      <c r="C11720" t="str">
        <f t="shared" si="368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67"/>
        <v>7</v>
      </c>
    </row>
    <row r="11721" spans="1:8" x14ac:dyDescent="0.2">
      <c r="A11721" t="s">
        <v>7</v>
      </c>
      <c r="B11721" t="s">
        <v>31</v>
      </c>
      <c r="C11721" t="str">
        <f t="shared" si="368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67"/>
        <v>4</v>
      </c>
    </row>
    <row r="11722" spans="1:8" x14ac:dyDescent="0.2">
      <c r="A11722" t="s">
        <v>7</v>
      </c>
      <c r="B11722" t="s">
        <v>31</v>
      </c>
      <c r="C11722" t="str">
        <f t="shared" si="368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67"/>
        <v>4</v>
      </c>
    </row>
    <row r="11723" spans="1:8" x14ac:dyDescent="0.2">
      <c r="A11723" t="s">
        <v>7</v>
      </c>
      <c r="B11723" t="s">
        <v>31</v>
      </c>
      <c r="C11723" t="str">
        <f t="shared" si="368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67"/>
        <v>4</v>
      </c>
    </row>
    <row r="11724" spans="1:8" x14ac:dyDescent="0.2">
      <c r="A11724" t="s">
        <v>21</v>
      </c>
      <c r="B11724" t="s">
        <v>31</v>
      </c>
      <c r="C11724" t="str">
        <f t="shared" si="368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67"/>
        <v>7</v>
      </c>
    </row>
    <row r="11725" spans="1:8" x14ac:dyDescent="0.2">
      <c r="A11725" t="s">
        <v>7</v>
      </c>
      <c r="B11725" t="s">
        <v>31</v>
      </c>
      <c r="C11725" t="str">
        <f t="shared" si="368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67"/>
        <v>4</v>
      </c>
    </row>
    <row r="11726" spans="1:8" x14ac:dyDescent="0.2">
      <c r="A11726" t="s">
        <v>7</v>
      </c>
      <c r="B11726" t="s">
        <v>31</v>
      </c>
      <c r="C11726" t="str">
        <f t="shared" si="368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67"/>
        <v>4</v>
      </c>
    </row>
    <row r="11727" spans="1:8" x14ac:dyDescent="0.2">
      <c r="A11727" t="s">
        <v>7</v>
      </c>
      <c r="B11727" t="s">
        <v>31</v>
      </c>
      <c r="C11727" t="str">
        <f t="shared" si="368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67"/>
        <v>4</v>
      </c>
    </row>
    <row r="11728" spans="1:8" x14ac:dyDescent="0.2">
      <c r="A11728" t="s">
        <v>7</v>
      </c>
      <c r="B11728" t="s">
        <v>31</v>
      </c>
      <c r="C11728" t="str">
        <f t="shared" si="368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67"/>
        <v>7</v>
      </c>
    </row>
    <row r="11729" spans="1:8" x14ac:dyDescent="0.2">
      <c r="A11729" t="s">
        <v>7</v>
      </c>
      <c r="B11729" t="s">
        <v>31</v>
      </c>
      <c r="C11729" t="str">
        <f t="shared" si="368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67"/>
        <v>3</v>
      </c>
    </row>
    <row r="11730" spans="1:8" x14ac:dyDescent="0.2">
      <c r="A11730" t="s">
        <v>7</v>
      </c>
      <c r="B11730" t="s">
        <v>31</v>
      </c>
      <c r="C11730" t="str">
        <f t="shared" si="368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67"/>
        <v>3</v>
      </c>
    </row>
    <row r="11731" spans="1:8" x14ac:dyDescent="0.2">
      <c r="A11731" t="s">
        <v>7</v>
      </c>
      <c r="B11731" t="s">
        <v>31</v>
      </c>
      <c r="C11731" t="str">
        <f t="shared" si="368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67"/>
        <v>3</v>
      </c>
    </row>
    <row r="11732" spans="1:8" x14ac:dyDescent="0.2">
      <c r="A11732" t="s">
        <v>7</v>
      </c>
      <c r="B11732" t="s">
        <v>31</v>
      </c>
      <c r="C11732" t="str">
        <f t="shared" si="368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67"/>
        <v>3</v>
      </c>
    </row>
    <row r="11733" spans="1:8" x14ac:dyDescent="0.2">
      <c r="A11733" t="s">
        <v>7</v>
      </c>
      <c r="B11733" t="s">
        <v>31</v>
      </c>
      <c r="C11733" t="str">
        <f t="shared" si="368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67"/>
        <v>3</v>
      </c>
    </row>
    <row r="11734" spans="1:8" x14ac:dyDescent="0.2">
      <c r="A11734" t="s">
        <v>7</v>
      </c>
      <c r="B11734" t="s">
        <v>31</v>
      </c>
      <c r="C11734" t="str">
        <f t="shared" si="368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67"/>
        <v>3</v>
      </c>
    </row>
    <row r="11735" spans="1:8" x14ac:dyDescent="0.2">
      <c r="A11735" t="s">
        <v>7</v>
      </c>
      <c r="B11735" t="s">
        <v>31</v>
      </c>
      <c r="C11735" t="str">
        <f t="shared" si="368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67"/>
        <v>6</v>
      </c>
    </row>
    <row r="11736" spans="1:8" x14ac:dyDescent="0.2">
      <c r="A11736" t="s">
        <v>7</v>
      </c>
      <c r="B11736" t="s">
        <v>31</v>
      </c>
      <c r="C11736" t="str">
        <f t="shared" si="368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67"/>
        <v>3</v>
      </c>
    </row>
    <row r="11737" spans="1:8" x14ac:dyDescent="0.2">
      <c r="A11737" t="s">
        <v>7</v>
      </c>
      <c r="B11737" t="s">
        <v>31</v>
      </c>
      <c r="C11737" t="str">
        <f t="shared" si="368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67"/>
        <v>3</v>
      </c>
    </row>
    <row r="11738" spans="1:8" x14ac:dyDescent="0.2">
      <c r="A11738" t="s">
        <v>7</v>
      </c>
      <c r="B11738" t="s">
        <v>31</v>
      </c>
      <c r="C11738" t="str">
        <f t="shared" si="368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67"/>
        <v>6</v>
      </c>
    </row>
    <row r="11739" spans="1:8" x14ac:dyDescent="0.2">
      <c r="A11739" t="s">
        <v>7</v>
      </c>
      <c r="B11739" t="s">
        <v>31</v>
      </c>
      <c r="C11739" t="str">
        <f t="shared" si="368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67"/>
        <v>6</v>
      </c>
    </row>
    <row r="11740" spans="1:8" x14ac:dyDescent="0.2">
      <c r="A11740" t="s">
        <v>7</v>
      </c>
      <c r="B11740" t="s">
        <v>31</v>
      </c>
      <c r="C11740" t="str">
        <f t="shared" si="368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67"/>
        <v>3</v>
      </c>
    </row>
    <row r="11741" spans="1:8" x14ac:dyDescent="0.2">
      <c r="A11741" t="s">
        <v>7</v>
      </c>
      <c r="B11741" t="s">
        <v>31</v>
      </c>
      <c r="C11741" t="str">
        <f t="shared" si="368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67"/>
        <v>3</v>
      </c>
    </row>
    <row r="11742" spans="1:8" x14ac:dyDescent="0.2">
      <c r="A11742" t="s">
        <v>7</v>
      </c>
      <c r="B11742" t="s">
        <v>31</v>
      </c>
      <c r="C11742" t="str">
        <f t="shared" si="368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67"/>
        <v>3</v>
      </c>
    </row>
    <row r="11743" spans="1:8" x14ac:dyDescent="0.2">
      <c r="A11743" t="s">
        <v>7</v>
      </c>
      <c r="B11743" t="s">
        <v>31</v>
      </c>
      <c r="C11743" t="str">
        <f t="shared" si="368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67"/>
        <v>6</v>
      </c>
    </row>
    <row r="11744" spans="1:8" x14ac:dyDescent="0.2">
      <c r="A11744" t="s">
        <v>7</v>
      </c>
      <c r="B11744" t="s">
        <v>31</v>
      </c>
      <c r="C11744" t="str">
        <f t="shared" si="368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67"/>
        <v>6</v>
      </c>
    </row>
    <row r="11745" spans="1:8" x14ac:dyDescent="0.2">
      <c r="A11745" t="s">
        <v>7</v>
      </c>
      <c r="B11745" t="s">
        <v>31</v>
      </c>
      <c r="C11745" t="str">
        <f t="shared" si="368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67"/>
        <v>6</v>
      </c>
    </row>
    <row r="11746" spans="1:8" x14ac:dyDescent="0.2">
      <c r="A11746" t="s">
        <v>7</v>
      </c>
      <c r="B11746" t="s">
        <v>31</v>
      </c>
      <c r="C11746" t="str">
        <f t="shared" si="368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67"/>
        <v>6</v>
      </c>
    </row>
    <row r="11747" spans="1:8" x14ac:dyDescent="0.2">
      <c r="A11747" t="s">
        <v>7</v>
      </c>
      <c r="B11747" t="s">
        <v>31</v>
      </c>
      <c r="C11747" t="str">
        <f t="shared" si="368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67"/>
        <v>2</v>
      </c>
    </row>
    <row r="11748" spans="1:8" x14ac:dyDescent="0.2">
      <c r="A11748" t="s">
        <v>7</v>
      </c>
      <c r="B11748" t="s">
        <v>31</v>
      </c>
      <c r="C11748" t="str">
        <f t="shared" si="368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67"/>
        <v>5</v>
      </c>
    </row>
    <row r="11749" spans="1:8" x14ac:dyDescent="0.2">
      <c r="A11749" t="s">
        <v>7</v>
      </c>
      <c r="B11749" t="s">
        <v>31</v>
      </c>
      <c r="C11749" t="str">
        <f t="shared" si="368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67"/>
        <v>2</v>
      </c>
    </row>
    <row r="11750" spans="1:8" x14ac:dyDescent="0.2">
      <c r="A11750" t="s">
        <v>7</v>
      </c>
      <c r="B11750" t="s">
        <v>31</v>
      </c>
      <c r="C11750" t="str">
        <f t="shared" si="368"/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67"/>
        <v>2</v>
      </c>
    </row>
    <row r="11751" spans="1:8" x14ac:dyDescent="0.2">
      <c r="A11751" t="s">
        <v>7</v>
      </c>
      <c r="B11751" t="s">
        <v>31</v>
      </c>
      <c r="C11751" t="str">
        <f t="shared" si="368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67"/>
        <v>2</v>
      </c>
    </row>
    <row r="11752" spans="1:8" x14ac:dyDescent="0.2">
      <c r="A11752" t="s">
        <v>7</v>
      </c>
      <c r="B11752" t="s">
        <v>31</v>
      </c>
      <c r="C11752" t="str">
        <f t="shared" si="368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si="367"/>
        <v>5</v>
      </c>
    </row>
    <row r="11753" spans="1:8" x14ac:dyDescent="0.2">
      <c r="A11753" t="s">
        <v>7</v>
      </c>
      <c r="B11753" t="s">
        <v>31</v>
      </c>
      <c r="C11753" t="str">
        <f t="shared" si="368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67"/>
        <v>2</v>
      </c>
    </row>
    <row r="11754" spans="1:8" x14ac:dyDescent="0.2">
      <c r="A11754" t="s">
        <v>7</v>
      </c>
      <c r="B11754" t="s">
        <v>31</v>
      </c>
      <c r="C11754" t="str">
        <f t="shared" si="368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67"/>
        <v>2</v>
      </c>
    </row>
    <row r="11755" spans="1:8" x14ac:dyDescent="0.2">
      <c r="A11755" t="s">
        <v>7</v>
      </c>
      <c r="B11755" t="s">
        <v>31</v>
      </c>
      <c r="C11755" t="str">
        <f t="shared" si="368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67"/>
        <v>5</v>
      </c>
    </row>
    <row r="11756" spans="1:8" x14ac:dyDescent="0.2">
      <c r="A11756" t="s">
        <v>7</v>
      </c>
      <c r="B11756" t="s">
        <v>31</v>
      </c>
      <c r="C11756" t="str">
        <f t="shared" si="368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67"/>
        <v>2</v>
      </c>
    </row>
    <row r="11757" spans="1:8" x14ac:dyDescent="0.2">
      <c r="A11757" t="s">
        <v>7</v>
      </c>
      <c r="B11757" t="s">
        <v>31</v>
      </c>
      <c r="C11757" t="str">
        <f t="shared" si="368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67"/>
        <v>2</v>
      </c>
    </row>
    <row r="11758" spans="1:8" x14ac:dyDescent="0.2">
      <c r="A11758" t="s">
        <v>7</v>
      </c>
      <c r="B11758" t="s">
        <v>31</v>
      </c>
      <c r="C11758" t="str">
        <f t="shared" si="368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67"/>
        <v>2</v>
      </c>
    </row>
    <row r="11759" spans="1:8" x14ac:dyDescent="0.2">
      <c r="A11759" t="s">
        <v>7</v>
      </c>
      <c r="B11759" t="s">
        <v>31</v>
      </c>
      <c r="C11759" t="str">
        <f t="shared" si="368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67"/>
        <v>2</v>
      </c>
    </row>
    <row r="11760" spans="1:8" x14ac:dyDescent="0.2">
      <c r="A11760" t="s">
        <v>7</v>
      </c>
      <c r="B11760" t="s">
        <v>31</v>
      </c>
      <c r="C11760" t="str">
        <f t="shared" si="368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67"/>
        <v>2</v>
      </c>
    </row>
    <row r="11761" spans="1:8" x14ac:dyDescent="0.2">
      <c r="A11761" t="s">
        <v>7</v>
      </c>
      <c r="B11761" t="s">
        <v>31</v>
      </c>
      <c r="C11761" t="str">
        <f t="shared" si="368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67"/>
        <v>2</v>
      </c>
    </row>
    <row r="11762" spans="1:8" x14ac:dyDescent="0.2">
      <c r="A11762" t="s">
        <v>7</v>
      </c>
      <c r="B11762" t="s">
        <v>31</v>
      </c>
      <c r="C11762" t="str">
        <f t="shared" si="368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67"/>
        <v>2</v>
      </c>
    </row>
    <row r="11763" spans="1:8" x14ac:dyDescent="0.2">
      <c r="A11763" t="s">
        <v>7</v>
      </c>
      <c r="B11763" t="s">
        <v>31</v>
      </c>
      <c r="C11763" t="str">
        <f t="shared" si="368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67"/>
        <v>2</v>
      </c>
    </row>
    <row r="11764" spans="1:8" x14ac:dyDescent="0.2">
      <c r="A11764" t="s">
        <v>7</v>
      </c>
      <c r="B11764" t="s">
        <v>31</v>
      </c>
      <c r="C11764" t="str">
        <f t="shared" si="368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67"/>
        <v>2</v>
      </c>
    </row>
    <row r="11765" spans="1:8" x14ac:dyDescent="0.2">
      <c r="A11765" t="s">
        <v>7</v>
      </c>
      <c r="B11765" t="s">
        <v>31</v>
      </c>
      <c r="C11765" t="str">
        <f t="shared" si="368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67"/>
        <v>2</v>
      </c>
    </row>
    <row r="11766" spans="1:8" x14ac:dyDescent="0.2">
      <c r="A11766" t="s">
        <v>7</v>
      </c>
      <c r="B11766" t="s">
        <v>31</v>
      </c>
      <c r="C11766" t="str">
        <f t="shared" si="368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67"/>
        <v>2</v>
      </c>
    </row>
    <row r="11767" spans="1:8" x14ac:dyDescent="0.2">
      <c r="A11767" t="s">
        <v>7</v>
      </c>
      <c r="B11767" t="s">
        <v>31</v>
      </c>
      <c r="C11767" t="str">
        <f t="shared" si="368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67"/>
        <v>2</v>
      </c>
    </row>
    <row r="11768" spans="1:8" x14ac:dyDescent="0.2">
      <c r="A11768" t="s">
        <v>7</v>
      </c>
      <c r="B11768" t="s">
        <v>31</v>
      </c>
      <c r="C11768" t="str">
        <f t="shared" si="368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67"/>
        <v>2</v>
      </c>
    </row>
    <row r="11769" spans="1:8" x14ac:dyDescent="0.2">
      <c r="A11769" t="s">
        <v>7</v>
      </c>
      <c r="B11769" t="s">
        <v>31</v>
      </c>
      <c r="C11769" t="str">
        <f t="shared" si="368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67"/>
        <v>5</v>
      </c>
    </row>
    <row r="11770" spans="1:8" x14ac:dyDescent="0.2">
      <c r="A11770" t="s">
        <v>7</v>
      </c>
      <c r="B11770" t="s">
        <v>31</v>
      </c>
      <c r="C11770" t="str">
        <f t="shared" si="368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67"/>
        <v>4</v>
      </c>
    </row>
    <row r="11771" spans="1:8" x14ac:dyDescent="0.2">
      <c r="A11771" t="s">
        <v>7</v>
      </c>
      <c r="B11771" t="s">
        <v>31</v>
      </c>
      <c r="C11771" t="str">
        <f t="shared" si="368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67"/>
        <v>1</v>
      </c>
    </row>
    <row r="11772" spans="1:8" x14ac:dyDescent="0.2">
      <c r="A11772" t="s">
        <v>7</v>
      </c>
      <c r="B11772" t="s">
        <v>31</v>
      </c>
      <c r="C11772" t="str">
        <f t="shared" si="368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67"/>
        <v>1</v>
      </c>
    </row>
    <row r="11773" spans="1:8" x14ac:dyDescent="0.2">
      <c r="A11773" t="s">
        <v>7</v>
      </c>
      <c r="B11773" t="s">
        <v>31</v>
      </c>
      <c r="C11773" t="str">
        <f t="shared" si="368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67"/>
        <v>4</v>
      </c>
    </row>
    <row r="11774" spans="1:8" x14ac:dyDescent="0.2">
      <c r="A11774" t="s">
        <v>7</v>
      </c>
      <c r="B11774" t="s">
        <v>31</v>
      </c>
      <c r="C11774" t="str">
        <f t="shared" si="368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67"/>
        <v>1</v>
      </c>
    </row>
    <row r="11775" spans="1:8" x14ac:dyDescent="0.2">
      <c r="A11775" t="s">
        <v>7</v>
      </c>
      <c r="B11775" t="s">
        <v>31</v>
      </c>
      <c r="C11775" t="str">
        <f t="shared" si="368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67"/>
        <v>1</v>
      </c>
    </row>
    <row r="11776" spans="1:8" x14ac:dyDescent="0.2">
      <c r="A11776" t="s">
        <v>7</v>
      </c>
      <c r="B11776" t="s">
        <v>31</v>
      </c>
      <c r="C11776" t="str">
        <f t="shared" si="368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67"/>
        <v>1</v>
      </c>
    </row>
    <row r="11777" spans="1:8" x14ac:dyDescent="0.2">
      <c r="A11777" t="s">
        <v>7</v>
      </c>
      <c r="B11777" t="s">
        <v>31</v>
      </c>
      <c r="C11777" t="str">
        <f t="shared" si="368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67"/>
        <v>1</v>
      </c>
    </row>
    <row r="11778" spans="1:8" x14ac:dyDescent="0.2">
      <c r="A11778" t="s">
        <v>7</v>
      </c>
      <c r="B11778" t="s">
        <v>31</v>
      </c>
      <c r="C11778" t="str">
        <f t="shared" si="368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67"/>
        <v>1</v>
      </c>
    </row>
    <row r="11779" spans="1:8" x14ac:dyDescent="0.2">
      <c r="A11779" t="s">
        <v>7</v>
      </c>
      <c r="B11779" t="s">
        <v>31</v>
      </c>
      <c r="C11779" t="str">
        <f t="shared" si="368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ref="H11779:H11842" si="369">F11779-G11779</f>
        <v>1</v>
      </c>
    </row>
    <row r="11780" spans="1:8" x14ac:dyDescent="0.2">
      <c r="A11780" t="s">
        <v>7</v>
      </c>
      <c r="B11780" t="s">
        <v>31</v>
      </c>
      <c r="C11780" t="str">
        <f t="shared" si="368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69"/>
        <v>1</v>
      </c>
    </row>
    <row r="11781" spans="1:8" x14ac:dyDescent="0.2">
      <c r="A11781" t="s">
        <v>7</v>
      </c>
      <c r="B11781" t="s">
        <v>31</v>
      </c>
      <c r="C11781" t="str">
        <f t="shared" ref="C11781:C11844" si="370">IF(H11781&gt;=0,"Cumple","No cumple")</f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69"/>
        <v>1</v>
      </c>
    </row>
    <row r="11782" spans="1:8" x14ac:dyDescent="0.2">
      <c r="A11782" t="s">
        <v>7</v>
      </c>
      <c r="B11782" t="s">
        <v>31</v>
      </c>
      <c r="C11782" t="str">
        <f t="shared" si="370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69"/>
        <v>1</v>
      </c>
    </row>
    <row r="11783" spans="1:8" x14ac:dyDescent="0.2">
      <c r="A11783" t="s">
        <v>7</v>
      </c>
      <c r="B11783" t="s">
        <v>31</v>
      </c>
      <c r="C11783" t="str">
        <f t="shared" si="370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69"/>
        <v>4</v>
      </c>
    </row>
    <row r="11784" spans="1:8" x14ac:dyDescent="0.2">
      <c r="A11784" t="s">
        <v>7</v>
      </c>
      <c r="B11784" t="s">
        <v>31</v>
      </c>
      <c r="C11784" t="str">
        <f t="shared" si="370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69"/>
        <v>1</v>
      </c>
    </row>
    <row r="11785" spans="1:8" x14ac:dyDescent="0.2">
      <c r="A11785" t="s">
        <v>7</v>
      </c>
      <c r="B11785" t="s">
        <v>31</v>
      </c>
      <c r="C11785" t="str">
        <f t="shared" si="370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69"/>
        <v>4</v>
      </c>
    </row>
    <row r="11786" spans="1:8" x14ac:dyDescent="0.2">
      <c r="A11786" t="s">
        <v>7</v>
      </c>
      <c r="B11786" t="s">
        <v>31</v>
      </c>
      <c r="C11786" t="str">
        <f t="shared" si="370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69"/>
        <v>1</v>
      </c>
    </row>
    <row r="11787" spans="1:8" x14ac:dyDescent="0.2">
      <c r="A11787" t="s">
        <v>7</v>
      </c>
      <c r="B11787" t="s">
        <v>31</v>
      </c>
      <c r="C11787" t="str">
        <f t="shared" si="370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69"/>
        <v>1</v>
      </c>
    </row>
    <row r="11788" spans="1:8" x14ac:dyDescent="0.2">
      <c r="A11788" t="s">
        <v>7</v>
      </c>
      <c r="B11788" t="s">
        <v>31</v>
      </c>
      <c r="C11788" t="str">
        <f t="shared" si="370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69"/>
        <v>1</v>
      </c>
    </row>
    <row r="11789" spans="1:8" x14ac:dyDescent="0.2">
      <c r="A11789" t="s">
        <v>21</v>
      </c>
      <c r="B11789" t="s">
        <v>31</v>
      </c>
      <c r="C11789" t="str">
        <f t="shared" si="370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69"/>
        <v>4</v>
      </c>
    </row>
    <row r="11790" spans="1:8" x14ac:dyDescent="0.2">
      <c r="A11790" t="s">
        <v>21</v>
      </c>
      <c r="B11790" t="s">
        <v>31</v>
      </c>
      <c r="C11790" t="str">
        <f t="shared" si="370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69"/>
        <v>4</v>
      </c>
    </row>
    <row r="11791" spans="1:8" x14ac:dyDescent="0.2">
      <c r="A11791" t="s">
        <v>21</v>
      </c>
      <c r="B11791" t="s">
        <v>31</v>
      </c>
      <c r="C11791" t="str">
        <f t="shared" si="370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69"/>
        <v>4</v>
      </c>
    </row>
    <row r="11792" spans="1:8" x14ac:dyDescent="0.2">
      <c r="A11792" t="s">
        <v>7</v>
      </c>
      <c r="B11792" t="s">
        <v>31</v>
      </c>
      <c r="C11792" t="str">
        <f t="shared" si="370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69"/>
        <v>1</v>
      </c>
    </row>
    <row r="11793" spans="1:8" x14ac:dyDescent="0.2">
      <c r="A11793" t="s">
        <v>7</v>
      </c>
      <c r="B11793" t="s">
        <v>31</v>
      </c>
      <c r="C11793" t="str">
        <f t="shared" si="370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69"/>
        <v>4</v>
      </c>
    </row>
    <row r="11794" spans="1:8" x14ac:dyDescent="0.2">
      <c r="A11794" t="s">
        <v>7</v>
      </c>
      <c r="B11794" t="s">
        <v>31</v>
      </c>
      <c r="C11794" t="str">
        <f t="shared" si="370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69"/>
        <v>1</v>
      </c>
    </row>
    <row r="11795" spans="1:8" x14ac:dyDescent="0.2">
      <c r="A11795" t="s">
        <v>7</v>
      </c>
      <c r="B11795" t="s">
        <v>31</v>
      </c>
      <c r="C11795" t="str">
        <f t="shared" si="370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69"/>
        <v>1</v>
      </c>
    </row>
    <row r="11796" spans="1:8" x14ac:dyDescent="0.2">
      <c r="A11796" t="s">
        <v>7</v>
      </c>
      <c r="B11796" t="s">
        <v>31</v>
      </c>
      <c r="C11796" t="str">
        <f t="shared" si="370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69"/>
        <v>1</v>
      </c>
    </row>
    <row r="11797" spans="1:8" x14ac:dyDescent="0.2">
      <c r="A11797" t="s">
        <v>7</v>
      </c>
      <c r="B11797" t="s">
        <v>31</v>
      </c>
      <c r="C11797" t="str">
        <f t="shared" si="370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69"/>
        <v>1</v>
      </c>
    </row>
    <row r="11798" spans="1:8" x14ac:dyDescent="0.2">
      <c r="A11798" t="s">
        <v>7</v>
      </c>
      <c r="B11798" t="s">
        <v>31</v>
      </c>
      <c r="C11798" t="str">
        <f t="shared" si="370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69"/>
        <v>4</v>
      </c>
    </row>
    <row r="11799" spans="1:8" x14ac:dyDescent="0.2">
      <c r="A11799" t="s">
        <v>7</v>
      </c>
      <c r="B11799" t="s">
        <v>31</v>
      </c>
      <c r="C11799" t="str">
        <f t="shared" si="370"/>
        <v>Cumple</v>
      </c>
      <c r="D11799">
        <v>9020</v>
      </c>
      <c r="E11799" t="s">
        <v>13</v>
      </c>
      <c r="F11799">
        <v>7</v>
      </c>
      <c r="G11799">
        <v>3</v>
      </c>
      <c r="H11799">
        <f t="shared" si="369"/>
        <v>4</v>
      </c>
    </row>
    <row r="11800" spans="1:8" x14ac:dyDescent="0.2">
      <c r="A11800" t="s">
        <v>7</v>
      </c>
      <c r="B11800" t="s">
        <v>31</v>
      </c>
      <c r="C11800" t="str">
        <f t="shared" si="370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69"/>
        <v>1</v>
      </c>
    </row>
    <row r="11801" spans="1:8" x14ac:dyDescent="0.2">
      <c r="A11801" t="s">
        <v>7</v>
      </c>
      <c r="B11801" t="s">
        <v>31</v>
      </c>
      <c r="C11801" t="str">
        <f t="shared" si="370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69"/>
        <v>1</v>
      </c>
    </row>
    <row r="11802" spans="1:8" x14ac:dyDescent="0.2">
      <c r="A11802" t="s">
        <v>7</v>
      </c>
      <c r="B11802" t="s">
        <v>31</v>
      </c>
      <c r="C11802" t="str">
        <f t="shared" si="370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69"/>
        <v>1</v>
      </c>
    </row>
    <row r="11803" spans="1:8" x14ac:dyDescent="0.2">
      <c r="A11803" t="s">
        <v>7</v>
      </c>
      <c r="B11803" t="s">
        <v>31</v>
      </c>
      <c r="C11803" t="str">
        <f t="shared" si="370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69"/>
        <v>4</v>
      </c>
    </row>
    <row r="11804" spans="1:8" x14ac:dyDescent="0.2">
      <c r="A11804" t="s">
        <v>7</v>
      </c>
      <c r="B11804" t="s">
        <v>31</v>
      </c>
      <c r="C11804" t="str">
        <f t="shared" si="370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69"/>
        <v>1</v>
      </c>
    </row>
    <row r="11805" spans="1:8" x14ac:dyDescent="0.2">
      <c r="A11805" t="s">
        <v>7</v>
      </c>
      <c r="B11805" t="s">
        <v>31</v>
      </c>
      <c r="C11805" t="str">
        <f t="shared" si="370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69"/>
        <v>3</v>
      </c>
    </row>
    <row r="11806" spans="1:8" x14ac:dyDescent="0.2">
      <c r="A11806" t="s">
        <v>7</v>
      </c>
      <c r="B11806" t="s">
        <v>31</v>
      </c>
      <c r="C11806" t="str">
        <f t="shared" si="370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69"/>
        <v>0</v>
      </c>
    </row>
    <row r="11807" spans="1:8" x14ac:dyDescent="0.2">
      <c r="A11807" t="s">
        <v>7</v>
      </c>
      <c r="B11807" t="s">
        <v>31</v>
      </c>
      <c r="C11807" t="str">
        <f t="shared" si="370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69"/>
        <v>0</v>
      </c>
    </row>
    <row r="11808" spans="1:8" x14ac:dyDescent="0.2">
      <c r="A11808" t="s">
        <v>7</v>
      </c>
      <c r="B11808" t="s">
        <v>31</v>
      </c>
      <c r="C11808" t="str">
        <f t="shared" si="370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69"/>
        <v>0</v>
      </c>
    </row>
    <row r="11809" spans="1:8" x14ac:dyDescent="0.2">
      <c r="A11809" t="s">
        <v>7</v>
      </c>
      <c r="B11809" t="s">
        <v>31</v>
      </c>
      <c r="C11809" t="str">
        <f t="shared" si="370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69"/>
        <v>0</v>
      </c>
    </row>
    <row r="11810" spans="1:8" x14ac:dyDescent="0.2">
      <c r="A11810" t="s">
        <v>7</v>
      </c>
      <c r="B11810" t="s">
        <v>31</v>
      </c>
      <c r="C11810" t="str">
        <f t="shared" si="370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69"/>
        <v>0</v>
      </c>
    </row>
    <row r="11811" spans="1:8" x14ac:dyDescent="0.2">
      <c r="A11811" t="s">
        <v>7</v>
      </c>
      <c r="B11811" t="s">
        <v>31</v>
      </c>
      <c r="C11811" t="str">
        <f t="shared" si="370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69"/>
        <v>3</v>
      </c>
    </row>
    <row r="11812" spans="1:8" x14ac:dyDescent="0.2">
      <c r="A11812" t="s">
        <v>7</v>
      </c>
      <c r="B11812" t="s">
        <v>31</v>
      </c>
      <c r="C11812" t="str">
        <f t="shared" si="370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69"/>
        <v>3</v>
      </c>
    </row>
    <row r="11813" spans="1:8" x14ac:dyDescent="0.2">
      <c r="A11813" t="s">
        <v>7</v>
      </c>
      <c r="B11813" t="s">
        <v>31</v>
      </c>
      <c r="C11813" t="str">
        <f t="shared" si="370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69"/>
        <v>3</v>
      </c>
    </row>
    <row r="11814" spans="1:8" x14ac:dyDescent="0.2">
      <c r="A11814" t="s">
        <v>7</v>
      </c>
      <c r="B11814" t="s">
        <v>31</v>
      </c>
      <c r="C11814" t="str">
        <f t="shared" si="370"/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69"/>
        <v>0</v>
      </c>
    </row>
    <row r="11815" spans="1:8" x14ac:dyDescent="0.2">
      <c r="A11815" t="s">
        <v>7</v>
      </c>
      <c r="B11815" t="s">
        <v>31</v>
      </c>
      <c r="C11815" t="str">
        <f t="shared" si="370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69"/>
        <v>0</v>
      </c>
    </row>
    <row r="11816" spans="1:8" x14ac:dyDescent="0.2">
      <c r="A11816" t="s">
        <v>7</v>
      </c>
      <c r="B11816" t="s">
        <v>31</v>
      </c>
      <c r="C11816" t="str">
        <f t="shared" si="370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si="369"/>
        <v>0</v>
      </c>
    </row>
    <row r="11817" spans="1:8" x14ac:dyDescent="0.2">
      <c r="A11817" t="s">
        <v>7</v>
      </c>
      <c r="B11817" t="s">
        <v>31</v>
      </c>
      <c r="C11817" t="str">
        <f t="shared" si="370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69"/>
        <v>3</v>
      </c>
    </row>
    <row r="11818" spans="1:8" x14ac:dyDescent="0.2">
      <c r="A11818" t="s">
        <v>21</v>
      </c>
      <c r="B11818" t="s">
        <v>31</v>
      </c>
      <c r="C11818" t="str">
        <f t="shared" si="370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69"/>
        <v>3</v>
      </c>
    </row>
    <row r="11819" spans="1:8" x14ac:dyDescent="0.2">
      <c r="A11819" t="s">
        <v>7</v>
      </c>
      <c r="B11819" t="s">
        <v>31</v>
      </c>
      <c r="C11819" t="str">
        <f t="shared" si="370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69"/>
        <v>0</v>
      </c>
    </row>
    <row r="11820" spans="1:8" x14ac:dyDescent="0.2">
      <c r="A11820" t="s">
        <v>7</v>
      </c>
      <c r="B11820" t="s">
        <v>31</v>
      </c>
      <c r="C11820" t="str">
        <f t="shared" si="370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69"/>
        <v>0</v>
      </c>
    </row>
    <row r="11821" spans="1:8" x14ac:dyDescent="0.2">
      <c r="A11821" t="s">
        <v>7</v>
      </c>
      <c r="B11821" t="s">
        <v>31</v>
      </c>
      <c r="C11821" t="str">
        <f t="shared" si="370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69"/>
        <v>3</v>
      </c>
    </row>
    <row r="11822" spans="1:8" x14ac:dyDescent="0.2">
      <c r="A11822" t="s">
        <v>7</v>
      </c>
      <c r="B11822" t="s">
        <v>31</v>
      </c>
      <c r="C11822" t="str">
        <f t="shared" si="370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69"/>
        <v>0</v>
      </c>
    </row>
    <row r="11823" spans="1:8" x14ac:dyDescent="0.2">
      <c r="A11823" t="s">
        <v>18</v>
      </c>
      <c r="B11823" t="s">
        <v>31</v>
      </c>
      <c r="C11823" t="str">
        <f t="shared" si="370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69"/>
        <v>0</v>
      </c>
    </row>
    <row r="11824" spans="1:8" x14ac:dyDescent="0.2">
      <c r="A11824" t="s">
        <v>7</v>
      </c>
      <c r="B11824" t="s">
        <v>31</v>
      </c>
      <c r="C11824" t="str">
        <f t="shared" si="370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69"/>
        <v>3</v>
      </c>
    </row>
    <row r="11825" spans="1:8" x14ac:dyDescent="0.2">
      <c r="A11825" t="s">
        <v>7</v>
      </c>
      <c r="B11825" t="s">
        <v>31</v>
      </c>
      <c r="C11825" t="str">
        <f t="shared" si="370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69"/>
        <v>0</v>
      </c>
    </row>
    <row r="11826" spans="1:8" x14ac:dyDescent="0.2">
      <c r="A11826" t="s">
        <v>7</v>
      </c>
      <c r="B11826" t="s">
        <v>31</v>
      </c>
      <c r="C11826" t="str">
        <f t="shared" si="370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69"/>
        <v>3</v>
      </c>
    </row>
    <row r="11827" spans="1:8" x14ac:dyDescent="0.2">
      <c r="A11827" t="s">
        <v>7</v>
      </c>
      <c r="B11827" t="s">
        <v>31</v>
      </c>
      <c r="C11827" t="str">
        <f t="shared" si="370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69"/>
        <v>0</v>
      </c>
    </row>
    <row r="11828" spans="1:8" x14ac:dyDescent="0.2">
      <c r="A11828" t="s">
        <v>7</v>
      </c>
      <c r="B11828" t="s">
        <v>31</v>
      </c>
      <c r="C11828" t="str">
        <f t="shared" si="370"/>
        <v>Cumple</v>
      </c>
      <c r="D11828">
        <v>9102</v>
      </c>
      <c r="E11828" t="s">
        <v>13</v>
      </c>
      <c r="F11828">
        <v>6</v>
      </c>
      <c r="G11828">
        <v>3</v>
      </c>
      <c r="H11828">
        <f t="shared" si="369"/>
        <v>3</v>
      </c>
    </row>
    <row r="11829" spans="1:8" x14ac:dyDescent="0.2">
      <c r="A11829" t="s">
        <v>7</v>
      </c>
      <c r="B11829" t="s">
        <v>31</v>
      </c>
      <c r="C11829" t="str">
        <f t="shared" si="370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69"/>
        <v>3</v>
      </c>
    </row>
    <row r="11830" spans="1:8" x14ac:dyDescent="0.2">
      <c r="A11830" t="s">
        <v>7</v>
      </c>
      <c r="B11830" t="s">
        <v>31</v>
      </c>
      <c r="C11830" t="str">
        <f t="shared" si="370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69"/>
        <v>0</v>
      </c>
    </row>
    <row r="11831" spans="1:8" x14ac:dyDescent="0.2">
      <c r="A11831" t="s">
        <v>7</v>
      </c>
      <c r="B11831" t="s">
        <v>31</v>
      </c>
      <c r="C11831" t="str">
        <f t="shared" si="370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69"/>
        <v>3</v>
      </c>
    </row>
    <row r="11832" spans="1:8" x14ac:dyDescent="0.2">
      <c r="A11832" t="s">
        <v>7</v>
      </c>
      <c r="B11832" t="s">
        <v>31</v>
      </c>
      <c r="C11832" t="str">
        <f t="shared" si="370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69"/>
        <v>-1</v>
      </c>
    </row>
    <row r="11833" spans="1:8" x14ac:dyDescent="0.2">
      <c r="A11833" t="s">
        <v>7</v>
      </c>
      <c r="B11833" t="s">
        <v>31</v>
      </c>
      <c r="C11833" t="str">
        <f t="shared" si="370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69"/>
        <v>2</v>
      </c>
    </row>
    <row r="11834" spans="1:8" x14ac:dyDescent="0.2">
      <c r="A11834" t="s">
        <v>7</v>
      </c>
      <c r="B11834" t="s">
        <v>31</v>
      </c>
      <c r="C11834" t="str">
        <f t="shared" si="370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69"/>
        <v>2</v>
      </c>
    </row>
    <row r="11835" spans="1:8" x14ac:dyDescent="0.2">
      <c r="A11835" t="s">
        <v>7</v>
      </c>
      <c r="B11835" t="s">
        <v>31</v>
      </c>
      <c r="C11835" t="str">
        <f t="shared" si="370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69"/>
        <v>2</v>
      </c>
    </row>
    <row r="11836" spans="1:8" x14ac:dyDescent="0.2">
      <c r="A11836" t="s">
        <v>7</v>
      </c>
      <c r="B11836" t="s">
        <v>31</v>
      </c>
      <c r="C11836" t="str">
        <f t="shared" si="370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69"/>
        <v>2</v>
      </c>
    </row>
    <row r="11837" spans="1:8" x14ac:dyDescent="0.2">
      <c r="A11837" t="s">
        <v>7</v>
      </c>
      <c r="B11837" t="s">
        <v>31</v>
      </c>
      <c r="C11837" t="str">
        <f t="shared" si="370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69"/>
        <v>2</v>
      </c>
    </row>
    <row r="11838" spans="1:8" x14ac:dyDescent="0.2">
      <c r="A11838" t="s">
        <v>7</v>
      </c>
      <c r="B11838" t="s">
        <v>31</v>
      </c>
      <c r="C11838" t="str">
        <f t="shared" si="370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69"/>
        <v>-1</v>
      </c>
    </row>
    <row r="11839" spans="1:8" x14ac:dyDescent="0.2">
      <c r="A11839" t="s">
        <v>7</v>
      </c>
      <c r="B11839" t="s">
        <v>31</v>
      </c>
      <c r="C11839" t="str">
        <f t="shared" si="370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69"/>
        <v>0</v>
      </c>
    </row>
    <row r="11840" spans="1:8" x14ac:dyDescent="0.2">
      <c r="A11840" t="s">
        <v>7</v>
      </c>
      <c r="B11840" t="s">
        <v>31</v>
      </c>
      <c r="C11840" t="str">
        <f t="shared" si="370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69"/>
        <v>2</v>
      </c>
    </row>
    <row r="11841" spans="1:8" x14ac:dyDescent="0.2">
      <c r="A11841" t="s">
        <v>21</v>
      </c>
      <c r="B11841" t="s">
        <v>31</v>
      </c>
      <c r="C11841" t="str">
        <f t="shared" si="370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69"/>
        <v>2</v>
      </c>
    </row>
    <row r="11842" spans="1:8" x14ac:dyDescent="0.2">
      <c r="A11842" t="s">
        <v>7</v>
      </c>
      <c r="B11842" t="s">
        <v>31</v>
      </c>
      <c r="C11842" t="str">
        <f t="shared" si="370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69"/>
        <v>2</v>
      </c>
    </row>
    <row r="11843" spans="1:8" x14ac:dyDescent="0.2">
      <c r="A11843" t="s">
        <v>7</v>
      </c>
      <c r="B11843" t="s">
        <v>31</v>
      </c>
      <c r="C11843" t="str">
        <f t="shared" si="370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ref="H11843:H11906" si="371">F11843-G11843</f>
        <v>2</v>
      </c>
    </row>
    <row r="11844" spans="1:8" x14ac:dyDescent="0.2">
      <c r="A11844" t="s">
        <v>7</v>
      </c>
      <c r="B11844" t="s">
        <v>31</v>
      </c>
      <c r="C11844" t="str">
        <f t="shared" si="370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71"/>
        <v>2</v>
      </c>
    </row>
    <row r="11845" spans="1:8" x14ac:dyDescent="0.2">
      <c r="A11845" t="s">
        <v>7</v>
      </c>
      <c r="B11845" t="s">
        <v>31</v>
      </c>
      <c r="C11845" t="str">
        <f t="shared" ref="C11845:C11908" si="372">IF(H11845&gt;=0,"Cumple","No cumple")</f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71"/>
        <v>2</v>
      </c>
    </row>
    <row r="11846" spans="1:8" x14ac:dyDescent="0.2">
      <c r="A11846" t="s">
        <v>7</v>
      </c>
      <c r="B11846" t="s">
        <v>31</v>
      </c>
      <c r="C11846" t="str">
        <f t="shared" si="372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71"/>
        <v>2</v>
      </c>
    </row>
    <row r="11847" spans="1:8" x14ac:dyDescent="0.2">
      <c r="A11847" t="s">
        <v>7</v>
      </c>
      <c r="B11847" t="s">
        <v>31</v>
      </c>
      <c r="C11847" t="str">
        <f t="shared" si="372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71"/>
        <v>-1</v>
      </c>
    </row>
    <row r="11848" spans="1:8" x14ac:dyDescent="0.2">
      <c r="A11848" t="s">
        <v>7</v>
      </c>
      <c r="B11848" t="s">
        <v>31</v>
      </c>
      <c r="C11848" t="str">
        <f t="shared" si="372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71"/>
        <v>2</v>
      </c>
    </row>
    <row r="11849" spans="1:8" x14ac:dyDescent="0.2">
      <c r="A11849" t="s">
        <v>7</v>
      </c>
      <c r="B11849" t="s">
        <v>31</v>
      </c>
      <c r="C11849" t="str">
        <f t="shared" si="372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71"/>
        <v>2</v>
      </c>
    </row>
    <row r="11850" spans="1:8" x14ac:dyDescent="0.2">
      <c r="A11850" t="s">
        <v>7</v>
      </c>
      <c r="B11850" t="s">
        <v>31</v>
      </c>
      <c r="C11850" t="str">
        <f t="shared" si="372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71"/>
        <v>2</v>
      </c>
    </row>
    <row r="11851" spans="1:8" x14ac:dyDescent="0.2">
      <c r="A11851" t="s">
        <v>7</v>
      </c>
      <c r="B11851" t="s">
        <v>31</v>
      </c>
      <c r="C11851" t="str">
        <f t="shared" si="372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71"/>
        <v>2</v>
      </c>
    </row>
    <row r="11852" spans="1:8" x14ac:dyDescent="0.2">
      <c r="A11852" t="s">
        <v>7</v>
      </c>
      <c r="B11852" t="s">
        <v>31</v>
      </c>
      <c r="C11852" t="str">
        <f t="shared" si="372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71"/>
        <v>1</v>
      </c>
    </row>
    <row r="11853" spans="1:8" x14ac:dyDescent="0.2">
      <c r="A11853" t="s">
        <v>7</v>
      </c>
      <c r="B11853" t="s">
        <v>31</v>
      </c>
      <c r="C11853" t="str">
        <f t="shared" si="372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71"/>
        <v>1</v>
      </c>
    </row>
    <row r="11854" spans="1:8" x14ac:dyDescent="0.2">
      <c r="A11854" t="s">
        <v>7</v>
      </c>
      <c r="B11854" t="s">
        <v>31</v>
      </c>
      <c r="C11854" t="str">
        <f t="shared" si="372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71"/>
        <v>1</v>
      </c>
    </row>
    <row r="11855" spans="1:8" x14ac:dyDescent="0.2">
      <c r="A11855" t="s">
        <v>7</v>
      </c>
      <c r="B11855" t="s">
        <v>31</v>
      </c>
      <c r="C11855" t="str">
        <f t="shared" si="372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71"/>
        <v>1</v>
      </c>
    </row>
    <row r="11856" spans="1:8" x14ac:dyDescent="0.2">
      <c r="A11856" t="s">
        <v>7</v>
      </c>
      <c r="B11856" t="s">
        <v>31</v>
      </c>
      <c r="C11856" t="str">
        <f t="shared" si="372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71"/>
        <v>1</v>
      </c>
    </row>
    <row r="11857" spans="1:8" x14ac:dyDescent="0.2">
      <c r="A11857" t="s">
        <v>7</v>
      </c>
      <c r="B11857" t="s">
        <v>31</v>
      </c>
      <c r="C11857" t="str">
        <f t="shared" si="372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71"/>
        <v>-2</v>
      </c>
    </row>
    <row r="11858" spans="1:8" x14ac:dyDescent="0.2">
      <c r="A11858" t="s">
        <v>7</v>
      </c>
      <c r="B11858" t="s">
        <v>31</v>
      </c>
      <c r="C11858" t="str">
        <f t="shared" si="372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71"/>
        <v>-2</v>
      </c>
    </row>
    <row r="11859" spans="1:8" x14ac:dyDescent="0.2">
      <c r="A11859" t="s">
        <v>7</v>
      </c>
      <c r="B11859" t="s">
        <v>31</v>
      </c>
      <c r="C11859" t="str">
        <f t="shared" si="372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71"/>
        <v>-2</v>
      </c>
    </row>
    <row r="11860" spans="1:8" x14ac:dyDescent="0.2">
      <c r="A11860" t="s">
        <v>7</v>
      </c>
      <c r="B11860" t="s">
        <v>31</v>
      </c>
      <c r="C11860" t="str">
        <f t="shared" si="372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71"/>
        <v>1</v>
      </c>
    </row>
    <row r="11861" spans="1:8" x14ac:dyDescent="0.2">
      <c r="A11861" t="s">
        <v>7</v>
      </c>
      <c r="B11861" t="s">
        <v>31</v>
      </c>
      <c r="C11861" t="str">
        <f t="shared" si="372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71"/>
        <v>1</v>
      </c>
    </row>
    <row r="11862" spans="1:8" x14ac:dyDescent="0.2">
      <c r="A11862" t="s">
        <v>7</v>
      </c>
      <c r="B11862" t="s">
        <v>31</v>
      </c>
      <c r="C11862" t="str">
        <f t="shared" si="372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71"/>
        <v>1</v>
      </c>
    </row>
    <row r="11863" spans="1:8" x14ac:dyDescent="0.2">
      <c r="A11863" t="s">
        <v>7</v>
      </c>
      <c r="B11863" t="s">
        <v>31</v>
      </c>
      <c r="C11863" t="str">
        <f t="shared" si="372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71"/>
        <v>1</v>
      </c>
    </row>
    <row r="11864" spans="1:8" x14ac:dyDescent="0.2">
      <c r="A11864" t="s">
        <v>7</v>
      </c>
      <c r="B11864" t="s">
        <v>31</v>
      </c>
      <c r="C11864" t="str">
        <f t="shared" si="372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71"/>
        <v>1</v>
      </c>
    </row>
    <row r="11865" spans="1:8" x14ac:dyDescent="0.2">
      <c r="A11865" t="s">
        <v>7</v>
      </c>
      <c r="B11865" t="s">
        <v>31</v>
      </c>
      <c r="C11865" t="str">
        <f t="shared" si="372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71"/>
        <v>1</v>
      </c>
    </row>
    <row r="11866" spans="1:8" x14ac:dyDescent="0.2">
      <c r="A11866" t="s">
        <v>7</v>
      </c>
      <c r="B11866" t="s">
        <v>31</v>
      </c>
      <c r="C11866" t="str">
        <f t="shared" si="372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71"/>
        <v>1</v>
      </c>
    </row>
    <row r="11867" spans="1:8" x14ac:dyDescent="0.2">
      <c r="A11867" t="s">
        <v>7</v>
      </c>
      <c r="B11867" t="s">
        <v>31</v>
      </c>
      <c r="C11867" t="str">
        <f t="shared" si="372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71"/>
        <v>1</v>
      </c>
    </row>
    <row r="11868" spans="1:8" x14ac:dyDescent="0.2">
      <c r="A11868" t="s">
        <v>7</v>
      </c>
      <c r="B11868" t="s">
        <v>31</v>
      </c>
      <c r="C11868" t="str">
        <f t="shared" si="372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71"/>
        <v>1</v>
      </c>
    </row>
    <row r="11869" spans="1:8" x14ac:dyDescent="0.2">
      <c r="A11869" t="s">
        <v>7</v>
      </c>
      <c r="B11869" t="s">
        <v>31</v>
      </c>
      <c r="C11869" t="str">
        <f t="shared" si="372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71"/>
        <v>1</v>
      </c>
    </row>
    <row r="11870" spans="1:8" x14ac:dyDescent="0.2">
      <c r="A11870" t="s">
        <v>7</v>
      </c>
      <c r="B11870" t="s">
        <v>31</v>
      </c>
      <c r="C11870" t="str">
        <f t="shared" si="372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71"/>
        <v>1</v>
      </c>
    </row>
    <row r="11871" spans="1:8" x14ac:dyDescent="0.2">
      <c r="A11871" t="s">
        <v>7</v>
      </c>
      <c r="B11871" t="s">
        <v>31</v>
      </c>
      <c r="C11871" t="str">
        <f t="shared" si="372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71"/>
        <v>1</v>
      </c>
    </row>
    <row r="11872" spans="1:8" x14ac:dyDescent="0.2">
      <c r="A11872" t="s">
        <v>7</v>
      </c>
      <c r="B11872" t="s">
        <v>31</v>
      </c>
      <c r="C11872" t="str">
        <f t="shared" si="372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71"/>
        <v>1</v>
      </c>
    </row>
    <row r="11873" spans="1:8" x14ac:dyDescent="0.2">
      <c r="A11873" t="s">
        <v>7</v>
      </c>
      <c r="B11873" t="s">
        <v>31</v>
      </c>
      <c r="C11873" t="str">
        <f t="shared" si="372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71"/>
        <v>1</v>
      </c>
    </row>
    <row r="11874" spans="1:8" x14ac:dyDescent="0.2">
      <c r="A11874" t="s">
        <v>7</v>
      </c>
      <c r="B11874" t="s">
        <v>31</v>
      </c>
      <c r="C11874" t="str">
        <f t="shared" si="372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71"/>
        <v>1</v>
      </c>
    </row>
    <row r="11875" spans="1:8" x14ac:dyDescent="0.2">
      <c r="A11875" t="s">
        <v>7</v>
      </c>
      <c r="B11875" t="s">
        <v>31</v>
      </c>
      <c r="C11875" t="str">
        <f t="shared" si="372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71"/>
        <v>1</v>
      </c>
    </row>
    <row r="11876" spans="1:8" x14ac:dyDescent="0.2">
      <c r="A11876" t="s">
        <v>7</v>
      </c>
      <c r="B11876" t="s">
        <v>31</v>
      </c>
      <c r="C11876" t="str">
        <f t="shared" si="372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71"/>
        <v>-2</v>
      </c>
    </row>
    <row r="11877" spans="1:8" x14ac:dyDescent="0.2">
      <c r="A11877" t="s">
        <v>7</v>
      </c>
      <c r="B11877" t="s">
        <v>31</v>
      </c>
      <c r="C11877" t="str">
        <f t="shared" si="372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71"/>
        <v>-2</v>
      </c>
    </row>
    <row r="11878" spans="1:8" x14ac:dyDescent="0.2">
      <c r="A11878" t="s">
        <v>7</v>
      </c>
      <c r="B11878" t="s">
        <v>31</v>
      </c>
      <c r="C11878" t="str">
        <f t="shared" si="372"/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71"/>
        <v>-2</v>
      </c>
    </row>
    <row r="11879" spans="1:8" x14ac:dyDescent="0.2">
      <c r="A11879" t="s">
        <v>7</v>
      </c>
      <c r="B11879" t="s">
        <v>31</v>
      </c>
      <c r="C11879" t="str">
        <f t="shared" si="372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71"/>
        <v>1</v>
      </c>
    </row>
    <row r="11880" spans="1:8" x14ac:dyDescent="0.2">
      <c r="A11880" t="s">
        <v>7</v>
      </c>
      <c r="B11880" t="s">
        <v>31</v>
      </c>
      <c r="C11880" t="str">
        <f t="shared" si="372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si="371"/>
        <v>0</v>
      </c>
    </row>
    <row r="11881" spans="1:8" x14ac:dyDescent="0.2">
      <c r="A11881" t="s">
        <v>7</v>
      </c>
      <c r="B11881" t="s">
        <v>31</v>
      </c>
      <c r="C11881" t="str">
        <f t="shared" si="372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71"/>
        <v>1</v>
      </c>
    </row>
    <row r="11882" spans="1:8" x14ac:dyDescent="0.2">
      <c r="A11882" t="s">
        <v>7</v>
      </c>
      <c r="B11882" t="s">
        <v>31</v>
      </c>
      <c r="C11882" t="str">
        <f t="shared" si="372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71"/>
        <v>1</v>
      </c>
    </row>
    <row r="11883" spans="1:8" x14ac:dyDescent="0.2">
      <c r="A11883" t="s">
        <v>7</v>
      </c>
      <c r="B11883" t="s">
        <v>31</v>
      </c>
      <c r="C11883" t="str">
        <f t="shared" si="372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71"/>
        <v>1</v>
      </c>
    </row>
    <row r="11884" spans="1:8" x14ac:dyDescent="0.2">
      <c r="A11884" t="s">
        <v>7</v>
      </c>
      <c r="B11884" t="s">
        <v>31</v>
      </c>
      <c r="C11884" t="str">
        <f t="shared" si="372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71"/>
        <v>1</v>
      </c>
    </row>
    <row r="11885" spans="1:8" x14ac:dyDescent="0.2">
      <c r="A11885" t="s">
        <v>7</v>
      </c>
      <c r="B11885" t="s">
        <v>31</v>
      </c>
      <c r="C11885" t="str">
        <f t="shared" si="372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71"/>
        <v>1</v>
      </c>
    </row>
    <row r="11886" spans="1:8" x14ac:dyDescent="0.2">
      <c r="A11886" t="s">
        <v>18</v>
      </c>
      <c r="B11886" t="s">
        <v>31</v>
      </c>
      <c r="C11886" t="str">
        <f t="shared" si="372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71"/>
        <v>1</v>
      </c>
    </row>
    <row r="11887" spans="1:8" x14ac:dyDescent="0.2">
      <c r="A11887" t="s">
        <v>7</v>
      </c>
      <c r="B11887" t="s">
        <v>31</v>
      </c>
      <c r="C11887" t="str">
        <f t="shared" si="372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71"/>
        <v>0</v>
      </c>
    </row>
    <row r="11888" spans="1:8" x14ac:dyDescent="0.2">
      <c r="A11888" t="s">
        <v>7</v>
      </c>
      <c r="B11888" t="s">
        <v>31</v>
      </c>
      <c r="C11888" t="str">
        <f t="shared" si="372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71"/>
        <v>0</v>
      </c>
    </row>
    <row r="11889" spans="1:8" x14ac:dyDescent="0.2">
      <c r="A11889" t="s">
        <v>7</v>
      </c>
      <c r="B11889" t="s">
        <v>31</v>
      </c>
      <c r="C11889" t="str">
        <f t="shared" si="372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71"/>
        <v>-3</v>
      </c>
    </row>
    <row r="11890" spans="1:8" x14ac:dyDescent="0.2">
      <c r="A11890" t="s">
        <v>7</v>
      </c>
      <c r="B11890" t="s">
        <v>31</v>
      </c>
      <c r="C11890" t="str">
        <f t="shared" si="372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71"/>
        <v>0</v>
      </c>
    </row>
    <row r="11891" spans="1:8" x14ac:dyDescent="0.2">
      <c r="A11891" t="s">
        <v>7</v>
      </c>
      <c r="B11891" t="s">
        <v>31</v>
      </c>
      <c r="C11891" t="str">
        <f t="shared" si="372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71"/>
        <v>0</v>
      </c>
    </row>
    <row r="11892" spans="1:8" x14ac:dyDescent="0.2">
      <c r="A11892" t="s">
        <v>7</v>
      </c>
      <c r="B11892" t="s">
        <v>31</v>
      </c>
      <c r="C11892" t="str">
        <f t="shared" si="372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71"/>
        <v>0</v>
      </c>
    </row>
    <row r="11893" spans="1:8" x14ac:dyDescent="0.2">
      <c r="A11893" t="s">
        <v>7</v>
      </c>
      <c r="B11893" t="s">
        <v>31</v>
      </c>
      <c r="C11893" t="str">
        <f t="shared" si="372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71"/>
        <v>0</v>
      </c>
    </row>
    <row r="11894" spans="1:8" x14ac:dyDescent="0.2">
      <c r="A11894" t="s">
        <v>7</v>
      </c>
      <c r="B11894" t="s">
        <v>31</v>
      </c>
      <c r="C11894" t="str">
        <f t="shared" si="372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71"/>
        <v>0</v>
      </c>
    </row>
    <row r="11895" spans="1:8" x14ac:dyDescent="0.2">
      <c r="A11895" t="s">
        <v>7</v>
      </c>
      <c r="B11895" t="s">
        <v>31</v>
      </c>
      <c r="C11895" t="str">
        <f t="shared" si="372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71"/>
        <v>0</v>
      </c>
    </row>
    <row r="11896" spans="1:8" x14ac:dyDescent="0.2">
      <c r="A11896" t="s">
        <v>7</v>
      </c>
      <c r="B11896" t="s">
        <v>31</v>
      </c>
      <c r="C11896" t="str">
        <f t="shared" si="372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71"/>
        <v>0</v>
      </c>
    </row>
    <row r="11897" spans="1:8" x14ac:dyDescent="0.2">
      <c r="A11897" t="s">
        <v>7</v>
      </c>
      <c r="B11897" t="s">
        <v>31</v>
      </c>
      <c r="C11897" t="str">
        <f t="shared" si="372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71"/>
        <v>0</v>
      </c>
    </row>
    <row r="11898" spans="1:8" x14ac:dyDescent="0.2">
      <c r="A11898" t="s">
        <v>7</v>
      </c>
      <c r="B11898" t="s">
        <v>31</v>
      </c>
      <c r="C11898" t="str">
        <f t="shared" si="372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71"/>
        <v>0</v>
      </c>
    </row>
    <row r="11899" spans="1:8" x14ac:dyDescent="0.2">
      <c r="A11899" t="s">
        <v>7</v>
      </c>
      <c r="B11899" t="s">
        <v>31</v>
      </c>
      <c r="C11899" t="str">
        <f t="shared" si="372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71"/>
        <v>0</v>
      </c>
    </row>
    <row r="11900" spans="1:8" x14ac:dyDescent="0.2">
      <c r="A11900" t="s">
        <v>7</v>
      </c>
      <c r="B11900" t="s">
        <v>31</v>
      </c>
      <c r="C11900" t="str">
        <f t="shared" si="372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71"/>
        <v>-3</v>
      </c>
    </row>
    <row r="11901" spans="1:8" x14ac:dyDescent="0.2">
      <c r="A11901" t="s">
        <v>7</v>
      </c>
      <c r="B11901" t="s">
        <v>31</v>
      </c>
      <c r="C11901" t="str">
        <f t="shared" si="372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71"/>
        <v>0</v>
      </c>
    </row>
    <row r="11902" spans="1:8" x14ac:dyDescent="0.2">
      <c r="A11902" t="s">
        <v>7</v>
      </c>
      <c r="B11902" t="s">
        <v>31</v>
      </c>
      <c r="C11902" t="str">
        <f t="shared" si="372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71"/>
        <v>-3</v>
      </c>
    </row>
    <row r="11903" spans="1:8" x14ac:dyDescent="0.2">
      <c r="A11903" t="s">
        <v>7</v>
      </c>
      <c r="B11903" t="s">
        <v>31</v>
      </c>
      <c r="C11903" t="str">
        <f t="shared" si="372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71"/>
        <v>0</v>
      </c>
    </row>
    <row r="11904" spans="1:8" x14ac:dyDescent="0.2">
      <c r="A11904" t="s">
        <v>7</v>
      </c>
      <c r="B11904" t="s">
        <v>31</v>
      </c>
      <c r="C11904" t="str">
        <f t="shared" si="372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71"/>
        <v>0</v>
      </c>
    </row>
    <row r="11905" spans="1:8" x14ac:dyDescent="0.2">
      <c r="A11905" t="s">
        <v>7</v>
      </c>
      <c r="B11905" t="s">
        <v>31</v>
      </c>
      <c r="C11905" t="str">
        <f t="shared" si="372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71"/>
        <v>0</v>
      </c>
    </row>
    <row r="11906" spans="1:8" x14ac:dyDescent="0.2">
      <c r="A11906" t="s">
        <v>7</v>
      </c>
      <c r="B11906" t="s">
        <v>31</v>
      </c>
      <c r="C11906" t="str">
        <f t="shared" si="372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71"/>
        <v>0</v>
      </c>
    </row>
    <row r="11907" spans="1:8" x14ac:dyDescent="0.2">
      <c r="A11907" t="s">
        <v>7</v>
      </c>
      <c r="B11907" t="s">
        <v>31</v>
      </c>
      <c r="C11907" t="str">
        <f t="shared" si="372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ref="H11907:H11970" si="373">F11907-G11907</f>
        <v>0</v>
      </c>
    </row>
    <row r="11908" spans="1:8" x14ac:dyDescent="0.2">
      <c r="A11908" t="s">
        <v>7</v>
      </c>
      <c r="B11908" t="s">
        <v>31</v>
      </c>
      <c r="C11908" t="str">
        <f t="shared" si="372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73"/>
        <v>0</v>
      </c>
    </row>
    <row r="11909" spans="1:8" x14ac:dyDescent="0.2">
      <c r="A11909" t="s">
        <v>7</v>
      </c>
      <c r="B11909" t="s">
        <v>31</v>
      </c>
      <c r="C11909" t="str">
        <f t="shared" ref="C11909:C11972" si="374">IF(H11909&gt;=0,"Cumple","No cumple")</f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73"/>
        <v>0</v>
      </c>
    </row>
    <row r="11910" spans="1:8" x14ac:dyDescent="0.2">
      <c r="A11910" t="s">
        <v>7</v>
      </c>
      <c r="B11910" t="s">
        <v>31</v>
      </c>
      <c r="C11910" t="str">
        <f t="shared" si="374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73"/>
        <v>0</v>
      </c>
    </row>
    <row r="11911" spans="1:8" x14ac:dyDescent="0.2">
      <c r="A11911" t="s">
        <v>7</v>
      </c>
      <c r="B11911" t="s">
        <v>31</v>
      </c>
      <c r="C11911" t="str">
        <f t="shared" si="374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73"/>
        <v>0</v>
      </c>
    </row>
    <row r="11912" spans="1:8" x14ac:dyDescent="0.2">
      <c r="A11912" t="s">
        <v>7</v>
      </c>
      <c r="B11912" t="s">
        <v>31</v>
      </c>
      <c r="C11912" t="str">
        <f t="shared" si="374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73"/>
        <v>0</v>
      </c>
    </row>
    <row r="11913" spans="1:8" x14ac:dyDescent="0.2">
      <c r="A11913" t="s">
        <v>7</v>
      </c>
      <c r="B11913" t="s">
        <v>31</v>
      </c>
      <c r="C11913" t="str">
        <f t="shared" si="374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73"/>
        <v>0</v>
      </c>
    </row>
    <row r="11914" spans="1:8" x14ac:dyDescent="0.2">
      <c r="A11914" t="s">
        <v>7</v>
      </c>
      <c r="B11914" t="s">
        <v>31</v>
      </c>
      <c r="C11914" t="str">
        <f t="shared" si="374"/>
        <v>No cumple</v>
      </c>
      <c r="D11914">
        <v>213</v>
      </c>
      <c r="E11914" t="s">
        <v>13</v>
      </c>
      <c r="F11914">
        <v>2</v>
      </c>
      <c r="G11914">
        <v>6</v>
      </c>
      <c r="H11914">
        <f t="shared" si="373"/>
        <v>-4</v>
      </c>
    </row>
    <row r="11915" spans="1:8" x14ac:dyDescent="0.2">
      <c r="A11915" t="s">
        <v>7</v>
      </c>
      <c r="B11915" t="s">
        <v>31</v>
      </c>
      <c r="C11915" t="str">
        <f t="shared" si="374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73"/>
        <v>-1</v>
      </c>
    </row>
    <row r="11916" spans="1:8" x14ac:dyDescent="0.2">
      <c r="A11916" t="s">
        <v>7</v>
      </c>
      <c r="B11916" t="s">
        <v>31</v>
      </c>
      <c r="C11916" t="str">
        <f t="shared" si="374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73"/>
        <v>-1</v>
      </c>
    </row>
    <row r="11917" spans="1:8" x14ac:dyDescent="0.2">
      <c r="A11917" t="s">
        <v>7</v>
      </c>
      <c r="B11917" t="s">
        <v>31</v>
      </c>
      <c r="C11917" t="str">
        <f t="shared" si="374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73"/>
        <v>-1</v>
      </c>
    </row>
    <row r="11918" spans="1:8" x14ac:dyDescent="0.2">
      <c r="A11918" t="s">
        <v>7</v>
      </c>
      <c r="B11918" t="s">
        <v>31</v>
      </c>
      <c r="C11918" t="str">
        <f t="shared" si="374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73"/>
        <v>-1</v>
      </c>
    </row>
    <row r="11919" spans="1:8" x14ac:dyDescent="0.2">
      <c r="A11919" t="s">
        <v>7</v>
      </c>
      <c r="B11919" t="s">
        <v>31</v>
      </c>
      <c r="C11919" t="str">
        <f t="shared" si="374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73"/>
        <v>-1</v>
      </c>
    </row>
    <row r="11920" spans="1:8" x14ac:dyDescent="0.2">
      <c r="A11920" t="s">
        <v>7</v>
      </c>
      <c r="B11920" t="s">
        <v>31</v>
      </c>
      <c r="C11920" t="str">
        <f t="shared" si="374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73"/>
        <v>-1</v>
      </c>
    </row>
    <row r="11921" spans="1:8" x14ac:dyDescent="0.2">
      <c r="A11921" t="s">
        <v>7</v>
      </c>
      <c r="B11921" t="s">
        <v>31</v>
      </c>
      <c r="C11921" t="str">
        <f t="shared" si="374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73"/>
        <v>-1</v>
      </c>
    </row>
    <row r="11922" spans="1:8" x14ac:dyDescent="0.2">
      <c r="A11922" t="s">
        <v>7</v>
      </c>
      <c r="B11922" t="s">
        <v>31</v>
      </c>
      <c r="C11922" t="str">
        <f t="shared" si="374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73"/>
        <v>-1</v>
      </c>
    </row>
    <row r="11923" spans="1:8" x14ac:dyDescent="0.2">
      <c r="A11923" t="s">
        <v>7</v>
      </c>
      <c r="B11923" t="s">
        <v>31</v>
      </c>
      <c r="C11923" t="str">
        <f t="shared" si="374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73"/>
        <v>-1</v>
      </c>
    </row>
    <row r="11924" spans="1:8" x14ac:dyDescent="0.2">
      <c r="A11924" t="s">
        <v>7</v>
      </c>
      <c r="B11924" t="s">
        <v>31</v>
      </c>
      <c r="C11924" t="str">
        <f t="shared" si="374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73"/>
        <v>-4</v>
      </c>
    </row>
    <row r="11925" spans="1:8" x14ac:dyDescent="0.2">
      <c r="A11925" t="s">
        <v>18</v>
      </c>
      <c r="B11925" t="s">
        <v>31</v>
      </c>
      <c r="C11925" t="str">
        <f t="shared" si="374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73"/>
        <v>-1</v>
      </c>
    </row>
    <row r="11926" spans="1:8" x14ac:dyDescent="0.2">
      <c r="A11926" t="s">
        <v>7</v>
      </c>
      <c r="B11926" t="s">
        <v>31</v>
      </c>
      <c r="C11926" t="str">
        <f t="shared" si="374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73"/>
        <v>-1</v>
      </c>
    </row>
    <row r="11927" spans="1:8" x14ac:dyDescent="0.2">
      <c r="A11927" t="s">
        <v>7</v>
      </c>
      <c r="B11927" t="s">
        <v>31</v>
      </c>
      <c r="C11927" t="str">
        <f t="shared" si="374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73"/>
        <v>-1</v>
      </c>
    </row>
    <row r="11928" spans="1:8" x14ac:dyDescent="0.2">
      <c r="A11928" t="s">
        <v>7</v>
      </c>
      <c r="B11928" t="s">
        <v>31</v>
      </c>
      <c r="C11928" t="str">
        <f t="shared" si="374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73"/>
        <v>-1</v>
      </c>
    </row>
    <row r="11929" spans="1:8" x14ac:dyDescent="0.2">
      <c r="A11929" t="s">
        <v>7</v>
      </c>
      <c r="B11929" t="s">
        <v>31</v>
      </c>
      <c r="C11929" t="str">
        <f t="shared" si="374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73"/>
        <v>-1</v>
      </c>
    </row>
    <row r="11930" spans="1:8" x14ac:dyDescent="0.2">
      <c r="A11930" t="s">
        <v>7</v>
      </c>
      <c r="B11930" t="s">
        <v>31</v>
      </c>
      <c r="C11930" t="str">
        <f t="shared" si="374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73"/>
        <v>-1</v>
      </c>
    </row>
    <row r="11931" spans="1:8" x14ac:dyDescent="0.2">
      <c r="A11931" t="s">
        <v>7</v>
      </c>
      <c r="B11931" t="s">
        <v>31</v>
      </c>
      <c r="C11931" t="str">
        <f t="shared" si="374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73"/>
        <v>-1</v>
      </c>
    </row>
    <row r="11932" spans="1:8" x14ac:dyDescent="0.2">
      <c r="A11932" t="s">
        <v>7</v>
      </c>
      <c r="B11932" t="s">
        <v>31</v>
      </c>
      <c r="C11932" t="str">
        <f t="shared" si="374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73"/>
        <v>-1</v>
      </c>
    </row>
    <row r="11933" spans="1:8" x14ac:dyDescent="0.2">
      <c r="A11933" t="s">
        <v>7</v>
      </c>
      <c r="B11933" t="s">
        <v>31</v>
      </c>
      <c r="C11933" t="str">
        <f t="shared" si="374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73"/>
        <v>-1</v>
      </c>
    </row>
    <row r="11934" spans="1:8" x14ac:dyDescent="0.2">
      <c r="A11934" t="s">
        <v>7</v>
      </c>
      <c r="B11934" t="s">
        <v>31</v>
      </c>
      <c r="C11934" t="str">
        <f t="shared" si="374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73"/>
        <v>-2</v>
      </c>
    </row>
    <row r="11935" spans="1:8" x14ac:dyDescent="0.2">
      <c r="A11935" t="s">
        <v>7</v>
      </c>
      <c r="B11935" t="s">
        <v>31</v>
      </c>
      <c r="C11935" t="str">
        <f t="shared" si="374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73"/>
        <v>-2</v>
      </c>
    </row>
    <row r="11936" spans="1:8" x14ac:dyDescent="0.2">
      <c r="A11936" t="s">
        <v>7</v>
      </c>
      <c r="B11936" t="s">
        <v>31</v>
      </c>
      <c r="C11936" t="str">
        <f t="shared" si="374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73"/>
        <v>-2</v>
      </c>
    </row>
    <row r="11937" spans="1:8" x14ac:dyDescent="0.2">
      <c r="A11937" t="s">
        <v>7</v>
      </c>
      <c r="B11937" t="s">
        <v>31</v>
      </c>
      <c r="C11937" t="str">
        <f t="shared" si="374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73"/>
        <v>-2</v>
      </c>
    </row>
    <row r="11938" spans="1:8" x14ac:dyDescent="0.2">
      <c r="A11938" t="s">
        <v>7</v>
      </c>
      <c r="B11938" t="s">
        <v>31</v>
      </c>
      <c r="C11938" t="str">
        <f t="shared" si="374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73"/>
        <v>-2</v>
      </c>
    </row>
    <row r="11939" spans="1:8" x14ac:dyDescent="0.2">
      <c r="A11939" t="s">
        <v>7</v>
      </c>
      <c r="B11939" t="s">
        <v>31</v>
      </c>
      <c r="C11939" t="str">
        <f t="shared" si="374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73"/>
        <v>-2</v>
      </c>
    </row>
    <row r="11940" spans="1:8" x14ac:dyDescent="0.2">
      <c r="A11940" t="s">
        <v>7</v>
      </c>
      <c r="B11940" t="s">
        <v>31</v>
      </c>
      <c r="C11940" t="str">
        <f t="shared" si="374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73"/>
        <v>-2</v>
      </c>
    </row>
    <row r="11941" spans="1:8" x14ac:dyDescent="0.2">
      <c r="A11941" t="s">
        <v>7</v>
      </c>
      <c r="B11941" t="s">
        <v>31</v>
      </c>
      <c r="C11941" t="str">
        <f t="shared" si="374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73"/>
        <v>-5</v>
      </c>
    </row>
    <row r="11942" spans="1:8" x14ac:dyDescent="0.2">
      <c r="A11942" t="s">
        <v>7</v>
      </c>
      <c r="B11942" t="s">
        <v>31</v>
      </c>
      <c r="C11942" t="str">
        <f t="shared" si="374"/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73"/>
        <v>-2</v>
      </c>
    </row>
    <row r="11943" spans="1:8" x14ac:dyDescent="0.2">
      <c r="A11943" t="s">
        <v>7</v>
      </c>
      <c r="B11943" t="s">
        <v>31</v>
      </c>
      <c r="C11943" t="str">
        <f t="shared" si="374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73"/>
        <v>-2</v>
      </c>
    </row>
    <row r="11944" spans="1:8" x14ac:dyDescent="0.2">
      <c r="A11944" t="s">
        <v>7</v>
      </c>
      <c r="B11944" t="s">
        <v>31</v>
      </c>
      <c r="C11944" t="str">
        <f t="shared" si="374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si="373"/>
        <v>-5</v>
      </c>
    </row>
    <row r="11945" spans="1:8" x14ac:dyDescent="0.2">
      <c r="A11945" t="s">
        <v>7</v>
      </c>
      <c r="B11945" t="s">
        <v>31</v>
      </c>
      <c r="C11945" t="str">
        <f t="shared" si="374"/>
        <v>No cumple</v>
      </c>
      <c r="D11945">
        <v>2850</v>
      </c>
      <c r="E11945" t="s">
        <v>13</v>
      </c>
      <c r="F11945">
        <v>1</v>
      </c>
      <c r="G11945">
        <v>3</v>
      </c>
      <c r="H11945">
        <f t="shared" si="373"/>
        <v>-2</v>
      </c>
    </row>
    <row r="11946" spans="1:8" x14ac:dyDescent="0.2">
      <c r="A11946" t="s">
        <v>7</v>
      </c>
      <c r="B11946" t="s">
        <v>31</v>
      </c>
      <c r="C11946" t="str">
        <f t="shared" si="374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373"/>
        <v>-2</v>
      </c>
    </row>
    <row r="11947" spans="1:8" x14ac:dyDescent="0.2">
      <c r="A11947" t="s">
        <v>18</v>
      </c>
      <c r="B11947" t="s">
        <v>31</v>
      </c>
      <c r="C11947" t="str">
        <f t="shared" si="374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373"/>
        <v>-2</v>
      </c>
    </row>
    <row r="11948" spans="1:8" x14ac:dyDescent="0.2">
      <c r="A11948" t="s">
        <v>7</v>
      </c>
      <c r="B11948" t="s">
        <v>31</v>
      </c>
      <c r="C11948" t="str">
        <f t="shared" si="374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373"/>
        <v>-2</v>
      </c>
    </row>
    <row r="11949" spans="1:8" x14ac:dyDescent="0.2">
      <c r="A11949" t="s">
        <v>7</v>
      </c>
      <c r="B11949" t="s">
        <v>31</v>
      </c>
      <c r="C11949" t="str">
        <f t="shared" si="374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373"/>
        <v>-2</v>
      </c>
    </row>
    <row r="11950" spans="1:8" x14ac:dyDescent="0.2">
      <c r="A11950" t="s">
        <v>7</v>
      </c>
      <c r="B11950" t="s">
        <v>31</v>
      </c>
      <c r="C11950" t="str">
        <f t="shared" si="374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373"/>
        <v>-2</v>
      </c>
    </row>
    <row r="11951" spans="1:8" x14ac:dyDescent="0.2">
      <c r="A11951" t="s">
        <v>7</v>
      </c>
      <c r="B11951" t="s">
        <v>31</v>
      </c>
      <c r="C11951" t="str">
        <f t="shared" si="374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373"/>
        <v>-2</v>
      </c>
    </row>
    <row r="11952" spans="1:8" x14ac:dyDescent="0.2">
      <c r="A11952" t="s">
        <v>7</v>
      </c>
      <c r="B11952" t="s">
        <v>31</v>
      </c>
      <c r="C11952" t="str">
        <f t="shared" si="374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373"/>
        <v>-2</v>
      </c>
    </row>
    <row r="11953" spans="1:8" x14ac:dyDescent="0.2">
      <c r="A11953" t="s">
        <v>7</v>
      </c>
      <c r="B11953" t="s">
        <v>31</v>
      </c>
      <c r="C11953" t="str">
        <f t="shared" si="374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373"/>
        <v>-2</v>
      </c>
    </row>
    <row r="11954" spans="1:8" x14ac:dyDescent="0.2">
      <c r="A11954" t="s">
        <v>7</v>
      </c>
      <c r="B11954" t="s">
        <v>31</v>
      </c>
      <c r="C11954" t="str">
        <f t="shared" si="374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373"/>
        <v>-2</v>
      </c>
    </row>
    <row r="11955" spans="1:8" x14ac:dyDescent="0.2">
      <c r="A11955" t="s">
        <v>18</v>
      </c>
      <c r="B11955" t="s">
        <v>31</v>
      </c>
      <c r="C11955" t="str">
        <f t="shared" si="374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373"/>
        <v>-2</v>
      </c>
    </row>
    <row r="11956" spans="1:8" x14ac:dyDescent="0.2">
      <c r="A11956" t="s">
        <v>18</v>
      </c>
      <c r="B11956" t="s">
        <v>31</v>
      </c>
      <c r="C11956" t="str">
        <f t="shared" si="374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373"/>
        <v>-3</v>
      </c>
    </row>
    <row r="11957" spans="1:8" x14ac:dyDescent="0.2">
      <c r="A11957" t="s">
        <v>19</v>
      </c>
      <c r="B11957" t="s">
        <v>31</v>
      </c>
      <c r="C11957" t="str">
        <f t="shared" si="374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373"/>
        <v>-3</v>
      </c>
    </row>
    <row r="11958" spans="1:8" x14ac:dyDescent="0.2">
      <c r="A11958" t="s">
        <v>7</v>
      </c>
      <c r="B11958" t="s">
        <v>31</v>
      </c>
      <c r="C11958" t="str">
        <f t="shared" si="374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373"/>
        <v>-3</v>
      </c>
    </row>
    <row r="11959" spans="1:8" x14ac:dyDescent="0.2">
      <c r="A11959" t="s">
        <v>18</v>
      </c>
      <c r="B11959" t="s">
        <v>31</v>
      </c>
      <c r="C11959" t="str">
        <f t="shared" si="374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373"/>
        <v>-3</v>
      </c>
    </row>
    <row r="11960" spans="1:8" x14ac:dyDescent="0.2">
      <c r="A11960" t="s">
        <v>19</v>
      </c>
      <c r="B11960" t="s">
        <v>31</v>
      </c>
      <c r="C11960" t="str">
        <f t="shared" si="374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373"/>
        <v>-3</v>
      </c>
    </row>
    <row r="11961" spans="1:8" x14ac:dyDescent="0.2">
      <c r="A11961" t="s">
        <v>7</v>
      </c>
      <c r="B11961" t="s">
        <v>31</v>
      </c>
      <c r="C11961" t="str">
        <f t="shared" si="374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373"/>
        <v>-3</v>
      </c>
    </row>
    <row r="11962" spans="1:8" x14ac:dyDescent="0.2">
      <c r="A11962" t="s">
        <v>7</v>
      </c>
      <c r="B11962" t="s">
        <v>31</v>
      </c>
      <c r="C11962" t="str">
        <f t="shared" si="374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373"/>
        <v>-3</v>
      </c>
    </row>
    <row r="11963" spans="1:8" x14ac:dyDescent="0.2">
      <c r="A11963" t="s">
        <v>18</v>
      </c>
      <c r="B11963" t="s">
        <v>31</v>
      </c>
      <c r="C11963" t="str">
        <f t="shared" si="374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373"/>
        <v>-3</v>
      </c>
    </row>
    <row r="11964" spans="1:8" x14ac:dyDescent="0.2">
      <c r="A11964" t="s">
        <v>7</v>
      </c>
      <c r="B11964" t="s">
        <v>31</v>
      </c>
      <c r="C11964" t="str">
        <f t="shared" si="374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373"/>
        <v>-6</v>
      </c>
    </row>
    <row r="11965" spans="1:8" x14ac:dyDescent="0.2">
      <c r="A11965" t="s">
        <v>7</v>
      </c>
      <c r="B11965" t="s">
        <v>31</v>
      </c>
      <c r="C11965" t="str">
        <f t="shared" si="374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373"/>
        <v>-3</v>
      </c>
    </row>
    <row r="11966" spans="1:8" x14ac:dyDescent="0.2">
      <c r="A11966" t="s">
        <v>19</v>
      </c>
      <c r="B11966" t="s">
        <v>31</v>
      </c>
      <c r="C11966" t="str">
        <f t="shared" si="374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373"/>
        <v>-3</v>
      </c>
    </row>
    <row r="11967" spans="1:8" x14ac:dyDescent="0.2">
      <c r="A11967" t="s">
        <v>18</v>
      </c>
      <c r="B11967" t="s">
        <v>31</v>
      </c>
      <c r="C11967" t="str">
        <f t="shared" si="374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373"/>
        <v>-3</v>
      </c>
    </row>
    <row r="11968" spans="1:8" x14ac:dyDescent="0.2">
      <c r="A11968" t="s">
        <v>7</v>
      </c>
      <c r="B11968" t="s">
        <v>31</v>
      </c>
      <c r="C11968" t="str">
        <f t="shared" si="374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373"/>
        <v>-3</v>
      </c>
    </row>
    <row r="11969" spans="1:8" x14ac:dyDescent="0.2">
      <c r="A11969" t="s">
        <v>7</v>
      </c>
      <c r="B11969" t="s">
        <v>31</v>
      </c>
      <c r="C11969" t="str">
        <f t="shared" si="374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373"/>
        <v>-3</v>
      </c>
    </row>
    <row r="11970" spans="1:8" x14ac:dyDescent="0.2">
      <c r="A11970" t="s">
        <v>18</v>
      </c>
      <c r="B11970" t="s">
        <v>31</v>
      </c>
      <c r="C11970" t="str">
        <f t="shared" si="374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373"/>
        <v>-3</v>
      </c>
    </row>
    <row r="11971" spans="1:8" x14ac:dyDescent="0.2">
      <c r="A11971" t="s">
        <v>7</v>
      </c>
      <c r="B11971" t="s">
        <v>31</v>
      </c>
      <c r="C11971" t="str">
        <f t="shared" si="374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ref="H11971:H12034" si="375">F11971-G11971</f>
        <v>-3</v>
      </c>
    </row>
    <row r="11972" spans="1:8" x14ac:dyDescent="0.2">
      <c r="A11972" t="s">
        <v>7</v>
      </c>
      <c r="B11972" t="s">
        <v>31</v>
      </c>
      <c r="C11972" t="str">
        <f t="shared" si="374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375"/>
        <v>-3</v>
      </c>
    </row>
    <row r="11973" spans="1:8" x14ac:dyDescent="0.2">
      <c r="A11973" t="s">
        <v>19</v>
      </c>
      <c r="B11973" t="s">
        <v>31</v>
      </c>
      <c r="C11973" t="str">
        <f t="shared" ref="C11973:C12036" si="376">IF(H11973&gt;=0,"Cumple","No cumple")</f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375"/>
        <v>-3</v>
      </c>
    </row>
    <row r="11974" spans="1:8" x14ac:dyDescent="0.2">
      <c r="A11974" t="s">
        <v>18</v>
      </c>
      <c r="B11974" t="s">
        <v>31</v>
      </c>
      <c r="C11974" t="str">
        <f t="shared" si="376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375"/>
        <v>-3</v>
      </c>
    </row>
    <row r="11975" spans="1:8" x14ac:dyDescent="0.2">
      <c r="A11975" t="s">
        <v>7</v>
      </c>
      <c r="B11975" t="s">
        <v>31</v>
      </c>
      <c r="C11975" t="str">
        <f t="shared" si="376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375"/>
        <v>-3</v>
      </c>
    </row>
    <row r="11976" spans="1:8" x14ac:dyDescent="0.2">
      <c r="A11976" t="s">
        <v>18</v>
      </c>
      <c r="B11976" t="s">
        <v>31</v>
      </c>
      <c r="C11976" t="str">
        <f t="shared" si="376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375"/>
        <v>-3</v>
      </c>
    </row>
    <row r="11977" spans="1:8" x14ac:dyDescent="0.2">
      <c r="A11977" t="s">
        <v>7</v>
      </c>
      <c r="B11977" t="s">
        <v>31</v>
      </c>
      <c r="C11977" t="str">
        <f t="shared" si="376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375"/>
        <v>-3</v>
      </c>
    </row>
    <row r="11978" spans="1:8" x14ac:dyDescent="0.2">
      <c r="A11978" t="s">
        <v>7</v>
      </c>
      <c r="B11978" t="s">
        <v>31</v>
      </c>
      <c r="C11978" t="str">
        <f t="shared" si="376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375"/>
        <v>-3</v>
      </c>
    </row>
    <row r="11979" spans="1:8" x14ac:dyDescent="0.2">
      <c r="A11979" t="s">
        <v>19</v>
      </c>
      <c r="B11979" t="s">
        <v>31</v>
      </c>
      <c r="C11979" t="str">
        <f t="shared" si="376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375"/>
        <v>-3</v>
      </c>
    </row>
    <row r="11980" spans="1:8" x14ac:dyDescent="0.2">
      <c r="A11980" t="s">
        <v>18</v>
      </c>
      <c r="B11980" t="s">
        <v>31</v>
      </c>
      <c r="C11980" t="str">
        <f t="shared" si="376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375"/>
        <v>-6</v>
      </c>
    </row>
    <row r="11981" spans="1:8" x14ac:dyDescent="0.2">
      <c r="A11981" t="s">
        <v>7</v>
      </c>
      <c r="B11981" t="s">
        <v>31</v>
      </c>
      <c r="C11981" t="str">
        <f t="shared" si="376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375"/>
        <v>-6</v>
      </c>
    </row>
    <row r="11982" spans="1:8" x14ac:dyDescent="0.2">
      <c r="A11982" t="s">
        <v>7</v>
      </c>
      <c r="B11982" t="s">
        <v>31</v>
      </c>
      <c r="C11982" t="str">
        <f t="shared" si="376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375"/>
        <v>-3</v>
      </c>
    </row>
    <row r="11983" spans="1:8" x14ac:dyDescent="0.2">
      <c r="A11983" t="s">
        <v>21</v>
      </c>
      <c r="B11983" t="s">
        <v>31</v>
      </c>
      <c r="C11983" t="str">
        <f t="shared" si="376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375"/>
        <v>-3</v>
      </c>
    </row>
    <row r="11984" spans="1:8" x14ac:dyDescent="0.2">
      <c r="A11984" t="s">
        <v>21</v>
      </c>
      <c r="B11984" t="s">
        <v>31</v>
      </c>
      <c r="C11984" t="str">
        <f t="shared" si="376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375"/>
        <v>-3</v>
      </c>
    </row>
    <row r="11985" spans="1:8" x14ac:dyDescent="0.2">
      <c r="A11985" t="s">
        <v>21</v>
      </c>
      <c r="B11985" t="s">
        <v>31</v>
      </c>
      <c r="C11985" t="str">
        <f t="shared" si="376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375"/>
        <v>-3</v>
      </c>
    </row>
    <row r="11986" spans="1:8" x14ac:dyDescent="0.2">
      <c r="A11986" t="s">
        <v>21</v>
      </c>
      <c r="B11986" t="s">
        <v>31</v>
      </c>
      <c r="C11986" t="str">
        <f t="shared" si="376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375"/>
        <v>-3</v>
      </c>
    </row>
    <row r="11987" spans="1:8" x14ac:dyDescent="0.2">
      <c r="A11987" t="s">
        <v>21</v>
      </c>
      <c r="B11987" t="s">
        <v>31</v>
      </c>
      <c r="C11987" t="str">
        <f t="shared" si="376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375"/>
        <v>-3</v>
      </c>
    </row>
    <row r="11988" spans="1:8" x14ac:dyDescent="0.2">
      <c r="A11988" t="s">
        <v>21</v>
      </c>
      <c r="B11988" t="s">
        <v>31</v>
      </c>
      <c r="C11988" t="str">
        <f t="shared" si="376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375"/>
        <v>-3</v>
      </c>
    </row>
    <row r="11989" spans="1:8" x14ac:dyDescent="0.2">
      <c r="A11989" t="s">
        <v>21</v>
      </c>
      <c r="B11989" t="s">
        <v>31</v>
      </c>
      <c r="C11989" t="str">
        <f t="shared" si="376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375"/>
        <v>-3</v>
      </c>
    </row>
    <row r="11990" spans="1:8" x14ac:dyDescent="0.2">
      <c r="A11990" t="s">
        <v>21</v>
      </c>
      <c r="B11990" t="s">
        <v>31</v>
      </c>
      <c r="C11990" t="str">
        <f t="shared" si="376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375"/>
        <v>-3</v>
      </c>
    </row>
    <row r="11991" spans="1:8" x14ac:dyDescent="0.2">
      <c r="A11991" t="s">
        <v>21</v>
      </c>
      <c r="B11991" t="s">
        <v>31</v>
      </c>
      <c r="C11991" t="str">
        <f t="shared" si="376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375"/>
        <v>-3</v>
      </c>
    </row>
    <row r="11992" spans="1:8" x14ac:dyDescent="0.2">
      <c r="A11992" t="s">
        <v>21</v>
      </c>
      <c r="B11992" t="s">
        <v>31</v>
      </c>
      <c r="C11992" t="str">
        <f t="shared" si="376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375"/>
        <v>-3</v>
      </c>
    </row>
    <row r="11993" spans="1:8" x14ac:dyDescent="0.2">
      <c r="A11993" t="s">
        <v>21</v>
      </c>
      <c r="B11993" t="s">
        <v>31</v>
      </c>
      <c r="C11993" t="str">
        <f t="shared" si="376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375"/>
        <v>-3</v>
      </c>
    </row>
    <row r="11994" spans="1:8" x14ac:dyDescent="0.2">
      <c r="A11994" t="s">
        <v>21</v>
      </c>
      <c r="B11994" t="s">
        <v>31</v>
      </c>
      <c r="C11994" t="str">
        <f t="shared" si="376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375"/>
        <v>-3</v>
      </c>
    </row>
    <row r="11995" spans="1:8" x14ac:dyDescent="0.2">
      <c r="A11995" t="s">
        <v>21</v>
      </c>
      <c r="B11995" t="s">
        <v>31</v>
      </c>
      <c r="C11995" t="str">
        <f t="shared" si="376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375"/>
        <v>-3</v>
      </c>
    </row>
    <row r="11996" spans="1:8" x14ac:dyDescent="0.2">
      <c r="A11996" t="s">
        <v>21</v>
      </c>
      <c r="B11996" t="s">
        <v>31</v>
      </c>
      <c r="C11996" t="str">
        <f t="shared" si="376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375"/>
        <v>-3</v>
      </c>
    </row>
    <row r="11997" spans="1:8" x14ac:dyDescent="0.2">
      <c r="A11997" t="s">
        <v>21</v>
      </c>
      <c r="B11997" t="s">
        <v>31</v>
      </c>
      <c r="C11997" t="str">
        <f t="shared" si="376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375"/>
        <v>-3</v>
      </c>
    </row>
    <row r="11998" spans="1:8" x14ac:dyDescent="0.2">
      <c r="A11998" t="s">
        <v>21</v>
      </c>
      <c r="B11998" t="s">
        <v>31</v>
      </c>
      <c r="C11998" t="str">
        <f t="shared" si="376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375"/>
        <v>-3</v>
      </c>
    </row>
    <row r="11999" spans="1:8" x14ac:dyDescent="0.2">
      <c r="A11999" t="s">
        <v>21</v>
      </c>
      <c r="B11999" t="s">
        <v>31</v>
      </c>
      <c r="C11999" t="str">
        <f t="shared" si="376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375"/>
        <v>-3</v>
      </c>
    </row>
    <row r="12000" spans="1:8" x14ac:dyDescent="0.2">
      <c r="A12000" t="s">
        <v>21</v>
      </c>
      <c r="B12000" t="s">
        <v>31</v>
      </c>
      <c r="C12000" t="str">
        <f t="shared" si="376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375"/>
        <v>-3</v>
      </c>
    </row>
    <row r="12001" spans="1:8" x14ac:dyDescent="0.2">
      <c r="A12001" t="s">
        <v>21</v>
      </c>
      <c r="B12001" t="s">
        <v>31</v>
      </c>
      <c r="C12001" t="str">
        <f t="shared" si="376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375"/>
        <v>-3</v>
      </c>
    </row>
    <row r="12002" spans="1:8" x14ac:dyDescent="0.2">
      <c r="A12002" t="s">
        <v>21</v>
      </c>
      <c r="B12002" t="s">
        <v>31</v>
      </c>
      <c r="C12002" t="str">
        <f t="shared" si="376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375"/>
        <v>-3</v>
      </c>
    </row>
    <row r="12003" spans="1:8" x14ac:dyDescent="0.2">
      <c r="A12003" t="s">
        <v>21</v>
      </c>
      <c r="B12003" t="s">
        <v>31</v>
      </c>
      <c r="C12003" t="str">
        <f t="shared" si="376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375"/>
        <v>-3</v>
      </c>
    </row>
    <row r="12004" spans="1:8" x14ac:dyDescent="0.2">
      <c r="A12004" t="s">
        <v>21</v>
      </c>
      <c r="B12004" t="s">
        <v>31</v>
      </c>
      <c r="C12004" t="str">
        <f t="shared" si="376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375"/>
        <v>-3</v>
      </c>
    </row>
    <row r="12005" spans="1:8" x14ac:dyDescent="0.2">
      <c r="A12005" t="s">
        <v>21</v>
      </c>
      <c r="B12005" t="s">
        <v>31</v>
      </c>
      <c r="C12005" t="str">
        <f t="shared" si="376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375"/>
        <v>-3</v>
      </c>
    </row>
    <row r="12006" spans="1:8" x14ac:dyDescent="0.2">
      <c r="A12006" t="s">
        <v>21</v>
      </c>
      <c r="B12006" t="s">
        <v>31</v>
      </c>
      <c r="C12006" t="str">
        <f t="shared" si="376"/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375"/>
        <v>-3</v>
      </c>
    </row>
    <row r="12007" spans="1:8" x14ac:dyDescent="0.2">
      <c r="A12007" t="s">
        <v>21</v>
      </c>
      <c r="B12007" t="s">
        <v>31</v>
      </c>
      <c r="C12007" t="str">
        <f t="shared" si="376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375"/>
        <v>-3</v>
      </c>
    </row>
    <row r="12008" spans="1:8" x14ac:dyDescent="0.2">
      <c r="A12008" t="s">
        <v>21</v>
      </c>
      <c r="B12008" t="s">
        <v>31</v>
      </c>
      <c r="C12008" t="str">
        <f t="shared" si="376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si="375"/>
        <v>-3</v>
      </c>
    </row>
    <row r="12009" spans="1:8" x14ac:dyDescent="0.2">
      <c r="A12009" t="s">
        <v>7</v>
      </c>
      <c r="B12009" t="s">
        <v>31</v>
      </c>
      <c r="C12009" t="str">
        <f t="shared" si="376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375"/>
        <v>0</v>
      </c>
    </row>
    <row r="12010" spans="1:8" x14ac:dyDescent="0.2">
      <c r="A12010" t="s">
        <v>19</v>
      </c>
      <c r="B12010" t="s">
        <v>31</v>
      </c>
      <c r="C12010" t="str">
        <f t="shared" si="376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375"/>
        <v>-3</v>
      </c>
    </row>
    <row r="12011" spans="1:8" x14ac:dyDescent="0.2">
      <c r="A12011" t="s">
        <v>7</v>
      </c>
      <c r="B12011" t="s">
        <v>31</v>
      </c>
      <c r="C12011" t="str">
        <f t="shared" si="376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375"/>
        <v>-3</v>
      </c>
    </row>
    <row r="12012" spans="1:8" x14ac:dyDescent="0.2">
      <c r="A12012" t="s">
        <v>7</v>
      </c>
      <c r="B12012" t="s">
        <v>31</v>
      </c>
      <c r="C12012" t="str">
        <f t="shared" si="376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375"/>
        <v>-3</v>
      </c>
    </row>
    <row r="12013" spans="1:8" x14ac:dyDescent="0.2">
      <c r="A12013" t="s">
        <v>18</v>
      </c>
      <c r="B12013" t="s">
        <v>31</v>
      </c>
      <c r="C12013" t="str">
        <f t="shared" si="376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375"/>
        <v>-3</v>
      </c>
    </row>
    <row r="12014" spans="1:8" x14ac:dyDescent="0.2">
      <c r="A12014" t="s">
        <v>7</v>
      </c>
      <c r="B12014" t="s">
        <v>31</v>
      </c>
      <c r="C12014" t="str">
        <f t="shared" si="376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375"/>
        <v>-3</v>
      </c>
    </row>
    <row r="12015" spans="1:8" x14ac:dyDescent="0.2">
      <c r="A12015" t="s">
        <v>18</v>
      </c>
      <c r="B12015" t="s">
        <v>31</v>
      </c>
      <c r="C12015" t="str">
        <f t="shared" si="376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375"/>
        <v>-3</v>
      </c>
    </row>
    <row r="12016" spans="1:8" x14ac:dyDescent="0.2">
      <c r="A12016" t="s">
        <v>7</v>
      </c>
      <c r="B12016" t="s">
        <v>31</v>
      </c>
      <c r="C12016" t="str">
        <f t="shared" si="376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375"/>
        <v>-3</v>
      </c>
    </row>
    <row r="12017" spans="1:8" x14ac:dyDescent="0.2">
      <c r="A12017" t="s">
        <v>18</v>
      </c>
      <c r="B12017" t="s">
        <v>31</v>
      </c>
      <c r="C12017" t="str">
        <f t="shared" si="376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375"/>
        <v>-3</v>
      </c>
    </row>
    <row r="12018" spans="1:8" x14ac:dyDescent="0.2">
      <c r="A12018" t="s">
        <v>19</v>
      </c>
      <c r="B12018" t="s">
        <v>31</v>
      </c>
      <c r="C12018" t="str">
        <f t="shared" si="376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375"/>
        <v>-3</v>
      </c>
    </row>
    <row r="12019" spans="1:8" x14ac:dyDescent="0.2">
      <c r="A12019" t="s">
        <v>7</v>
      </c>
      <c r="B12019" t="s">
        <v>31</v>
      </c>
      <c r="C12019" t="str">
        <f t="shared" si="376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375"/>
        <v>-3</v>
      </c>
    </row>
    <row r="12020" spans="1:8" x14ac:dyDescent="0.2">
      <c r="A12020" t="s">
        <v>7</v>
      </c>
      <c r="B12020" t="s">
        <v>31</v>
      </c>
      <c r="C12020" t="str">
        <f t="shared" si="376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375"/>
        <v>-3</v>
      </c>
    </row>
    <row r="12021" spans="1:8" x14ac:dyDescent="0.2">
      <c r="A12021" t="s">
        <v>19</v>
      </c>
      <c r="B12021" t="s">
        <v>31</v>
      </c>
      <c r="C12021" t="str">
        <f t="shared" si="376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375"/>
        <v>-3</v>
      </c>
    </row>
    <row r="12022" spans="1:8" x14ac:dyDescent="0.2">
      <c r="A12022" t="s">
        <v>7</v>
      </c>
      <c r="B12022" t="s">
        <v>31</v>
      </c>
      <c r="C12022" t="str">
        <f t="shared" si="376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375"/>
        <v>-3</v>
      </c>
    </row>
    <row r="12023" spans="1:8" x14ac:dyDescent="0.2">
      <c r="A12023" t="s">
        <v>7</v>
      </c>
      <c r="B12023" t="s">
        <v>31</v>
      </c>
      <c r="C12023" t="str">
        <f t="shared" si="376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375"/>
        <v>-3</v>
      </c>
    </row>
    <row r="12024" spans="1:8" x14ac:dyDescent="0.2">
      <c r="A12024" t="s">
        <v>19</v>
      </c>
      <c r="B12024" t="s">
        <v>31</v>
      </c>
      <c r="C12024" t="str">
        <f t="shared" si="376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375"/>
        <v>-3</v>
      </c>
    </row>
    <row r="12025" spans="1:8" x14ac:dyDescent="0.2">
      <c r="A12025" t="s">
        <v>18</v>
      </c>
      <c r="B12025" t="s">
        <v>31</v>
      </c>
      <c r="C12025" t="str">
        <f t="shared" si="376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375"/>
        <v>-3</v>
      </c>
    </row>
    <row r="12026" spans="1:8" x14ac:dyDescent="0.2">
      <c r="A12026" t="s">
        <v>18</v>
      </c>
      <c r="B12026" t="s">
        <v>31</v>
      </c>
      <c r="C12026" t="str">
        <f t="shared" si="376"/>
        <v>Cumple</v>
      </c>
      <c r="D12026">
        <v>7597</v>
      </c>
      <c r="E12026" t="s">
        <v>13</v>
      </c>
      <c r="F12026" s="9">
        <v>6</v>
      </c>
      <c r="G12026">
        <v>6</v>
      </c>
      <c r="H12026">
        <f t="shared" si="375"/>
        <v>0</v>
      </c>
    </row>
    <row r="12027" spans="1:8" x14ac:dyDescent="0.2">
      <c r="A12027" t="s">
        <v>19</v>
      </c>
      <c r="B12027" t="s">
        <v>31</v>
      </c>
      <c r="C12027" t="str">
        <f t="shared" si="376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375"/>
        <v>-3</v>
      </c>
    </row>
    <row r="12028" spans="1:8" x14ac:dyDescent="0.2">
      <c r="A12028" t="s">
        <v>18</v>
      </c>
      <c r="B12028" t="s">
        <v>31</v>
      </c>
      <c r="C12028" t="str">
        <f t="shared" si="376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375"/>
        <v>-3</v>
      </c>
    </row>
    <row r="12029" spans="1:8" x14ac:dyDescent="0.2">
      <c r="A12029" t="s">
        <v>18</v>
      </c>
      <c r="B12029" t="s">
        <v>31</v>
      </c>
      <c r="C12029" t="str">
        <f t="shared" si="376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375"/>
        <v>-3</v>
      </c>
    </row>
    <row r="12030" spans="1:8" x14ac:dyDescent="0.2">
      <c r="A12030" t="s">
        <v>19</v>
      </c>
      <c r="B12030" t="s">
        <v>31</v>
      </c>
      <c r="C12030" t="str">
        <f t="shared" si="376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375"/>
        <v>-3</v>
      </c>
    </row>
    <row r="12031" spans="1:8" x14ac:dyDescent="0.2">
      <c r="A12031" t="s">
        <v>7</v>
      </c>
      <c r="B12031" t="s">
        <v>31</v>
      </c>
      <c r="C12031" t="str">
        <f t="shared" si="376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375"/>
        <v>-3</v>
      </c>
    </row>
    <row r="12032" spans="1:8" x14ac:dyDescent="0.2">
      <c r="A12032" t="s">
        <v>7</v>
      </c>
      <c r="B12032" t="s">
        <v>31</v>
      </c>
      <c r="C12032" t="str">
        <f t="shared" si="376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375"/>
        <v>-3</v>
      </c>
    </row>
    <row r="12033" spans="1:8" x14ac:dyDescent="0.2">
      <c r="A12033" t="s">
        <v>7</v>
      </c>
      <c r="B12033" t="s">
        <v>31</v>
      </c>
      <c r="C12033" t="str">
        <f t="shared" si="376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375"/>
        <v>-3</v>
      </c>
    </row>
    <row r="12034" spans="1:8" x14ac:dyDescent="0.2">
      <c r="A12034" t="s">
        <v>7</v>
      </c>
      <c r="B12034" t="s">
        <v>31</v>
      </c>
      <c r="C12034" t="str">
        <f t="shared" si="376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375"/>
        <v>-3</v>
      </c>
    </row>
    <row r="12035" spans="1:8" x14ac:dyDescent="0.2">
      <c r="A12035" t="s">
        <v>18</v>
      </c>
      <c r="B12035" t="s">
        <v>31</v>
      </c>
      <c r="C12035" t="str">
        <f t="shared" si="376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ref="H12035:H12098" si="377">F12035-G12035</f>
        <v>-3</v>
      </c>
    </row>
    <row r="12036" spans="1:8" x14ac:dyDescent="0.2">
      <c r="A12036" t="s">
        <v>18</v>
      </c>
      <c r="B12036" t="s">
        <v>31</v>
      </c>
      <c r="C12036" t="str">
        <f t="shared" si="376"/>
        <v>Cumple</v>
      </c>
      <c r="D12036">
        <v>4042</v>
      </c>
      <c r="E12036" t="s">
        <v>13</v>
      </c>
      <c r="F12036" s="9">
        <v>3</v>
      </c>
      <c r="G12036">
        <v>3</v>
      </c>
      <c r="H12036">
        <f t="shared" si="377"/>
        <v>0</v>
      </c>
    </row>
    <row r="12037" spans="1:8" x14ac:dyDescent="0.2">
      <c r="A12037" t="s">
        <v>18</v>
      </c>
      <c r="B12037" t="s">
        <v>31</v>
      </c>
      <c r="C12037" t="str">
        <f t="shared" ref="C12037:C12100" si="378">IF(H12037&gt;=0,"Cumple","No cumple")</f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377"/>
        <v>-3</v>
      </c>
    </row>
    <row r="12038" spans="1:8" x14ac:dyDescent="0.2">
      <c r="A12038" t="s">
        <v>7</v>
      </c>
      <c r="B12038" t="s">
        <v>31</v>
      </c>
      <c r="C12038" t="str">
        <f t="shared" si="378"/>
        <v>Cumple</v>
      </c>
      <c r="D12038">
        <v>2726</v>
      </c>
      <c r="E12038" t="s">
        <v>15</v>
      </c>
      <c r="F12038">
        <v>34</v>
      </c>
      <c r="G12038">
        <v>6</v>
      </c>
      <c r="H12038">
        <f t="shared" si="377"/>
        <v>28</v>
      </c>
    </row>
    <row r="12039" spans="1:8" x14ac:dyDescent="0.2">
      <c r="A12039" t="s">
        <v>7</v>
      </c>
      <c r="B12039" t="s">
        <v>31</v>
      </c>
      <c r="C12039" t="str">
        <f t="shared" si="378"/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si="377"/>
        <v>24</v>
      </c>
    </row>
    <row r="12040" spans="1:8" x14ac:dyDescent="0.2">
      <c r="A12040" t="s">
        <v>7</v>
      </c>
      <c r="B12040" t="s">
        <v>31</v>
      </c>
      <c r="C12040" t="str">
        <f t="shared" si="378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377"/>
        <v>17</v>
      </c>
    </row>
    <row r="12041" spans="1:8" x14ac:dyDescent="0.2">
      <c r="A12041" t="s">
        <v>7</v>
      </c>
      <c r="B12041" t="s">
        <v>31</v>
      </c>
      <c r="C12041" t="str">
        <f t="shared" si="378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377"/>
        <v>13</v>
      </c>
    </row>
    <row r="12042" spans="1:8" x14ac:dyDescent="0.2">
      <c r="A12042" t="s">
        <v>7</v>
      </c>
      <c r="B12042" t="s">
        <v>31</v>
      </c>
      <c r="C12042" t="str">
        <f t="shared" si="378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377"/>
        <v>12</v>
      </c>
    </row>
    <row r="12043" spans="1:8" x14ac:dyDescent="0.2">
      <c r="A12043" t="s">
        <v>7</v>
      </c>
      <c r="B12043" t="s">
        <v>31</v>
      </c>
      <c r="C12043" t="str">
        <f t="shared" si="378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377"/>
        <v>11</v>
      </c>
    </row>
    <row r="12044" spans="1:8" x14ac:dyDescent="0.2">
      <c r="A12044" t="s">
        <v>7</v>
      </c>
      <c r="B12044" t="s">
        <v>31</v>
      </c>
      <c r="C12044" t="str">
        <f t="shared" si="378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377"/>
        <v>9</v>
      </c>
    </row>
    <row r="12045" spans="1:8" x14ac:dyDescent="0.2">
      <c r="A12045" t="s">
        <v>7</v>
      </c>
      <c r="B12045" t="s">
        <v>31</v>
      </c>
      <c r="C12045" t="str">
        <f t="shared" si="378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377"/>
        <v>9</v>
      </c>
    </row>
    <row r="12046" spans="1:8" x14ac:dyDescent="0.2">
      <c r="A12046" t="s">
        <v>7</v>
      </c>
      <c r="B12046" t="s">
        <v>31</v>
      </c>
      <c r="C12046" t="str">
        <f t="shared" si="378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377"/>
        <v>8</v>
      </c>
    </row>
    <row r="12047" spans="1:8" x14ac:dyDescent="0.2">
      <c r="A12047" t="s">
        <v>7</v>
      </c>
      <c r="B12047" t="s">
        <v>31</v>
      </c>
      <c r="C12047" t="str">
        <f t="shared" si="378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377"/>
        <v>8</v>
      </c>
    </row>
    <row r="12048" spans="1:8" x14ac:dyDescent="0.2">
      <c r="A12048" t="s">
        <v>7</v>
      </c>
      <c r="B12048" t="s">
        <v>31</v>
      </c>
      <c r="C12048" t="str">
        <f t="shared" si="378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377"/>
        <v>7</v>
      </c>
    </row>
    <row r="12049" spans="1:8" x14ac:dyDescent="0.2">
      <c r="A12049" t="s">
        <v>7</v>
      </c>
      <c r="B12049" t="s">
        <v>31</v>
      </c>
      <c r="C12049" t="str">
        <f t="shared" si="378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377"/>
        <v>7</v>
      </c>
    </row>
    <row r="12050" spans="1:8" x14ac:dyDescent="0.2">
      <c r="A12050" t="s">
        <v>7</v>
      </c>
      <c r="B12050" t="s">
        <v>31</v>
      </c>
      <c r="C12050" t="str">
        <f t="shared" si="378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377"/>
        <v>7</v>
      </c>
    </row>
    <row r="12051" spans="1:8" x14ac:dyDescent="0.2">
      <c r="A12051" t="s">
        <v>7</v>
      </c>
      <c r="B12051" t="s">
        <v>31</v>
      </c>
      <c r="C12051" t="str">
        <f t="shared" si="378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377"/>
        <v>6</v>
      </c>
    </row>
    <row r="12052" spans="1:8" x14ac:dyDescent="0.2">
      <c r="A12052" t="s">
        <v>7</v>
      </c>
      <c r="B12052" t="s">
        <v>31</v>
      </c>
      <c r="C12052" t="str">
        <f t="shared" si="378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377"/>
        <v>5</v>
      </c>
    </row>
    <row r="12053" spans="1:8" x14ac:dyDescent="0.2">
      <c r="A12053" t="s">
        <v>7</v>
      </c>
      <c r="B12053" t="s">
        <v>31</v>
      </c>
      <c r="C12053" t="str">
        <f t="shared" si="378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377"/>
        <v>5</v>
      </c>
    </row>
    <row r="12054" spans="1:8" x14ac:dyDescent="0.2">
      <c r="A12054" t="s">
        <v>7</v>
      </c>
      <c r="B12054" t="s">
        <v>31</v>
      </c>
      <c r="C12054" t="str">
        <f t="shared" si="378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377"/>
        <v>5</v>
      </c>
    </row>
    <row r="12055" spans="1:8" x14ac:dyDescent="0.2">
      <c r="A12055" t="s">
        <v>7</v>
      </c>
      <c r="B12055" t="s">
        <v>31</v>
      </c>
      <c r="C12055" t="str">
        <f t="shared" si="378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377"/>
        <v>3</v>
      </c>
    </row>
    <row r="12056" spans="1:8" x14ac:dyDescent="0.2">
      <c r="A12056" t="s">
        <v>7</v>
      </c>
      <c r="B12056" t="s">
        <v>31</v>
      </c>
      <c r="C12056" t="str">
        <f t="shared" si="378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377"/>
        <v>3</v>
      </c>
    </row>
    <row r="12057" spans="1:8" x14ac:dyDescent="0.2">
      <c r="A12057" t="s">
        <v>7</v>
      </c>
      <c r="B12057" t="s">
        <v>31</v>
      </c>
      <c r="C12057" t="str">
        <f t="shared" si="378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377"/>
        <v>3</v>
      </c>
    </row>
    <row r="12058" spans="1:8" x14ac:dyDescent="0.2">
      <c r="A12058" t="s">
        <v>7</v>
      </c>
      <c r="B12058" t="s">
        <v>31</v>
      </c>
      <c r="C12058" t="str">
        <f t="shared" si="378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377"/>
        <v>3</v>
      </c>
    </row>
    <row r="12059" spans="1:8" x14ac:dyDescent="0.2">
      <c r="A12059" t="s">
        <v>7</v>
      </c>
      <c r="B12059" t="s">
        <v>31</v>
      </c>
      <c r="C12059" t="str">
        <f t="shared" si="378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377"/>
        <v>2</v>
      </c>
    </row>
    <row r="12060" spans="1:8" x14ac:dyDescent="0.2">
      <c r="A12060" t="s">
        <v>7</v>
      </c>
      <c r="B12060" t="s">
        <v>31</v>
      </c>
      <c r="C12060" t="str">
        <f t="shared" si="378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377"/>
        <v>2</v>
      </c>
    </row>
    <row r="12061" spans="1:8" x14ac:dyDescent="0.2">
      <c r="A12061" t="s">
        <v>7</v>
      </c>
      <c r="B12061" t="s">
        <v>31</v>
      </c>
      <c r="C12061" t="str">
        <f t="shared" si="378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377"/>
        <v>2</v>
      </c>
    </row>
    <row r="12062" spans="1:8" x14ac:dyDescent="0.2">
      <c r="A12062" t="s">
        <v>7</v>
      </c>
      <c r="B12062" t="s">
        <v>31</v>
      </c>
      <c r="C12062" t="str">
        <f t="shared" si="378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377"/>
        <v>2</v>
      </c>
    </row>
    <row r="12063" spans="1:8" x14ac:dyDescent="0.2">
      <c r="A12063" t="s">
        <v>7</v>
      </c>
      <c r="B12063" t="s">
        <v>31</v>
      </c>
      <c r="C12063" t="str">
        <f t="shared" si="378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377"/>
        <v>2</v>
      </c>
    </row>
    <row r="12064" spans="1:8" x14ac:dyDescent="0.2">
      <c r="A12064" t="s">
        <v>7</v>
      </c>
      <c r="B12064" t="s">
        <v>31</v>
      </c>
      <c r="C12064" t="str">
        <f t="shared" si="378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377"/>
        <v>1</v>
      </c>
    </row>
    <row r="12065" spans="1:8" x14ac:dyDescent="0.2">
      <c r="A12065" t="s">
        <v>7</v>
      </c>
      <c r="B12065" t="s">
        <v>31</v>
      </c>
      <c r="C12065" t="str">
        <f t="shared" si="378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377"/>
        <v>1</v>
      </c>
    </row>
    <row r="12066" spans="1:8" x14ac:dyDescent="0.2">
      <c r="A12066" t="s">
        <v>7</v>
      </c>
      <c r="B12066" t="s">
        <v>31</v>
      </c>
      <c r="C12066" t="str">
        <f t="shared" si="378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377"/>
        <v>1</v>
      </c>
    </row>
    <row r="12067" spans="1:8" x14ac:dyDescent="0.2">
      <c r="A12067" t="s">
        <v>7</v>
      </c>
      <c r="B12067" t="s">
        <v>31</v>
      </c>
      <c r="C12067" t="str">
        <f t="shared" si="378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377"/>
        <v>0</v>
      </c>
    </row>
    <row r="12068" spans="1:8" x14ac:dyDescent="0.2">
      <c r="A12068" t="s">
        <v>7</v>
      </c>
      <c r="B12068" t="s">
        <v>31</v>
      </c>
      <c r="C12068" t="str">
        <f t="shared" si="378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377"/>
        <v>0</v>
      </c>
    </row>
    <row r="12069" spans="1:8" x14ac:dyDescent="0.2">
      <c r="A12069" t="s">
        <v>7</v>
      </c>
      <c r="B12069" t="s">
        <v>31</v>
      </c>
      <c r="C12069" t="str">
        <f t="shared" si="378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377"/>
        <v>0</v>
      </c>
    </row>
    <row r="12070" spans="1:8" x14ac:dyDescent="0.2">
      <c r="A12070" t="s">
        <v>7</v>
      </c>
      <c r="B12070" t="s">
        <v>31</v>
      </c>
      <c r="C12070" t="str">
        <f t="shared" si="378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377"/>
        <v>0</v>
      </c>
    </row>
    <row r="12071" spans="1:8" x14ac:dyDescent="0.2">
      <c r="A12071" t="s">
        <v>7</v>
      </c>
      <c r="B12071" t="s">
        <v>31</v>
      </c>
      <c r="C12071" t="str">
        <f t="shared" si="378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377"/>
        <v>0</v>
      </c>
    </row>
    <row r="12072" spans="1:8" x14ac:dyDescent="0.2">
      <c r="A12072" t="s">
        <v>7</v>
      </c>
      <c r="B12072" t="s">
        <v>31</v>
      </c>
      <c r="C12072" t="str">
        <f t="shared" si="378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377"/>
        <v>-1</v>
      </c>
    </row>
    <row r="12073" spans="1:8" x14ac:dyDescent="0.2">
      <c r="A12073" t="s">
        <v>7</v>
      </c>
      <c r="B12073" t="s">
        <v>31</v>
      </c>
      <c r="C12073" t="str">
        <f t="shared" si="378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377"/>
        <v>-1</v>
      </c>
    </row>
    <row r="12074" spans="1:8" x14ac:dyDescent="0.2">
      <c r="A12074" t="s">
        <v>7</v>
      </c>
      <c r="B12074" t="s">
        <v>31</v>
      </c>
      <c r="C12074" t="str">
        <f t="shared" si="378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377"/>
        <v>-1</v>
      </c>
    </row>
    <row r="12075" spans="1:8" x14ac:dyDescent="0.2">
      <c r="A12075" t="s">
        <v>7</v>
      </c>
      <c r="B12075" t="s">
        <v>31</v>
      </c>
      <c r="C12075" t="str">
        <f t="shared" si="378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377"/>
        <v>-1</v>
      </c>
    </row>
    <row r="12076" spans="1:8" x14ac:dyDescent="0.2">
      <c r="A12076" t="s">
        <v>7</v>
      </c>
      <c r="B12076" t="s">
        <v>31</v>
      </c>
      <c r="C12076" t="str">
        <f t="shared" si="378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377"/>
        <v>-2</v>
      </c>
    </row>
    <row r="12077" spans="1:8" x14ac:dyDescent="0.2">
      <c r="A12077" t="s">
        <v>7</v>
      </c>
      <c r="B12077" t="s">
        <v>31</v>
      </c>
      <c r="C12077" t="str">
        <f t="shared" si="378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377"/>
        <v>-2</v>
      </c>
    </row>
    <row r="12078" spans="1:8" x14ac:dyDescent="0.2">
      <c r="A12078" t="s">
        <v>7</v>
      </c>
      <c r="B12078" t="s">
        <v>31</v>
      </c>
      <c r="C12078" t="str">
        <f t="shared" si="378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377"/>
        <v>-2</v>
      </c>
    </row>
    <row r="12079" spans="1:8" x14ac:dyDescent="0.2">
      <c r="A12079" t="s">
        <v>7</v>
      </c>
      <c r="B12079" t="s">
        <v>31</v>
      </c>
      <c r="C12079" t="str">
        <f t="shared" si="378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377"/>
        <v>-2</v>
      </c>
    </row>
    <row r="12080" spans="1:8" x14ac:dyDescent="0.2">
      <c r="A12080" t="s">
        <v>7</v>
      </c>
      <c r="B12080" t="s">
        <v>31</v>
      </c>
      <c r="C12080" t="str">
        <f t="shared" si="378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377"/>
        <v>-2</v>
      </c>
    </row>
    <row r="12081" spans="1:8" x14ac:dyDescent="0.2">
      <c r="A12081" t="s">
        <v>7</v>
      </c>
      <c r="B12081" t="s">
        <v>31</v>
      </c>
      <c r="C12081" t="str">
        <f t="shared" si="378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377"/>
        <v>-3</v>
      </c>
    </row>
    <row r="12082" spans="1:8" x14ac:dyDescent="0.2">
      <c r="A12082" t="s">
        <v>7</v>
      </c>
      <c r="B12082" t="s">
        <v>31</v>
      </c>
      <c r="C12082" t="str">
        <f t="shared" si="378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377"/>
        <v>-3</v>
      </c>
    </row>
    <row r="12083" spans="1:8" x14ac:dyDescent="0.2">
      <c r="A12083" t="s">
        <v>7</v>
      </c>
      <c r="B12083" t="s">
        <v>31</v>
      </c>
      <c r="C12083" t="str">
        <f t="shared" si="378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377"/>
        <v>-3</v>
      </c>
    </row>
    <row r="12084" spans="1:8" x14ac:dyDescent="0.2">
      <c r="A12084" t="s">
        <v>7</v>
      </c>
      <c r="B12084" t="s">
        <v>31</v>
      </c>
      <c r="C12084" t="str">
        <f t="shared" si="378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377"/>
        <v>-3</v>
      </c>
    </row>
    <row r="12085" spans="1:8" x14ac:dyDescent="0.2">
      <c r="A12085" t="s">
        <v>7</v>
      </c>
      <c r="B12085" t="s">
        <v>31</v>
      </c>
      <c r="C12085" t="str">
        <f t="shared" si="378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377"/>
        <v>-3</v>
      </c>
    </row>
    <row r="12086" spans="1:8" x14ac:dyDescent="0.2">
      <c r="A12086" t="s">
        <v>7</v>
      </c>
      <c r="B12086" t="s">
        <v>31</v>
      </c>
      <c r="C12086" t="str">
        <f t="shared" si="378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377"/>
        <v>-3</v>
      </c>
    </row>
    <row r="12087" spans="1:8" x14ac:dyDescent="0.2">
      <c r="A12087" t="s">
        <v>7</v>
      </c>
      <c r="B12087" t="s">
        <v>31</v>
      </c>
      <c r="C12087" t="str">
        <f t="shared" si="378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377"/>
        <v>-3</v>
      </c>
    </row>
    <row r="12088" spans="1:8" x14ac:dyDescent="0.2">
      <c r="A12088" t="s">
        <v>7</v>
      </c>
      <c r="B12088" t="s">
        <v>31</v>
      </c>
      <c r="C12088" t="str">
        <f t="shared" si="378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377"/>
        <v>-4</v>
      </c>
    </row>
    <row r="12089" spans="1:8" x14ac:dyDescent="0.2">
      <c r="A12089" t="s">
        <v>7</v>
      </c>
      <c r="B12089" t="s">
        <v>31</v>
      </c>
      <c r="C12089" t="str">
        <f t="shared" si="378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377"/>
        <v>-4</v>
      </c>
    </row>
    <row r="12090" spans="1:8" x14ac:dyDescent="0.2">
      <c r="A12090" t="s">
        <v>7</v>
      </c>
      <c r="B12090" t="s">
        <v>31</v>
      </c>
      <c r="C12090" t="str">
        <f t="shared" si="378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377"/>
        <v>-4</v>
      </c>
    </row>
    <row r="12091" spans="1:8" x14ac:dyDescent="0.2">
      <c r="A12091" t="s">
        <v>7</v>
      </c>
      <c r="B12091" t="s">
        <v>31</v>
      </c>
      <c r="C12091" t="str">
        <f t="shared" si="378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377"/>
        <v>-4</v>
      </c>
    </row>
    <row r="12092" spans="1:8" x14ac:dyDescent="0.2">
      <c r="A12092" t="s">
        <v>7</v>
      </c>
      <c r="B12092" t="s">
        <v>31</v>
      </c>
      <c r="C12092" t="str">
        <f t="shared" si="378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377"/>
        <v>-4</v>
      </c>
    </row>
    <row r="12093" spans="1:8" x14ac:dyDescent="0.2">
      <c r="A12093" t="s">
        <v>7</v>
      </c>
      <c r="B12093" t="s">
        <v>31</v>
      </c>
      <c r="C12093" t="str">
        <f t="shared" si="378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377"/>
        <v>-5</v>
      </c>
    </row>
    <row r="12094" spans="1:8" x14ac:dyDescent="0.2">
      <c r="A12094" t="s">
        <v>7</v>
      </c>
      <c r="B12094" t="s">
        <v>31</v>
      </c>
      <c r="C12094" t="str">
        <f t="shared" si="378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377"/>
        <v>-5</v>
      </c>
    </row>
    <row r="12095" spans="1:8" x14ac:dyDescent="0.2">
      <c r="A12095" t="s">
        <v>7</v>
      </c>
      <c r="B12095" t="s">
        <v>31</v>
      </c>
      <c r="C12095" t="str">
        <f t="shared" si="378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377"/>
        <v>-5</v>
      </c>
    </row>
    <row r="12096" spans="1:8" x14ac:dyDescent="0.2">
      <c r="A12096" t="s">
        <v>7</v>
      </c>
      <c r="B12096" t="s">
        <v>31</v>
      </c>
      <c r="C12096" t="str">
        <f t="shared" si="378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377"/>
        <v>-5</v>
      </c>
    </row>
    <row r="12097" spans="1:8" x14ac:dyDescent="0.2">
      <c r="A12097" t="s">
        <v>7</v>
      </c>
      <c r="B12097" t="s">
        <v>31</v>
      </c>
      <c r="C12097" t="str">
        <f t="shared" si="378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377"/>
        <v>-5</v>
      </c>
    </row>
    <row r="12098" spans="1:8" x14ac:dyDescent="0.2">
      <c r="A12098" t="s">
        <v>7</v>
      </c>
      <c r="B12098" t="s">
        <v>31</v>
      </c>
      <c r="C12098" t="str">
        <f t="shared" si="378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377"/>
        <v>-5</v>
      </c>
    </row>
    <row r="12099" spans="1:8" x14ac:dyDescent="0.2">
      <c r="A12099" t="s">
        <v>7</v>
      </c>
      <c r="B12099" t="s">
        <v>31</v>
      </c>
      <c r="C12099" t="str">
        <f t="shared" si="378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ref="H12099:H12162" si="379">F12099-G12099</f>
        <v>-5</v>
      </c>
    </row>
    <row r="12100" spans="1:8" x14ac:dyDescent="0.2">
      <c r="A12100" t="s">
        <v>7</v>
      </c>
      <c r="B12100" t="s">
        <v>31</v>
      </c>
      <c r="C12100" t="str">
        <f t="shared" si="378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379"/>
        <v>-5</v>
      </c>
    </row>
    <row r="12101" spans="1:8" x14ac:dyDescent="0.2">
      <c r="A12101" t="s">
        <v>7</v>
      </c>
      <c r="B12101" t="s">
        <v>31</v>
      </c>
      <c r="C12101" t="str">
        <f t="shared" ref="C12101:C12164" si="380">IF(H12101&gt;=0,"Cumple","No cumple")</f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379"/>
        <v>-5</v>
      </c>
    </row>
    <row r="12102" spans="1:8" x14ac:dyDescent="0.2">
      <c r="A12102" t="s">
        <v>7</v>
      </c>
      <c r="B12102" t="s">
        <v>31</v>
      </c>
      <c r="C12102" t="str">
        <f t="shared" si="380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379"/>
        <v>-5</v>
      </c>
    </row>
    <row r="12103" spans="1:8" x14ac:dyDescent="0.2">
      <c r="A12103" t="s">
        <v>7</v>
      </c>
      <c r="B12103" t="s">
        <v>31</v>
      </c>
      <c r="C12103" t="str">
        <f t="shared" si="380"/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si="379"/>
        <v>-5</v>
      </c>
    </row>
    <row r="12104" spans="1:8" x14ac:dyDescent="0.2">
      <c r="A12104" t="s">
        <v>7</v>
      </c>
      <c r="B12104" t="s">
        <v>31</v>
      </c>
      <c r="C12104" t="str">
        <f t="shared" si="380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379"/>
        <v>-5</v>
      </c>
    </row>
    <row r="12105" spans="1:8" x14ac:dyDescent="0.2">
      <c r="A12105" t="s">
        <v>7</v>
      </c>
      <c r="B12105" t="s">
        <v>31</v>
      </c>
      <c r="C12105" t="str">
        <f t="shared" si="380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379"/>
        <v>-5</v>
      </c>
    </row>
    <row r="12106" spans="1:8" x14ac:dyDescent="0.2">
      <c r="A12106" t="s">
        <v>7</v>
      </c>
      <c r="B12106" t="s">
        <v>31</v>
      </c>
      <c r="C12106" t="str">
        <f t="shared" si="380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379"/>
        <v>-6</v>
      </c>
    </row>
    <row r="12107" spans="1:8" x14ac:dyDescent="0.2">
      <c r="A12107" t="s">
        <v>7</v>
      </c>
      <c r="B12107" t="s">
        <v>31</v>
      </c>
      <c r="C12107" t="str">
        <f t="shared" si="380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379"/>
        <v>-6</v>
      </c>
    </row>
    <row r="12108" spans="1:8" x14ac:dyDescent="0.2">
      <c r="A12108" t="s">
        <v>7</v>
      </c>
      <c r="B12108" t="s">
        <v>31</v>
      </c>
      <c r="C12108" t="str">
        <f t="shared" si="380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379"/>
        <v>-6</v>
      </c>
    </row>
    <row r="12109" spans="1:8" x14ac:dyDescent="0.2">
      <c r="A12109" t="s">
        <v>7</v>
      </c>
      <c r="B12109" t="s">
        <v>31</v>
      </c>
      <c r="C12109" t="str">
        <f t="shared" si="380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379"/>
        <v>-6</v>
      </c>
    </row>
    <row r="12110" spans="1:8" x14ac:dyDescent="0.2">
      <c r="A12110" t="s">
        <v>7</v>
      </c>
      <c r="B12110" t="s">
        <v>31</v>
      </c>
      <c r="C12110" t="str">
        <f t="shared" si="380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379"/>
        <v>-6</v>
      </c>
    </row>
    <row r="12111" spans="1:8" x14ac:dyDescent="0.2">
      <c r="A12111" t="s">
        <v>7</v>
      </c>
      <c r="B12111" t="s">
        <v>31</v>
      </c>
      <c r="C12111" t="str">
        <f t="shared" si="380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379"/>
        <v>-6</v>
      </c>
    </row>
    <row r="12112" spans="1:8" x14ac:dyDescent="0.2">
      <c r="A12112" t="s">
        <v>7</v>
      </c>
      <c r="B12112" t="s">
        <v>31</v>
      </c>
      <c r="C12112" t="str">
        <f t="shared" si="380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379"/>
        <v>-6</v>
      </c>
    </row>
    <row r="12113" spans="1:8" x14ac:dyDescent="0.2">
      <c r="A12113" t="s">
        <v>7</v>
      </c>
      <c r="B12113" t="s">
        <v>31</v>
      </c>
      <c r="C12113" t="str">
        <f t="shared" si="380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379"/>
        <v>-6</v>
      </c>
    </row>
    <row r="12114" spans="1:8" x14ac:dyDescent="0.2">
      <c r="A12114" t="s">
        <v>7</v>
      </c>
      <c r="B12114" t="s">
        <v>31</v>
      </c>
      <c r="C12114" t="str">
        <f t="shared" si="380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379"/>
        <v>-6</v>
      </c>
    </row>
    <row r="12115" spans="1:8" x14ac:dyDescent="0.2">
      <c r="A12115" t="s">
        <v>7</v>
      </c>
      <c r="B12115" t="s">
        <v>31</v>
      </c>
      <c r="C12115" t="str">
        <f t="shared" si="380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379"/>
        <v>-6</v>
      </c>
    </row>
    <row r="12116" spans="1:8" x14ac:dyDescent="0.2">
      <c r="A12116" t="s">
        <v>7</v>
      </c>
      <c r="B12116" t="s">
        <v>31</v>
      </c>
      <c r="C12116" t="str">
        <f t="shared" si="380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379"/>
        <v>-6</v>
      </c>
    </row>
    <row r="12117" spans="1:8" x14ac:dyDescent="0.2">
      <c r="A12117" t="s">
        <v>7</v>
      </c>
      <c r="B12117" t="s">
        <v>31</v>
      </c>
      <c r="C12117" t="str">
        <f t="shared" si="380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379"/>
        <v>-6</v>
      </c>
    </row>
    <row r="12118" spans="1:8" x14ac:dyDescent="0.2">
      <c r="A12118" t="s">
        <v>7</v>
      </c>
      <c r="B12118" t="s">
        <v>31</v>
      </c>
      <c r="C12118" t="str">
        <f t="shared" si="380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379"/>
        <v>-6</v>
      </c>
    </row>
    <row r="12119" spans="1:8" x14ac:dyDescent="0.2">
      <c r="A12119" t="s">
        <v>7</v>
      </c>
      <c r="B12119" t="s">
        <v>31</v>
      </c>
      <c r="C12119" t="str">
        <f t="shared" si="380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379"/>
        <v>-6</v>
      </c>
    </row>
    <row r="12120" spans="1:8" x14ac:dyDescent="0.2">
      <c r="A12120" t="s">
        <v>7</v>
      </c>
      <c r="B12120" t="s">
        <v>31</v>
      </c>
      <c r="C12120" t="str">
        <f t="shared" si="380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379"/>
        <v>-6</v>
      </c>
    </row>
    <row r="12121" spans="1:8" x14ac:dyDescent="0.2">
      <c r="A12121" t="s">
        <v>7</v>
      </c>
      <c r="B12121" t="s">
        <v>31</v>
      </c>
      <c r="C12121" t="str">
        <f t="shared" si="380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379"/>
        <v>-6</v>
      </c>
    </row>
    <row r="12122" spans="1:8" x14ac:dyDescent="0.2">
      <c r="A12122" t="s">
        <v>7</v>
      </c>
      <c r="B12122" t="s">
        <v>31</v>
      </c>
      <c r="C12122" t="str">
        <f t="shared" si="380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379"/>
        <v>-6</v>
      </c>
    </row>
    <row r="12123" spans="1:8" x14ac:dyDescent="0.2">
      <c r="A12123" t="s">
        <v>7</v>
      </c>
      <c r="B12123" t="s">
        <v>31</v>
      </c>
      <c r="C12123" t="str">
        <f t="shared" si="380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379"/>
        <v>-6</v>
      </c>
    </row>
    <row r="12124" spans="1:8" x14ac:dyDescent="0.2">
      <c r="A12124" t="s">
        <v>7</v>
      </c>
      <c r="B12124" t="s">
        <v>31</v>
      </c>
      <c r="C12124" t="str">
        <f t="shared" si="380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379"/>
        <v>-6</v>
      </c>
    </row>
    <row r="12125" spans="1:8" x14ac:dyDescent="0.2">
      <c r="A12125" t="s">
        <v>7</v>
      </c>
      <c r="B12125" t="s">
        <v>31</v>
      </c>
      <c r="C12125" t="str">
        <f t="shared" si="380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379"/>
        <v>-6</v>
      </c>
    </row>
    <row r="12126" spans="1:8" x14ac:dyDescent="0.2">
      <c r="A12126" t="s">
        <v>7</v>
      </c>
      <c r="B12126" t="s">
        <v>31</v>
      </c>
      <c r="C12126" t="str">
        <f t="shared" si="380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379"/>
        <v>-6</v>
      </c>
    </row>
    <row r="12127" spans="1:8" x14ac:dyDescent="0.2">
      <c r="A12127" t="s">
        <v>7</v>
      </c>
      <c r="B12127" t="s">
        <v>31</v>
      </c>
      <c r="C12127" t="str">
        <f t="shared" si="380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379"/>
        <v>-6</v>
      </c>
    </row>
    <row r="12128" spans="1:8" x14ac:dyDescent="0.2">
      <c r="A12128" t="s">
        <v>7</v>
      </c>
      <c r="B12128" t="s">
        <v>31</v>
      </c>
      <c r="C12128" t="str">
        <f t="shared" si="380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379"/>
        <v>-6</v>
      </c>
    </row>
    <row r="12129" spans="1:8" x14ac:dyDescent="0.2">
      <c r="A12129" t="s">
        <v>7</v>
      </c>
      <c r="B12129" t="s">
        <v>31</v>
      </c>
      <c r="C12129" t="str">
        <f t="shared" si="380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379"/>
        <v>-6</v>
      </c>
    </row>
    <row r="12130" spans="1:8" x14ac:dyDescent="0.2">
      <c r="A12130" t="s">
        <v>7</v>
      </c>
      <c r="B12130" t="s">
        <v>31</v>
      </c>
      <c r="C12130" t="str">
        <f t="shared" si="380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379"/>
        <v>-6</v>
      </c>
    </row>
    <row r="12131" spans="1:8" x14ac:dyDescent="0.2">
      <c r="A12131" t="s">
        <v>7</v>
      </c>
      <c r="B12131" t="s">
        <v>31</v>
      </c>
      <c r="C12131" t="str">
        <f t="shared" si="380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379"/>
        <v>-6</v>
      </c>
    </row>
    <row r="12132" spans="1:8" x14ac:dyDescent="0.2">
      <c r="A12132" t="s">
        <v>7</v>
      </c>
      <c r="B12132" t="s">
        <v>31</v>
      </c>
      <c r="C12132" t="str">
        <f t="shared" si="380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379"/>
        <v>-6</v>
      </c>
    </row>
    <row r="12133" spans="1:8" x14ac:dyDescent="0.2">
      <c r="A12133" t="s">
        <v>7</v>
      </c>
      <c r="B12133" t="s">
        <v>31</v>
      </c>
      <c r="C12133" t="str">
        <f t="shared" si="380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379"/>
        <v>-6</v>
      </c>
    </row>
    <row r="12134" spans="1:8" x14ac:dyDescent="0.2">
      <c r="A12134" t="s">
        <v>7</v>
      </c>
      <c r="B12134" t="s">
        <v>31</v>
      </c>
      <c r="C12134" t="str">
        <f t="shared" si="380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379"/>
        <v>-6</v>
      </c>
    </row>
    <row r="12135" spans="1:8" x14ac:dyDescent="0.2">
      <c r="A12135" t="s">
        <v>7</v>
      </c>
      <c r="B12135" t="s">
        <v>31</v>
      </c>
      <c r="C12135" t="str">
        <f t="shared" si="380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379"/>
        <v>-6</v>
      </c>
    </row>
    <row r="12136" spans="1:8" x14ac:dyDescent="0.2">
      <c r="A12136" t="s">
        <v>7</v>
      </c>
      <c r="B12136" t="s">
        <v>31</v>
      </c>
      <c r="C12136" t="str">
        <f t="shared" si="380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379"/>
        <v>-6</v>
      </c>
    </row>
    <row r="12137" spans="1:8" x14ac:dyDescent="0.2">
      <c r="A12137" t="s">
        <v>7</v>
      </c>
      <c r="B12137" t="s">
        <v>31</v>
      </c>
      <c r="C12137" t="str">
        <f t="shared" si="380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379"/>
        <v>-6</v>
      </c>
    </row>
    <row r="12138" spans="1:8" x14ac:dyDescent="0.2">
      <c r="A12138" t="s">
        <v>7</v>
      </c>
      <c r="B12138" t="s">
        <v>31</v>
      </c>
      <c r="C12138" t="str">
        <f t="shared" si="380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379"/>
        <v>-6</v>
      </c>
    </row>
    <row r="12139" spans="1:8" x14ac:dyDescent="0.2">
      <c r="A12139" t="s">
        <v>7</v>
      </c>
      <c r="B12139" t="s">
        <v>31</v>
      </c>
      <c r="C12139" t="str">
        <f t="shared" si="380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379"/>
        <v>-6</v>
      </c>
    </row>
    <row r="12140" spans="1:8" x14ac:dyDescent="0.2">
      <c r="A12140" t="s">
        <v>7</v>
      </c>
      <c r="B12140" t="s">
        <v>31</v>
      </c>
      <c r="C12140" t="str">
        <f t="shared" si="380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379"/>
        <v>-6</v>
      </c>
    </row>
    <row r="12141" spans="1:8" x14ac:dyDescent="0.2">
      <c r="A12141" t="s">
        <v>7</v>
      </c>
      <c r="B12141" t="s">
        <v>31</v>
      </c>
      <c r="C12141" t="str">
        <f t="shared" si="380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379"/>
        <v>-6</v>
      </c>
    </row>
    <row r="12142" spans="1:8" x14ac:dyDescent="0.2">
      <c r="A12142" t="s">
        <v>7</v>
      </c>
      <c r="B12142" t="s">
        <v>31</v>
      </c>
      <c r="C12142" t="str">
        <f t="shared" si="380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379"/>
        <v>-6</v>
      </c>
    </row>
    <row r="12143" spans="1:8" x14ac:dyDescent="0.2">
      <c r="A12143" t="s">
        <v>7</v>
      </c>
      <c r="B12143" t="s">
        <v>31</v>
      </c>
      <c r="C12143" t="str">
        <f t="shared" si="380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379"/>
        <v>-6</v>
      </c>
    </row>
    <row r="12144" spans="1:8" x14ac:dyDescent="0.2">
      <c r="A12144" t="s">
        <v>7</v>
      </c>
      <c r="B12144" t="s">
        <v>31</v>
      </c>
      <c r="C12144" t="str">
        <f t="shared" si="380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379"/>
        <v>-6</v>
      </c>
    </row>
    <row r="12145" spans="1:8" x14ac:dyDescent="0.2">
      <c r="A12145" t="s">
        <v>7</v>
      </c>
      <c r="B12145" t="s">
        <v>31</v>
      </c>
      <c r="C12145" t="str">
        <f t="shared" si="380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379"/>
        <v>-6</v>
      </c>
    </row>
    <row r="12146" spans="1:8" x14ac:dyDescent="0.2">
      <c r="A12146" t="s">
        <v>7</v>
      </c>
      <c r="B12146" t="s">
        <v>31</v>
      </c>
      <c r="C12146" t="str">
        <f t="shared" si="380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379"/>
        <v>-6</v>
      </c>
    </row>
    <row r="12147" spans="1:8" x14ac:dyDescent="0.2">
      <c r="A12147" t="s">
        <v>7</v>
      </c>
      <c r="B12147" t="s">
        <v>31</v>
      </c>
      <c r="C12147" t="str">
        <f t="shared" si="380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379"/>
        <v>-6</v>
      </c>
    </row>
    <row r="12148" spans="1:8" x14ac:dyDescent="0.2">
      <c r="A12148" t="s">
        <v>7</v>
      </c>
      <c r="B12148" t="s">
        <v>31</v>
      </c>
      <c r="C12148" t="str">
        <f t="shared" si="380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379"/>
        <v>-6</v>
      </c>
    </row>
    <row r="12149" spans="1:8" x14ac:dyDescent="0.2">
      <c r="A12149" t="s">
        <v>7</v>
      </c>
      <c r="B12149" t="s">
        <v>31</v>
      </c>
      <c r="C12149" t="str">
        <f t="shared" si="380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379"/>
        <v>-6</v>
      </c>
    </row>
    <row r="12150" spans="1:8" x14ac:dyDescent="0.2">
      <c r="A12150" t="s">
        <v>7</v>
      </c>
      <c r="B12150" t="s">
        <v>31</v>
      </c>
      <c r="C12150" t="str">
        <f t="shared" si="380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379"/>
        <v>-6</v>
      </c>
    </row>
    <row r="12151" spans="1:8" x14ac:dyDescent="0.2">
      <c r="A12151" t="s">
        <v>7</v>
      </c>
      <c r="B12151" t="s">
        <v>31</v>
      </c>
      <c r="C12151" t="str">
        <f t="shared" si="380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379"/>
        <v>-6</v>
      </c>
    </row>
    <row r="12152" spans="1:8" x14ac:dyDescent="0.2">
      <c r="A12152" t="s">
        <v>7</v>
      </c>
      <c r="B12152" t="s">
        <v>31</v>
      </c>
      <c r="C12152" t="str">
        <f t="shared" si="380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379"/>
        <v>-6</v>
      </c>
    </row>
    <row r="12153" spans="1:8" x14ac:dyDescent="0.2">
      <c r="A12153" t="s">
        <v>7</v>
      </c>
      <c r="B12153" t="s">
        <v>31</v>
      </c>
      <c r="C12153" t="str">
        <f t="shared" si="380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379"/>
        <v>-6</v>
      </c>
    </row>
    <row r="12154" spans="1:8" x14ac:dyDescent="0.2">
      <c r="A12154" t="s">
        <v>7</v>
      </c>
      <c r="B12154" t="s">
        <v>31</v>
      </c>
      <c r="C12154" t="str">
        <f t="shared" si="380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379"/>
        <v>-6</v>
      </c>
    </row>
    <row r="12155" spans="1:8" x14ac:dyDescent="0.2">
      <c r="A12155" t="s">
        <v>7</v>
      </c>
      <c r="B12155" t="s">
        <v>31</v>
      </c>
      <c r="C12155" t="str">
        <f t="shared" si="380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379"/>
        <v>-6</v>
      </c>
    </row>
    <row r="12156" spans="1:8" x14ac:dyDescent="0.2">
      <c r="A12156" t="s">
        <v>19</v>
      </c>
      <c r="B12156" t="s">
        <v>31</v>
      </c>
      <c r="C12156" t="str">
        <f t="shared" si="380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379"/>
        <v>-6</v>
      </c>
    </row>
    <row r="12157" spans="1:8" x14ac:dyDescent="0.2">
      <c r="A12157" t="s">
        <v>19</v>
      </c>
      <c r="B12157" t="s">
        <v>31</v>
      </c>
      <c r="C12157" t="str">
        <f t="shared" si="380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379"/>
        <v>-6</v>
      </c>
    </row>
    <row r="12158" spans="1:8" x14ac:dyDescent="0.2">
      <c r="A12158" t="s">
        <v>7</v>
      </c>
      <c r="B12158" t="s">
        <v>32</v>
      </c>
      <c r="C12158" t="str">
        <f t="shared" si="380"/>
        <v>Cumple</v>
      </c>
      <c r="D12158">
        <v>9214</v>
      </c>
      <c r="E12158" t="s">
        <v>8</v>
      </c>
      <c r="F12158">
        <v>27</v>
      </c>
      <c r="G12158">
        <v>8</v>
      </c>
      <c r="H12158">
        <f t="shared" si="379"/>
        <v>19</v>
      </c>
    </row>
    <row r="12159" spans="1:8" x14ac:dyDescent="0.2">
      <c r="A12159" t="s">
        <v>7</v>
      </c>
      <c r="B12159" t="s">
        <v>32</v>
      </c>
      <c r="C12159" t="str">
        <f t="shared" si="380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si="379"/>
        <v>14</v>
      </c>
    </row>
    <row r="12160" spans="1:8" x14ac:dyDescent="0.2">
      <c r="A12160" t="s">
        <v>7</v>
      </c>
      <c r="B12160" t="s">
        <v>32</v>
      </c>
      <c r="C12160" t="str">
        <f t="shared" si="380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379"/>
        <v>13</v>
      </c>
    </row>
    <row r="12161" spans="1:8" x14ac:dyDescent="0.2">
      <c r="A12161" t="s">
        <v>7</v>
      </c>
      <c r="B12161" t="s">
        <v>32</v>
      </c>
      <c r="C12161" t="str">
        <f t="shared" si="380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379"/>
        <v>13</v>
      </c>
    </row>
    <row r="12162" spans="1:8" x14ac:dyDescent="0.2">
      <c r="A12162" t="s">
        <v>7</v>
      </c>
      <c r="B12162" t="s">
        <v>32</v>
      </c>
      <c r="C12162" t="str">
        <f t="shared" si="380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379"/>
        <v>11</v>
      </c>
    </row>
    <row r="12163" spans="1:8" x14ac:dyDescent="0.2">
      <c r="A12163" t="s">
        <v>7</v>
      </c>
      <c r="B12163" t="s">
        <v>32</v>
      </c>
      <c r="C12163" t="str">
        <f t="shared" si="380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ref="H12163:H12226" si="381">F12163-G12163</f>
        <v>11</v>
      </c>
    </row>
    <row r="12164" spans="1:8" x14ac:dyDescent="0.2">
      <c r="A12164" t="s">
        <v>7</v>
      </c>
      <c r="B12164" t="s">
        <v>32</v>
      </c>
      <c r="C12164" t="str">
        <f t="shared" si="380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381"/>
        <v>10</v>
      </c>
    </row>
    <row r="12165" spans="1:8" x14ac:dyDescent="0.2">
      <c r="A12165" t="s">
        <v>7</v>
      </c>
      <c r="B12165" t="s">
        <v>32</v>
      </c>
      <c r="C12165" t="str">
        <f t="shared" ref="C12165:C12228" si="382">IF(H12165&gt;=0,"Cumple","No cumple")</f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381"/>
        <v>10</v>
      </c>
    </row>
    <row r="12166" spans="1:8" x14ac:dyDescent="0.2">
      <c r="A12166" t="s">
        <v>7</v>
      </c>
      <c r="B12166" t="s">
        <v>32</v>
      </c>
      <c r="C12166" t="str">
        <f t="shared" si="382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381"/>
        <v>9</v>
      </c>
    </row>
    <row r="12167" spans="1:8" x14ac:dyDescent="0.2">
      <c r="A12167" t="s">
        <v>7</v>
      </c>
      <c r="B12167" t="s">
        <v>32</v>
      </c>
      <c r="C12167" t="str">
        <f t="shared" si="382"/>
        <v>Cumple</v>
      </c>
      <c r="D12167">
        <v>3966</v>
      </c>
      <c r="E12167" t="s">
        <v>8</v>
      </c>
      <c r="F12167">
        <v>27</v>
      </c>
      <c r="G12167">
        <v>6</v>
      </c>
      <c r="H12167">
        <f t="shared" si="381"/>
        <v>21</v>
      </c>
    </row>
    <row r="12168" spans="1:8" x14ac:dyDescent="0.2">
      <c r="A12168" t="s">
        <v>7</v>
      </c>
      <c r="B12168" t="s">
        <v>32</v>
      </c>
      <c r="C12168" t="str">
        <f t="shared" si="382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381"/>
        <v>8</v>
      </c>
    </row>
    <row r="12169" spans="1:8" x14ac:dyDescent="0.2">
      <c r="A12169" t="s">
        <v>7</v>
      </c>
      <c r="B12169" t="s">
        <v>32</v>
      </c>
      <c r="C12169" t="str">
        <f t="shared" si="382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381"/>
        <v>7</v>
      </c>
    </row>
    <row r="12170" spans="1:8" x14ac:dyDescent="0.2">
      <c r="A12170" t="s">
        <v>7</v>
      </c>
      <c r="B12170" t="s">
        <v>32</v>
      </c>
      <c r="C12170" t="str">
        <f t="shared" si="382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381"/>
        <v>7</v>
      </c>
    </row>
    <row r="12171" spans="1:8" x14ac:dyDescent="0.2">
      <c r="A12171" t="s">
        <v>7</v>
      </c>
      <c r="B12171" t="s">
        <v>32</v>
      </c>
      <c r="C12171" t="str">
        <f t="shared" si="382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381"/>
        <v>7</v>
      </c>
    </row>
    <row r="12172" spans="1:8" x14ac:dyDescent="0.2">
      <c r="A12172" t="s">
        <v>7</v>
      </c>
      <c r="B12172" t="s">
        <v>32</v>
      </c>
      <c r="C12172" t="str">
        <f t="shared" si="382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381"/>
        <v>7</v>
      </c>
    </row>
    <row r="12173" spans="1:8" x14ac:dyDescent="0.2">
      <c r="A12173" t="s">
        <v>7</v>
      </c>
      <c r="B12173" t="s">
        <v>32</v>
      </c>
      <c r="C12173" t="str">
        <f t="shared" si="382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381"/>
        <v>7</v>
      </c>
    </row>
    <row r="12174" spans="1:8" x14ac:dyDescent="0.2">
      <c r="A12174" t="s">
        <v>7</v>
      </c>
      <c r="B12174" t="s">
        <v>32</v>
      </c>
      <c r="C12174" t="str">
        <f t="shared" si="382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381"/>
        <v>7</v>
      </c>
    </row>
    <row r="12175" spans="1:8" x14ac:dyDescent="0.2">
      <c r="A12175" t="s">
        <v>7</v>
      </c>
      <c r="B12175" t="s">
        <v>32</v>
      </c>
      <c r="C12175" t="str">
        <f t="shared" si="382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381"/>
        <v>7</v>
      </c>
    </row>
    <row r="12176" spans="1:8" x14ac:dyDescent="0.2">
      <c r="A12176" t="s">
        <v>7</v>
      </c>
      <c r="B12176" t="s">
        <v>32</v>
      </c>
      <c r="C12176" t="str">
        <f t="shared" si="382"/>
        <v>Cumple</v>
      </c>
      <c r="D12176">
        <v>3943</v>
      </c>
      <c r="E12176" t="s">
        <v>8</v>
      </c>
      <c r="F12176">
        <v>25</v>
      </c>
      <c r="G12176">
        <v>6</v>
      </c>
      <c r="H12176">
        <f t="shared" si="381"/>
        <v>19</v>
      </c>
    </row>
    <row r="12177" spans="1:8" x14ac:dyDescent="0.2">
      <c r="A12177" t="s">
        <v>7</v>
      </c>
      <c r="B12177" t="s">
        <v>32</v>
      </c>
      <c r="C12177" t="str">
        <f t="shared" si="382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381"/>
        <v>6</v>
      </c>
    </row>
    <row r="12178" spans="1:8" x14ac:dyDescent="0.2">
      <c r="A12178" t="s">
        <v>7</v>
      </c>
      <c r="B12178" t="s">
        <v>32</v>
      </c>
      <c r="C12178" t="str">
        <f t="shared" si="382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381"/>
        <v>6</v>
      </c>
    </row>
    <row r="12179" spans="1:8" x14ac:dyDescent="0.2">
      <c r="A12179" t="s">
        <v>7</v>
      </c>
      <c r="B12179" t="s">
        <v>32</v>
      </c>
      <c r="C12179" t="str">
        <f t="shared" si="382"/>
        <v>Cumple</v>
      </c>
      <c r="D12179">
        <v>1549</v>
      </c>
      <c r="E12179" t="s">
        <v>8</v>
      </c>
      <c r="F12179">
        <v>25</v>
      </c>
      <c r="G12179">
        <v>6</v>
      </c>
      <c r="H12179">
        <f t="shared" si="381"/>
        <v>19</v>
      </c>
    </row>
    <row r="12180" spans="1:8" x14ac:dyDescent="0.2">
      <c r="A12180" t="s">
        <v>7</v>
      </c>
      <c r="B12180" t="s">
        <v>32</v>
      </c>
      <c r="C12180" t="str">
        <f t="shared" si="382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381"/>
        <v>6</v>
      </c>
    </row>
    <row r="12181" spans="1:8" x14ac:dyDescent="0.2">
      <c r="A12181" t="s">
        <v>7</v>
      </c>
      <c r="B12181" t="s">
        <v>32</v>
      </c>
      <c r="C12181" t="str">
        <f t="shared" si="382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381"/>
        <v>6</v>
      </c>
    </row>
    <row r="12182" spans="1:8" x14ac:dyDescent="0.2">
      <c r="A12182" t="s">
        <v>7</v>
      </c>
      <c r="B12182" t="s">
        <v>32</v>
      </c>
      <c r="C12182" t="str">
        <f t="shared" si="382"/>
        <v>Cumple</v>
      </c>
      <c r="D12182">
        <v>596</v>
      </c>
      <c r="E12182" t="s">
        <v>8</v>
      </c>
      <c r="F12182">
        <v>20</v>
      </c>
      <c r="G12182">
        <v>6</v>
      </c>
      <c r="H12182">
        <f t="shared" si="381"/>
        <v>14</v>
      </c>
    </row>
    <row r="12183" spans="1:8" x14ac:dyDescent="0.2">
      <c r="A12183" t="s">
        <v>7</v>
      </c>
      <c r="B12183" t="s">
        <v>32</v>
      </c>
      <c r="C12183" t="str">
        <f t="shared" si="382"/>
        <v>Cumple</v>
      </c>
      <c r="D12183">
        <v>688</v>
      </c>
      <c r="E12183" t="s">
        <v>8</v>
      </c>
      <c r="F12183">
        <v>22</v>
      </c>
      <c r="G12183">
        <v>6</v>
      </c>
      <c r="H12183">
        <f t="shared" si="381"/>
        <v>16</v>
      </c>
    </row>
    <row r="12184" spans="1:8" x14ac:dyDescent="0.2">
      <c r="A12184" t="s">
        <v>7</v>
      </c>
      <c r="B12184" t="s">
        <v>32</v>
      </c>
      <c r="C12184" t="str">
        <f t="shared" si="382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381"/>
        <v>5</v>
      </c>
    </row>
    <row r="12185" spans="1:8" x14ac:dyDescent="0.2">
      <c r="A12185" t="s">
        <v>7</v>
      </c>
      <c r="B12185" t="s">
        <v>32</v>
      </c>
      <c r="C12185" t="str">
        <f t="shared" si="382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381"/>
        <v>5</v>
      </c>
    </row>
    <row r="12186" spans="1:8" x14ac:dyDescent="0.2">
      <c r="A12186" t="s">
        <v>7</v>
      </c>
      <c r="B12186" t="s">
        <v>32</v>
      </c>
      <c r="C12186" t="str">
        <f t="shared" si="382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381"/>
        <v>5</v>
      </c>
    </row>
    <row r="12187" spans="1:8" x14ac:dyDescent="0.2">
      <c r="A12187" t="s">
        <v>7</v>
      </c>
      <c r="B12187" t="s">
        <v>32</v>
      </c>
      <c r="C12187" t="str">
        <f t="shared" si="382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381"/>
        <v>5</v>
      </c>
    </row>
    <row r="12188" spans="1:8" x14ac:dyDescent="0.2">
      <c r="A12188" t="s">
        <v>7</v>
      </c>
      <c r="B12188" t="s">
        <v>32</v>
      </c>
      <c r="C12188" t="str">
        <f t="shared" si="382"/>
        <v>Cumple</v>
      </c>
      <c r="D12188">
        <v>9896</v>
      </c>
      <c r="E12188" t="s">
        <v>8</v>
      </c>
      <c r="F12188">
        <v>28</v>
      </c>
      <c r="G12188">
        <v>6</v>
      </c>
      <c r="H12188">
        <f t="shared" si="381"/>
        <v>22</v>
      </c>
    </row>
    <row r="12189" spans="1:8" x14ac:dyDescent="0.2">
      <c r="A12189" t="s">
        <v>7</v>
      </c>
      <c r="B12189" t="s">
        <v>32</v>
      </c>
      <c r="C12189" t="str">
        <f t="shared" si="382"/>
        <v>Cumple</v>
      </c>
      <c r="D12189">
        <v>3659</v>
      </c>
      <c r="E12189" t="s">
        <v>8</v>
      </c>
      <c r="F12189">
        <v>21</v>
      </c>
      <c r="G12189">
        <v>6</v>
      </c>
      <c r="H12189">
        <f t="shared" si="381"/>
        <v>15</v>
      </c>
    </row>
    <row r="12190" spans="1:8" x14ac:dyDescent="0.2">
      <c r="A12190" t="s">
        <v>7</v>
      </c>
      <c r="B12190" t="s">
        <v>32</v>
      </c>
      <c r="C12190" t="str">
        <f t="shared" si="382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381"/>
        <v>4</v>
      </c>
    </row>
    <row r="12191" spans="1:8" x14ac:dyDescent="0.2">
      <c r="A12191" t="s">
        <v>7</v>
      </c>
      <c r="B12191" t="s">
        <v>32</v>
      </c>
      <c r="C12191" t="str">
        <f t="shared" si="382"/>
        <v>Cumple</v>
      </c>
      <c r="D12191">
        <v>3960</v>
      </c>
      <c r="E12191" t="s">
        <v>8</v>
      </c>
      <c r="F12191">
        <v>28</v>
      </c>
      <c r="G12191">
        <v>6</v>
      </c>
      <c r="H12191">
        <f t="shared" si="381"/>
        <v>22</v>
      </c>
    </row>
    <row r="12192" spans="1:8" x14ac:dyDescent="0.2">
      <c r="A12192" t="s">
        <v>7</v>
      </c>
      <c r="B12192" t="s">
        <v>32</v>
      </c>
      <c r="C12192" t="str">
        <f t="shared" si="382"/>
        <v>Cumple</v>
      </c>
      <c r="D12192">
        <v>9228</v>
      </c>
      <c r="E12192" t="s">
        <v>8</v>
      </c>
      <c r="F12192">
        <v>13</v>
      </c>
      <c r="G12192">
        <v>6</v>
      </c>
      <c r="H12192">
        <f t="shared" si="381"/>
        <v>7</v>
      </c>
    </row>
    <row r="12193" spans="1:8" x14ac:dyDescent="0.2">
      <c r="A12193" t="s">
        <v>7</v>
      </c>
      <c r="B12193" t="s">
        <v>32</v>
      </c>
      <c r="C12193" t="str">
        <f t="shared" si="382"/>
        <v>Cumple</v>
      </c>
      <c r="D12193">
        <v>4036</v>
      </c>
      <c r="E12193" t="s">
        <v>8</v>
      </c>
      <c r="F12193">
        <v>27</v>
      </c>
      <c r="G12193">
        <v>6</v>
      </c>
      <c r="H12193">
        <f t="shared" si="381"/>
        <v>21</v>
      </c>
    </row>
    <row r="12194" spans="1:8" x14ac:dyDescent="0.2">
      <c r="A12194" t="s">
        <v>7</v>
      </c>
      <c r="B12194" t="s">
        <v>32</v>
      </c>
      <c r="C12194" t="str">
        <f t="shared" si="382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381"/>
        <v>3</v>
      </c>
    </row>
    <row r="12195" spans="1:8" x14ac:dyDescent="0.2">
      <c r="A12195" t="s">
        <v>7</v>
      </c>
      <c r="B12195" t="s">
        <v>32</v>
      </c>
      <c r="C12195" t="str">
        <f t="shared" si="382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381"/>
        <v>3</v>
      </c>
    </row>
    <row r="12196" spans="1:8" x14ac:dyDescent="0.2">
      <c r="A12196" t="s">
        <v>7</v>
      </c>
      <c r="B12196" t="s">
        <v>32</v>
      </c>
      <c r="C12196" t="str">
        <f t="shared" si="382"/>
        <v>Cumple</v>
      </c>
      <c r="D12196">
        <v>1424</v>
      </c>
      <c r="E12196" t="s">
        <v>8</v>
      </c>
      <c r="F12196">
        <v>23</v>
      </c>
      <c r="G12196">
        <v>6</v>
      </c>
      <c r="H12196">
        <f t="shared" si="381"/>
        <v>17</v>
      </c>
    </row>
    <row r="12197" spans="1:8" x14ac:dyDescent="0.2">
      <c r="A12197" t="s">
        <v>7</v>
      </c>
      <c r="B12197" t="s">
        <v>32</v>
      </c>
      <c r="C12197" t="str">
        <f t="shared" si="382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381"/>
        <v>3</v>
      </c>
    </row>
    <row r="12198" spans="1:8" x14ac:dyDescent="0.2">
      <c r="A12198" t="s">
        <v>7</v>
      </c>
      <c r="B12198" t="s">
        <v>32</v>
      </c>
      <c r="C12198" t="str">
        <f t="shared" si="382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381"/>
        <v>3</v>
      </c>
    </row>
    <row r="12199" spans="1:8" x14ac:dyDescent="0.2">
      <c r="A12199" t="s">
        <v>7</v>
      </c>
      <c r="B12199" t="s">
        <v>32</v>
      </c>
      <c r="C12199" t="str">
        <f t="shared" si="382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381"/>
        <v>3</v>
      </c>
    </row>
    <row r="12200" spans="1:8" x14ac:dyDescent="0.2">
      <c r="A12200" t="s">
        <v>7</v>
      </c>
      <c r="B12200" t="s">
        <v>32</v>
      </c>
      <c r="C12200" t="str">
        <f t="shared" si="382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381"/>
        <v>2</v>
      </c>
    </row>
    <row r="12201" spans="1:8" x14ac:dyDescent="0.2">
      <c r="A12201" t="s">
        <v>7</v>
      </c>
      <c r="B12201" t="s">
        <v>32</v>
      </c>
      <c r="C12201" t="str">
        <f t="shared" si="382"/>
        <v>Cumple</v>
      </c>
      <c r="D12201">
        <v>627</v>
      </c>
      <c r="E12201" t="s">
        <v>8</v>
      </c>
      <c r="F12201">
        <v>17</v>
      </c>
      <c r="G12201">
        <v>6</v>
      </c>
      <c r="H12201">
        <f t="shared" si="381"/>
        <v>11</v>
      </c>
    </row>
    <row r="12202" spans="1:8" x14ac:dyDescent="0.2">
      <c r="A12202" t="s">
        <v>7</v>
      </c>
      <c r="B12202" t="s">
        <v>32</v>
      </c>
      <c r="C12202" t="str">
        <f t="shared" si="382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381"/>
        <v>2</v>
      </c>
    </row>
    <row r="12203" spans="1:8" x14ac:dyDescent="0.2">
      <c r="A12203" t="s">
        <v>7</v>
      </c>
      <c r="B12203" t="s">
        <v>32</v>
      </c>
      <c r="C12203" t="str">
        <f t="shared" si="382"/>
        <v>Cumple</v>
      </c>
      <c r="D12203">
        <v>9204</v>
      </c>
      <c r="E12203" t="s">
        <v>8</v>
      </c>
      <c r="F12203">
        <v>11</v>
      </c>
      <c r="G12203">
        <v>6</v>
      </c>
      <c r="H12203">
        <f t="shared" si="381"/>
        <v>5</v>
      </c>
    </row>
    <row r="12204" spans="1:8" x14ac:dyDescent="0.2">
      <c r="A12204" t="s">
        <v>7</v>
      </c>
      <c r="B12204" t="s">
        <v>32</v>
      </c>
      <c r="C12204" t="str">
        <f t="shared" si="382"/>
        <v>Cumple</v>
      </c>
      <c r="D12204">
        <v>9234</v>
      </c>
      <c r="E12204" t="s">
        <v>8</v>
      </c>
      <c r="F12204">
        <v>18</v>
      </c>
      <c r="G12204">
        <v>6</v>
      </c>
      <c r="H12204">
        <f t="shared" si="381"/>
        <v>12</v>
      </c>
    </row>
    <row r="12205" spans="1:8" x14ac:dyDescent="0.2">
      <c r="A12205" t="s">
        <v>7</v>
      </c>
      <c r="B12205" t="s">
        <v>32</v>
      </c>
      <c r="C12205" t="str">
        <f t="shared" si="382"/>
        <v>Cumple</v>
      </c>
      <c r="D12205">
        <v>1543</v>
      </c>
      <c r="E12205" t="s">
        <v>8</v>
      </c>
      <c r="F12205">
        <v>14</v>
      </c>
      <c r="G12205">
        <v>6</v>
      </c>
      <c r="H12205">
        <f t="shared" si="381"/>
        <v>8</v>
      </c>
    </row>
    <row r="12206" spans="1:8" x14ac:dyDescent="0.2">
      <c r="A12206" t="s">
        <v>7</v>
      </c>
      <c r="B12206" t="s">
        <v>32</v>
      </c>
      <c r="C12206" t="str">
        <f t="shared" si="382"/>
        <v>Cumple</v>
      </c>
      <c r="D12206">
        <v>3978</v>
      </c>
      <c r="E12206" t="s">
        <v>8</v>
      </c>
      <c r="F12206">
        <v>23</v>
      </c>
      <c r="G12206">
        <v>6</v>
      </c>
      <c r="H12206">
        <f t="shared" si="381"/>
        <v>17</v>
      </c>
    </row>
    <row r="12207" spans="1:8" x14ac:dyDescent="0.2">
      <c r="A12207" t="s">
        <v>7</v>
      </c>
      <c r="B12207" t="s">
        <v>32</v>
      </c>
      <c r="C12207" t="str">
        <f t="shared" si="382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381"/>
        <v>1</v>
      </c>
    </row>
    <row r="12208" spans="1:8" x14ac:dyDescent="0.2">
      <c r="A12208" t="s">
        <v>7</v>
      </c>
      <c r="B12208" t="s">
        <v>32</v>
      </c>
      <c r="C12208" t="str">
        <f t="shared" si="382"/>
        <v>Cumple</v>
      </c>
      <c r="D12208">
        <v>591</v>
      </c>
      <c r="E12208" t="s">
        <v>8</v>
      </c>
      <c r="F12208">
        <v>14</v>
      </c>
      <c r="G12208">
        <v>6</v>
      </c>
      <c r="H12208">
        <f t="shared" si="381"/>
        <v>8</v>
      </c>
    </row>
    <row r="12209" spans="1:8" x14ac:dyDescent="0.2">
      <c r="A12209" t="s">
        <v>7</v>
      </c>
      <c r="B12209" t="s">
        <v>32</v>
      </c>
      <c r="C12209" t="str">
        <f t="shared" si="382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381"/>
        <v>1</v>
      </c>
    </row>
    <row r="12210" spans="1:8" x14ac:dyDescent="0.2">
      <c r="A12210" t="s">
        <v>7</v>
      </c>
      <c r="B12210" t="s">
        <v>32</v>
      </c>
      <c r="C12210" t="str">
        <f t="shared" si="382"/>
        <v>Cumple</v>
      </c>
      <c r="D12210">
        <v>2221</v>
      </c>
      <c r="E12210" t="s">
        <v>8</v>
      </c>
      <c r="F12210">
        <v>13</v>
      </c>
      <c r="G12210">
        <v>6</v>
      </c>
      <c r="H12210">
        <f t="shared" si="381"/>
        <v>7</v>
      </c>
    </row>
    <row r="12211" spans="1:8" x14ac:dyDescent="0.2">
      <c r="A12211" t="s">
        <v>7</v>
      </c>
      <c r="B12211" t="s">
        <v>32</v>
      </c>
      <c r="C12211" t="str">
        <f t="shared" si="382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381"/>
        <v>1</v>
      </c>
    </row>
    <row r="12212" spans="1:8" x14ac:dyDescent="0.2">
      <c r="A12212" t="s">
        <v>7</v>
      </c>
      <c r="B12212" t="s">
        <v>32</v>
      </c>
      <c r="C12212" t="str">
        <f t="shared" si="382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381"/>
        <v>1</v>
      </c>
    </row>
    <row r="12213" spans="1:8" x14ac:dyDescent="0.2">
      <c r="A12213" t="s">
        <v>7</v>
      </c>
      <c r="B12213" t="s">
        <v>32</v>
      </c>
      <c r="C12213" t="str">
        <f t="shared" si="382"/>
        <v>Cumple</v>
      </c>
      <c r="D12213">
        <v>3799</v>
      </c>
      <c r="E12213" t="s">
        <v>8</v>
      </c>
      <c r="F12213">
        <v>20</v>
      </c>
      <c r="G12213">
        <v>6</v>
      </c>
      <c r="H12213">
        <f t="shared" si="381"/>
        <v>14</v>
      </c>
    </row>
    <row r="12214" spans="1:8" x14ac:dyDescent="0.2">
      <c r="A12214" t="s">
        <v>7</v>
      </c>
      <c r="B12214" t="s">
        <v>32</v>
      </c>
      <c r="C12214" t="str">
        <f t="shared" si="382"/>
        <v>Cumple</v>
      </c>
      <c r="D12214">
        <v>5130</v>
      </c>
      <c r="E12214" t="s">
        <v>8</v>
      </c>
      <c r="F12214">
        <v>11</v>
      </c>
      <c r="G12214">
        <v>6</v>
      </c>
      <c r="H12214">
        <f t="shared" si="381"/>
        <v>5</v>
      </c>
    </row>
    <row r="12215" spans="1:8" x14ac:dyDescent="0.2">
      <c r="A12215" t="s">
        <v>7</v>
      </c>
      <c r="B12215" t="s">
        <v>32</v>
      </c>
      <c r="C12215" t="str">
        <f t="shared" si="382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381"/>
        <v>1</v>
      </c>
    </row>
    <row r="12216" spans="1:8" x14ac:dyDescent="0.2">
      <c r="A12216" t="s">
        <v>7</v>
      </c>
      <c r="B12216" t="s">
        <v>32</v>
      </c>
      <c r="C12216" t="str">
        <f t="shared" si="382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381"/>
        <v>1</v>
      </c>
    </row>
    <row r="12217" spans="1:8" x14ac:dyDescent="0.2">
      <c r="A12217" t="s">
        <v>7</v>
      </c>
      <c r="B12217" t="s">
        <v>32</v>
      </c>
      <c r="C12217" t="str">
        <f t="shared" si="382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381"/>
        <v>0</v>
      </c>
    </row>
    <row r="12218" spans="1:8" x14ac:dyDescent="0.2">
      <c r="A12218" t="s">
        <v>7</v>
      </c>
      <c r="B12218" t="s">
        <v>32</v>
      </c>
      <c r="C12218" t="str">
        <f t="shared" si="382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381"/>
        <v>0</v>
      </c>
    </row>
    <row r="12219" spans="1:8" x14ac:dyDescent="0.2">
      <c r="A12219" t="s">
        <v>7</v>
      </c>
      <c r="B12219" t="s">
        <v>32</v>
      </c>
      <c r="C12219" t="str">
        <f t="shared" si="382"/>
        <v>Cumple</v>
      </c>
      <c r="D12219">
        <v>1440</v>
      </c>
      <c r="E12219" t="s">
        <v>8</v>
      </c>
      <c r="F12219">
        <v>15</v>
      </c>
      <c r="G12219">
        <v>6</v>
      </c>
      <c r="H12219">
        <f t="shared" si="381"/>
        <v>9</v>
      </c>
    </row>
    <row r="12220" spans="1:8" x14ac:dyDescent="0.2">
      <c r="A12220" t="s">
        <v>7</v>
      </c>
      <c r="B12220" t="s">
        <v>32</v>
      </c>
      <c r="C12220" t="str">
        <f t="shared" si="382"/>
        <v>Cumple</v>
      </c>
      <c r="D12220">
        <v>1786</v>
      </c>
      <c r="E12220" t="s">
        <v>8</v>
      </c>
      <c r="F12220">
        <v>13</v>
      </c>
      <c r="G12220">
        <v>6</v>
      </c>
      <c r="H12220">
        <f t="shared" si="381"/>
        <v>7</v>
      </c>
    </row>
    <row r="12221" spans="1:8" x14ac:dyDescent="0.2">
      <c r="A12221" t="s">
        <v>7</v>
      </c>
      <c r="B12221" t="s">
        <v>32</v>
      </c>
      <c r="C12221" t="str">
        <f t="shared" si="382"/>
        <v>Cumple</v>
      </c>
      <c r="D12221">
        <v>2047</v>
      </c>
      <c r="E12221" t="s">
        <v>8</v>
      </c>
      <c r="F12221">
        <v>10</v>
      </c>
      <c r="G12221">
        <v>6</v>
      </c>
      <c r="H12221">
        <f t="shared" si="381"/>
        <v>4</v>
      </c>
    </row>
    <row r="12222" spans="1:8" x14ac:dyDescent="0.2">
      <c r="A12222" t="s">
        <v>7</v>
      </c>
      <c r="B12222" t="s">
        <v>32</v>
      </c>
      <c r="C12222" t="str">
        <f t="shared" si="382"/>
        <v>Cumple</v>
      </c>
      <c r="D12222">
        <v>2246</v>
      </c>
      <c r="E12222" t="s">
        <v>8</v>
      </c>
      <c r="F12222">
        <v>17</v>
      </c>
      <c r="G12222">
        <v>6</v>
      </c>
      <c r="H12222">
        <f t="shared" si="381"/>
        <v>11</v>
      </c>
    </row>
    <row r="12223" spans="1:8" x14ac:dyDescent="0.2">
      <c r="A12223" t="s">
        <v>7</v>
      </c>
      <c r="B12223" t="s">
        <v>32</v>
      </c>
      <c r="C12223" t="str">
        <f t="shared" si="382"/>
        <v>Cumple</v>
      </c>
      <c r="D12223">
        <v>2441</v>
      </c>
      <c r="E12223" t="s">
        <v>8</v>
      </c>
      <c r="F12223">
        <v>13</v>
      </c>
      <c r="G12223">
        <v>6</v>
      </c>
      <c r="H12223">
        <f t="shared" si="381"/>
        <v>7</v>
      </c>
    </row>
    <row r="12224" spans="1:8" x14ac:dyDescent="0.2">
      <c r="A12224" t="s">
        <v>7</v>
      </c>
      <c r="B12224" t="s">
        <v>32</v>
      </c>
      <c r="C12224" t="str">
        <f t="shared" si="382"/>
        <v>Cumple</v>
      </c>
      <c r="D12224">
        <v>2808</v>
      </c>
      <c r="E12224" t="s">
        <v>8</v>
      </c>
      <c r="F12224">
        <v>17</v>
      </c>
      <c r="G12224">
        <v>6</v>
      </c>
      <c r="H12224">
        <f t="shared" si="381"/>
        <v>11</v>
      </c>
    </row>
    <row r="12225" spans="1:8" x14ac:dyDescent="0.2">
      <c r="A12225" t="s">
        <v>7</v>
      </c>
      <c r="B12225" t="s">
        <v>32</v>
      </c>
      <c r="C12225" t="str">
        <f t="shared" si="382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381"/>
        <v>0</v>
      </c>
    </row>
    <row r="12226" spans="1:8" x14ac:dyDescent="0.2">
      <c r="A12226" t="s">
        <v>7</v>
      </c>
      <c r="B12226" t="s">
        <v>32</v>
      </c>
      <c r="C12226" t="str">
        <f t="shared" si="382"/>
        <v>Cumple</v>
      </c>
      <c r="D12226">
        <v>9224</v>
      </c>
      <c r="E12226" t="s">
        <v>8</v>
      </c>
      <c r="F12226">
        <v>17</v>
      </c>
      <c r="G12226">
        <v>6</v>
      </c>
      <c r="H12226">
        <f t="shared" si="381"/>
        <v>11</v>
      </c>
    </row>
    <row r="12227" spans="1:8" x14ac:dyDescent="0.2">
      <c r="A12227" t="s">
        <v>7</v>
      </c>
      <c r="B12227" t="s">
        <v>32</v>
      </c>
      <c r="C12227" t="str">
        <f t="shared" si="382"/>
        <v>Cumple</v>
      </c>
      <c r="D12227">
        <v>9241</v>
      </c>
      <c r="E12227" t="s">
        <v>8</v>
      </c>
      <c r="F12227">
        <v>16</v>
      </c>
      <c r="G12227">
        <v>6</v>
      </c>
      <c r="H12227">
        <f t="shared" ref="H12227:H12290" si="383">F12227-G12227</f>
        <v>10</v>
      </c>
    </row>
    <row r="12228" spans="1:8" x14ac:dyDescent="0.2">
      <c r="A12228" t="s">
        <v>7</v>
      </c>
      <c r="B12228" t="s">
        <v>32</v>
      </c>
      <c r="C12228" t="str">
        <f t="shared" si="382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383"/>
        <v>0</v>
      </c>
    </row>
    <row r="12229" spans="1:8" x14ac:dyDescent="0.2">
      <c r="A12229" t="s">
        <v>7</v>
      </c>
      <c r="B12229" t="s">
        <v>32</v>
      </c>
      <c r="C12229" t="str">
        <f t="shared" ref="C12229:C12292" si="384">IF(H12229&gt;=0,"Cumple","No cumple")</f>
        <v>Cumple</v>
      </c>
      <c r="D12229">
        <v>9237</v>
      </c>
      <c r="E12229" t="s">
        <v>8</v>
      </c>
      <c r="F12229">
        <v>15</v>
      </c>
      <c r="G12229">
        <v>6</v>
      </c>
      <c r="H12229">
        <f t="shared" si="383"/>
        <v>9</v>
      </c>
    </row>
    <row r="12230" spans="1:8" x14ac:dyDescent="0.2">
      <c r="A12230" t="s">
        <v>7</v>
      </c>
      <c r="B12230" t="s">
        <v>32</v>
      </c>
      <c r="C12230" t="str">
        <f t="shared" si="384"/>
        <v>Cumple</v>
      </c>
      <c r="D12230">
        <v>675</v>
      </c>
      <c r="E12230" t="s">
        <v>8</v>
      </c>
      <c r="F12230">
        <v>12</v>
      </c>
      <c r="G12230">
        <v>6</v>
      </c>
      <c r="H12230">
        <f t="shared" si="383"/>
        <v>6</v>
      </c>
    </row>
    <row r="12231" spans="1:8" x14ac:dyDescent="0.2">
      <c r="A12231" t="s">
        <v>7</v>
      </c>
      <c r="B12231" t="s">
        <v>32</v>
      </c>
      <c r="C12231" t="str">
        <f t="shared" si="384"/>
        <v>Cumple</v>
      </c>
      <c r="D12231">
        <v>1981</v>
      </c>
      <c r="E12231" t="s">
        <v>8</v>
      </c>
      <c r="F12231">
        <v>17</v>
      </c>
      <c r="G12231">
        <v>6</v>
      </c>
      <c r="H12231">
        <f t="shared" si="383"/>
        <v>11</v>
      </c>
    </row>
    <row r="12232" spans="1:8" x14ac:dyDescent="0.2">
      <c r="A12232" t="s">
        <v>7</v>
      </c>
      <c r="B12232" t="s">
        <v>32</v>
      </c>
      <c r="C12232" t="str">
        <f t="shared" si="384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383"/>
        <v>-1</v>
      </c>
    </row>
    <row r="12233" spans="1:8" x14ac:dyDescent="0.2">
      <c r="A12233" t="s">
        <v>7</v>
      </c>
      <c r="B12233" t="s">
        <v>32</v>
      </c>
      <c r="C12233" t="str">
        <f t="shared" si="384"/>
        <v>Cumple</v>
      </c>
      <c r="D12233">
        <v>2190</v>
      </c>
      <c r="E12233" t="s">
        <v>8</v>
      </c>
      <c r="F12233">
        <v>16</v>
      </c>
      <c r="G12233">
        <v>6</v>
      </c>
      <c r="H12233">
        <f t="shared" si="383"/>
        <v>10</v>
      </c>
    </row>
    <row r="12234" spans="1:8" x14ac:dyDescent="0.2">
      <c r="A12234" t="s">
        <v>7</v>
      </c>
      <c r="B12234" t="s">
        <v>32</v>
      </c>
      <c r="C12234" t="str">
        <f t="shared" si="384"/>
        <v>Cumple</v>
      </c>
      <c r="D12234">
        <v>2395</v>
      </c>
      <c r="E12234" t="s">
        <v>8</v>
      </c>
      <c r="F12234">
        <v>7</v>
      </c>
      <c r="G12234">
        <v>6</v>
      </c>
      <c r="H12234">
        <f t="shared" si="383"/>
        <v>1</v>
      </c>
    </row>
    <row r="12235" spans="1:8" x14ac:dyDescent="0.2">
      <c r="A12235" t="s">
        <v>7</v>
      </c>
      <c r="B12235" t="s">
        <v>32</v>
      </c>
      <c r="C12235" t="str">
        <f t="shared" si="384"/>
        <v>Cumple</v>
      </c>
      <c r="D12235">
        <v>2720</v>
      </c>
      <c r="E12235" t="s">
        <v>8</v>
      </c>
      <c r="F12235">
        <v>13</v>
      </c>
      <c r="G12235">
        <v>6</v>
      </c>
      <c r="H12235">
        <f t="shared" si="383"/>
        <v>7</v>
      </c>
    </row>
    <row r="12236" spans="1:8" x14ac:dyDescent="0.2">
      <c r="A12236" t="s">
        <v>7</v>
      </c>
      <c r="B12236" t="s">
        <v>32</v>
      </c>
      <c r="C12236" t="str">
        <f t="shared" si="384"/>
        <v>Cumple</v>
      </c>
      <c r="D12236">
        <v>3593</v>
      </c>
      <c r="E12236" t="s">
        <v>8</v>
      </c>
      <c r="F12236">
        <v>15</v>
      </c>
      <c r="G12236">
        <v>6</v>
      </c>
      <c r="H12236">
        <f t="shared" si="383"/>
        <v>9</v>
      </c>
    </row>
    <row r="12237" spans="1:8" x14ac:dyDescent="0.2">
      <c r="A12237" t="s">
        <v>7</v>
      </c>
      <c r="B12237" t="s">
        <v>32</v>
      </c>
      <c r="C12237" t="str">
        <f t="shared" si="384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383"/>
        <v>-1</v>
      </c>
    </row>
    <row r="12238" spans="1:8" x14ac:dyDescent="0.2">
      <c r="A12238" t="s">
        <v>7</v>
      </c>
      <c r="B12238" t="s">
        <v>32</v>
      </c>
      <c r="C12238" t="str">
        <f t="shared" si="384"/>
        <v>Cumple</v>
      </c>
      <c r="D12238">
        <v>9190</v>
      </c>
      <c r="E12238" t="s">
        <v>8</v>
      </c>
      <c r="F12238">
        <v>15</v>
      </c>
      <c r="G12238">
        <v>6</v>
      </c>
      <c r="H12238">
        <f t="shared" si="383"/>
        <v>9</v>
      </c>
    </row>
    <row r="12239" spans="1:8" x14ac:dyDescent="0.2">
      <c r="A12239" t="s">
        <v>7</v>
      </c>
      <c r="B12239" t="s">
        <v>32</v>
      </c>
      <c r="C12239" t="str">
        <f t="shared" si="384"/>
        <v>Cumple</v>
      </c>
      <c r="D12239">
        <v>9216</v>
      </c>
      <c r="E12239" t="s">
        <v>8</v>
      </c>
      <c r="F12239">
        <v>18</v>
      </c>
      <c r="G12239">
        <v>6</v>
      </c>
      <c r="H12239">
        <f t="shared" si="383"/>
        <v>12</v>
      </c>
    </row>
    <row r="12240" spans="1:8" x14ac:dyDescent="0.2">
      <c r="A12240" t="s">
        <v>7</v>
      </c>
      <c r="B12240" t="s">
        <v>32</v>
      </c>
      <c r="C12240" t="str">
        <f t="shared" si="384"/>
        <v>Cumple</v>
      </c>
      <c r="D12240">
        <v>4051</v>
      </c>
      <c r="E12240" t="s">
        <v>8</v>
      </c>
      <c r="F12240">
        <v>14</v>
      </c>
      <c r="G12240">
        <v>6</v>
      </c>
      <c r="H12240">
        <f t="shared" si="383"/>
        <v>8</v>
      </c>
    </row>
    <row r="12241" spans="1:8" x14ac:dyDescent="0.2">
      <c r="A12241" t="s">
        <v>7</v>
      </c>
      <c r="B12241" t="s">
        <v>32</v>
      </c>
      <c r="C12241" t="str">
        <f t="shared" si="384"/>
        <v>Cumple</v>
      </c>
      <c r="D12241">
        <v>4052</v>
      </c>
      <c r="E12241" t="s">
        <v>8</v>
      </c>
      <c r="F12241">
        <v>15</v>
      </c>
      <c r="G12241">
        <v>6</v>
      </c>
      <c r="H12241">
        <f t="shared" si="383"/>
        <v>9</v>
      </c>
    </row>
    <row r="12242" spans="1:8" x14ac:dyDescent="0.2">
      <c r="A12242" t="s">
        <v>7</v>
      </c>
      <c r="B12242" t="s">
        <v>32</v>
      </c>
      <c r="C12242" t="str">
        <f t="shared" si="384"/>
        <v>Cumple</v>
      </c>
      <c r="D12242">
        <v>373</v>
      </c>
      <c r="E12242" t="s">
        <v>8</v>
      </c>
      <c r="F12242">
        <v>11</v>
      </c>
      <c r="G12242">
        <v>6</v>
      </c>
      <c r="H12242">
        <f t="shared" si="383"/>
        <v>5</v>
      </c>
    </row>
    <row r="12243" spans="1:8" x14ac:dyDescent="0.2">
      <c r="A12243" t="s">
        <v>7</v>
      </c>
      <c r="B12243" t="s">
        <v>32</v>
      </c>
      <c r="C12243" t="str">
        <f t="shared" si="384"/>
        <v>Cumple</v>
      </c>
      <c r="D12243">
        <v>515</v>
      </c>
      <c r="E12243" t="s">
        <v>8</v>
      </c>
      <c r="F12243">
        <v>8</v>
      </c>
      <c r="G12243">
        <v>6</v>
      </c>
      <c r="H12243">
        <f t="shared" si="383"/>
        <v>2</v>
      </c>
    </row>
    <row r="12244" spans="1:8" x14ac:dyDescent="0.2">
      <c r="A12244" t="s">
        <v>7</v>
      </c>
      <c r="B12244" t="s">
        <v>32</v>
      </c>
      <c r="C12244" t="str">
        <f t="shared" si="384"/>
        <v>Cumple</v>
      </c>
      <c r="D12244">
        <v>557</v>
      </c>
      <c r="E12244" t="s">
        <v>8</v>
      </c>
      <c r="F12244">
        <v>12</v>
      </c>
      <c r="G12244">
        <v>6</v>
      </c>
      <c r="H12244">
        <f t="shared" si="383"/>
        <v>6</v>
      </c>
    </row>
    <row r="12245" spans="1:8" x14ac:dyDescent="0.2">
      <c r="A12245" t="s">
        <v>7</v>
      </c>
      <c r="B12245" t="s">
        <v>32</v>
      </c>
      <c r="C12245" t="str">
        <f t="shared" si="384"/>
        <v>Cumple</v>
      </c>
      <c r="D12245">
        <v>658</v>
      </c>
      <c r="E12245" t="s">
        <v>8</v>
      </c>
      <c r="F12245">
        <v>11</v>
      </c>
      <c r="G12245">
        <v>6</v>
      </c>
      <c r="H12245">
        <f t="shared" si="383"/>
        <v>5</v>
      </c>
    </row>
    <row r="12246" spans="1:8" x14ac:dyDescent="0.2">
      <c r="A12246" t="s">
        <v>7</v>
      </c>
      <c r="B12246" t="s">
        <v>32</v>
      </c>
      <c r="C12246" t="str">
        <f t="shared" si="384"/>
        <v>Cumple</v>
      </c>
      <c r="D12246">
        <v>2030</v>
      </c>
      <c r="E12246" t="s">
        <v>8</v>
      </c>
      <c r="F12246">
        <v>15</v>
      </c>
      <c r="G12246">
        <v>6</v>
      </c>
      <c r="H12246">
        <f t="shared" si="383"/>
        <v>9</v>
      </c>
    </row>
    <row r="12247" spans="1:8" x14ac:dyDescent="0.2">
      <c r="A12247" t="s">
        <v>7</v>
      </c>
      <c r="B12247" t="s">
        <v>32</v>
      </c>
      <c r="C12247" t="str">
        <f t="shared" si="384"/>
        <v>Cumple</v>
      </c>
      <c r="D12247">
        <v>2104</v>
      </c>
      <c r="E12247" t="s">
        <v>8</v>
      </c>
      <c r="F12247">
        <v>7</v>
      </c>
      <c r="G12247">
        <v>6</v>
      </c>
      <c r="H12247">
        <f t="shared" si="383"/>
        <v>1</v>
      </c>
    </row>
    <row r="12248" spans="1:8" x14ac:dyDescent="0.2">
      <c r="A12248" t="s">
        <v>7</v>
      </c>
      <c r="B12248" t="s">
        <v>32</v>
      </c>
      <c r="C12248" t="str">
        <f t="shared" si="384"/>
        <v>Cumple</v>
      </c>
      <c r="D12248">
        <v>2135</v>
      </c>
      <c r="E12248" t="s">
        <v>8</v>
      </c>
      <c r="F12248">
        <v>12</v>
      </c>
      <c r="G12248">
        <v>6</v>
      </c>
      <c r="H12248">
        <f t="shared" si="383"/>
        <v>6</v>
      </c>
    </row>
    <row r="12249" spans="1:8" x14ac:dyDescent="0.2">
      <c r="A12249" t="s">
        <v>7</v>
      </c>
      <c r="B12249" t="s">
        <v>32</v>
      </c>
      <c r="C12249" t="str">
        <f t="shared" si="384"/>
        <v>Cumple</v>
      </c>
      <c r="D12249">
        <v>2218</v>
      </c>
      <c r="E12249" t="s">
        <v>8</v>
      </c>
      <c r="F12249">
        <v>22</v>
      </c>
      <c r="G12249">
        <v>6</v>
      </c>
      <c r="H12249">
        <f t="shared" si="383"/>
        <v>16</v>
      </c>
    </row>
    <row r="12250" spans="1:8" x14ac:dyDescent="0.2">
      <c r="A12250" t="s">
        <v>7</v>
      </c>
      <c r="B12250" t="s">
        <v>32</v>
      </c>
      <c r="C12250" t="str">
        <f t="shared" si="384"/>
        <v>Cumple</v>
      </c>
      <c r="D12250">
        <v>2235</v>
      </c>
      <c r="E12250" t="s">
        <v>8</v>
      </c>
      <c r="F12250">
        <v>6</v>
      </c>
      <c r="G12250">
        <v>6</v>
      </c>
      <c r="H12250">
        <f t="shared" si="383"/>
        <v>0</v>
      </c>
    </row>
    <row r="12251" spans="1:8" x14ac:dyDescent="0.2">
      <c r="A12251" t="s">
        <v>7</v>
      </c>
      <c r="B12251" t="s">
        <v>32</v>
      </c>
      <c r="C12251" t="str">
        <f t="shared" si="384"/>
        <v>Cumple</v>
      </c>
      <c r="D12251">
        <v>2308</v>
      </c>
      <c r="E12251" t="s">
        <v>8</v>
      </c>
      <c r="F12251">
        <v>11</v>
      </c>
      <c r="G12251">
        <v>6</v>
      </c>
      <c r="H12251">
        <f t="shared" si="383"/>
        <v>5</v>
      </c>
    </row>
    <row r="12252" spans="1:8" x14ac:dyDescent="0.2">
      <c r="A12252" t="s">
        <v>7</v>
      </c>
      <c r="B12252" t="s">
        <v>32</v>
      </c>
      <c r="C12252" t="str">
        <f t="shared" si="384"/>
        <v>Cumple</v>
      </c>
      <c r="D12252">
        <v>3349</v>
      </c>
      <c r="E12252" t="s">
        <v>8</v>
      </c>
      <c r="F12252">
        <v>19</v>
      </c>
      <c r="G12252">
        <v>6</v>
      </c>
      <c r="H12252">
        <f t="shared" si="383"/>
        <v>13</v>
      </c>
    </row>
    <row r="12253" spans="1:8" x14ac:dyDescent="0.2">
      <c r="A12253" t="s">
        <v>7</v>
      </c>
      <c r="B12253" t="s">
        <v>32</v>
      </c>
      <c r="C12253" t="str">
        <f t="shared" si="384"/>
        <v>Cumple</v>
      </c>
      <c r="D12253">
        <v>3967</v>
      </c>
      <c r="E12253" t="s">
        <v>8</v>
      </c>
      <c r="F12253">
        <v>14</v>
      </c>
      <c r="G12253">
        <v>6</v>
      </c>
      <c r="H12253">
        <f t="shared" si="383"/>
        <v>8</v>
      </c>
    </row>
    <row r="12254" spans="1:8" x14ac:dyDescent="0.2">
      <c r="A12254" t="s">
        <v>7</v>
      </c>
      <c r="B12254" t="s">
        <v>32</v>
      </c>
      <c r="C12254" t="str">
        <f t="shared" si="384"/>
        <v>Cumple</v>
      </c>
      <c r="D12254">
        <v>9112</v>
      </c>
      <c r="E12254" t="s">
        <v>8</v>
      </c>
      <c r="F12254">
        <v>10</v>
      </c>
      <c r="G12254">
        <v>6</v>
      </c>
      <c r="H12254">
        <f t="shared" si="383"/>
        <v>4</v>
      </c>
    </row>
    <row r="12255" spans="1:8" x14ac:dyDescent="0.2">
      <c r="A12255" t="s">
        <v>7</v>
      </c>
      <c r="B12255" t="s">
        <v>32</v>
      </c>
      <c r="C12255" t="str">
        <f t="shared" si="384"/>
        <v>Cumple</v>
      </c>
      <c r="D12255">
        <v>9561</v>
      </c>
      <c r="E12255" t="s">
        <v>8</v>
      </c>
      <c r="F12255">
        <v>13</v>
      </c>
      <c r="G12255">
        <v>6</v>
      </c>
      <c r="H12255">
        <f t="shared" si="383"/>
        <v>7</v>
      </c>
    </row>
    <row r="12256" spans="1:8" x14ac:dyDescent="0.2">
      <c r="A12256" t="s">
        <v>7</v>
      </c>
      <c r="B12256" t="s">
        <v>32</v>
      </c>
      <c r="C12256" t="str">
        <f t="shared" si="384"/>
        <v>Cumple</v>
      </c>
      <c r="D12256">
        <v>9880</v>
      </c>
      <c r="E12256" t="s">
        <v>8</v>
      </c>
      <c r="F12256">
        <v>16</v>
      </c>
      <c r="G12256">
        <v>6</v>
      </c>
      <c r="H12256">
        <f t="shared" si="383"/>
        <v>10</v>
      </c>
    </row>
    <row r="12257" spans="1:8" x14ac:dyDescent="0.2">
      <c r="A12257" t="s">
        <v>7</v>
      </c>
      <c r="B12257" t="s">
        <v>32</v>
      </c>
      <c r="C12257" t="str">
        <f t="shared" si="384"/>
        <v>Cumple</v>
      </c>
      <c r="D12257">
        <v>365</v>
      </c>
      <c r="E12257" t="s">
        <v>8</v>
      </c>
      <c r="F12257">
        <v>11</v>
      </c>
      <c r="G12257">
        <v>6</v>
      </c>
      <c r="H12257">
        <f t="shared" si="383"/>
        <v>5</v>
      </c>
    </row>
    <row r="12258" spans="1:8" x14ac:dyDescent="0.2">
      <c r="A12258" t="s">
        <v>7</v>
      </c>
      <c r="B12258" t="s">
        <v>32</v>
      </c>
      <c r="C12258" t="str">
        <f t="shared" si="384"/>
        <v>Cumple</v>
      </c>
      <c r="D12258">
        <v>660</v>
      </c>
      <c r="E12258" t="s">
        <v>8</v>
      </c>
      <c r="F12258">
        <v>11</v>
      </c>
      <c r="G12258">
        <v>6</v>
      </c>
      <c r="H12258">
        <f t="shared" si="383"/>
        <v>5</v>
      </c>
    </row>
    <row r="12259" spans="1:8" x14ac:dyDescent="0.2">
      <c r="A12259" t="s">
        <v>7</v>
      </c>
      <c r="B12259" t="s">
        <v>32</v>
      </c>
      <c r="C12259" t="str">
        <f t="shared" si="384"/>
        <v>Cumple</v>
      </c>
      <c r="D12259">
        <v>1799</v>
      </c>
      <c r="E12259" t="s">
        <v>8</v>
      </c>
      <c r="F12259">
        <v>9</v>
      </c>
      <c r="G12259">
        <v>6</v>
      </c>
      <c r="H12259">
        <f t="shared" si="383"/>
        <v>3</v>
      </c>
    </row>
    <row r="12260" spans="1:8" x14ac:dyDescent="0.2">
      <c r="A12260" t="s">
        <v>7</v>
      </c>
      <c r="B12260" t="s">
        <v>32</v>
      </c>
      <c r="C12260" t="str">
        <f t="shared" si="384"/>
        <v>Cumple</v>
      </c>
      <c r="D12260">
        <v>2186</v>
      </c>
      <c r="E12260" t="s">
        <v>8</v>
      </c>
      <c r="F12260">
        <v>13</v>
      </c>
      <c r="G12260">
        <v>6</v>
      </c>
      <c r="H12260">
        <f t="shared" si="383"/>
        <v>7</v>
      </c>
    </row>
    <row r="12261" spans="1:8" x14ac:dyDescent="0.2">
      <c r="A12261" t="s">
        <v>7</v>
      </c>
      <c r="B12261" t="s">
        <v>32</v>
      </c>
      <c r="C12261" t="str">
        <f t="shared" si="384"/>
        <v>Cumple</v>
      </c>
      <c r="D12261">
        <v>2501</v>
      </c>
      <c r="E12261" t="s">
        <v>8</v>
      </c>
      <c r="F12261">
        <v>16</v>
      </c>
      <c r="G12261">
        <v>6</v>
      </c>
      <c r="H12261">
        <f t="shared" si="383"/>
        <v>10</v>
      </c>
    </row>
    <row r="12262" spans="1:8" x14ac:dyDescent="0.2">
      <c r="A12262" t="s">
        <v>7</v>
      </c>
      <c r="B12262" t="s">
        <v>32</v>
      </c>
      <c r="C12262" t="str">
        <f t="shared" si="384"/>
        <v>Cumple</v>
      </c>
      <c r="D12262">
        <v>2928</v>
      </c>
      <c r="E12262" t="s">
        <v>8</v>
      </c>
      <c r="F12262">
        <v>8</v>
      </c>
      <c r="G12262">
        <v>6</v>
      </c>
      <c r="H12262">
        <f t="shared" si="383"/>
        <v>2</v>
      </c>
    </row>
    <row r="12263" spans="1:8" x14ac:dyDescent="0.2">
      <c r="A12263" t="s">
        <v>7</v>
      </c>
      <c r="B12263" t="s">
        <v>32</v>
      </c>
      <c r="C12263" t="str">
        <f t="shared" si="384"/>
        <v>No cumple</v>
      </c>
      <c r="D12263">
        <v>3513</v>
      </c>
      <c r="E12263" t="s">
        <v>8</v>
      </c>
      <c r="F12263">
        <v>5</v>
      </c>
      <c r="G12263">
        <v>6</v>
      </c>
      <c r="H12263">
        <f t="shared" si="383"/>
        <v>-1</v>
      </c>
    </row>
    <row r="12264" spans="1:8" x14ac:dyDescent="0.2">
      <c r="A12264" t="s">
        <v>7</v>
      </c>
      <c r="B12264" t="s">
        <v>32</v>
      </c>
      <c r="C12264" t="str">
        <f t="shared" si="384"/>
        <v>Cumple</v>
      </c>
      <c r="D12264">
        <v>3557</v>
      </c>
      <c r="E12264" t="s">
        <v>8</v>
      </c>
      <c r="F12264">
        <v>6</v>
      </c>
      <c r="G12264">
        <v>6</v>
      </c>
      <c r="H12264">
        <f t="shared" si="383"/>
        <v>0</v>
      </c>
    </row>
    <row r="12265" spans="1:8" x14ac:dyDescent="0.2">
      <c r="A12265" t="s">
        <v>7</v>
      </c>
      <c r="B12265" t="s">
        <v>32</v>
      </c>
      <c r="C12265" t="str">
        <f t="shared" si="384"/>
        <v>Cumple</v>
      </c>
      <c r="D12265">
        <v>3700</v>
      </c>
      <c r="E12265" t="s">
        <v>8</v>
      </c>
      <c r="F12265">
        <v>13</v>
      </c>
      <c r="G12265">
        <v>6</v>
      </c>
      <c r="H12265">
        <f t="shared" si="383"/>
        <v>7</v>
      </c>
    </row>
    <row r="12266" spans="1:8" x14ac:dyDescent="0.2">
      <c r="A12266" t="s">
        <v>7</v>
      </c>
      <c r="B12266" t="s">
        <v>32</v>
      </c>
      <c r="C12266" t="str">
        <f t="shared" si="384"/>
        <v>Cumple</v>
      </c>
      <c r="D12266">
        <v>3900</v>
      </c>
      <c r="E12266" t="s">
        <v>8</v>
      </c>
      <c r="F12266">
        <v>11</v>
      </c>
      <c r="G12266">
        <v>6</v>
      </c>
      <c r="H12266">
        <f t="shared" si="383"/>
        <v>5</v>
      </c>
    </row>
    <row r="12267" spans="1:8" x14ac:dyDescent="0.2">
      <c r="A12267" t="s">
        <v>7</v>
      </c>
      <c r="B12267" t="s">
        <v>32</v>
      </c>
      <c r="C12267" t="str">
        <f t="shared" si="384"/>
        <v>Cumple</v>
      </c>
      <c r="D12267">
        <v>3917</v>
      </c>
      <c r="E12267" t="s">
        <v>8</v>
      </c>
      <c r="F12267">
        <v>12</v>
      </c>
      <c r="G12267">
        <v>6</v>
      </c>
      <c r="H12267">
        <f t="shared" si="383"/>
        <v>6</v>
      </c>
    </row>
    <row r="12268" spans="1:8" x14ac:dyDescent="0.2">
      <c r="A12268" t="s">
        <v>7</v>
      </c>
      <c r="B12268" t="s">
        <v>32</v>
      </c>
      <c r="C12268" t="str">
        <f t="shared" si="384"/>
        <v>Cumple</v>
      </c>
      <c r="D12268">
        <v>5142</v>
      </c>
      <c r="E12268" t="s">
        <v>8</v>
      </c>
      <c r="F12268">
        <v>8</v>
      </c>
      <c r="G12268">
        <v>6</v>
      </c>
      <c r="H12268">
        <f t="shared" si="383"/>
        <v>2</v>
      </c>
    </row>
    <row r="12269" spans="1:8" x14ac:dyDescent="0.2">
      <c r="A12269" t="s">
        <v>7</v>
      </c>
      <c r="B12269" t="s">
        <v>32</v>
      </c>
      <c r="C12269" t="str">
        <f t="shared" si="384"/>
        <v>Cumple</v>
      </c>
      <c r="D12269">
        <v>9139</v>
      </c>
      <c r="E12269" t="s">
        <v>8</v>
      </c>
      <c r="F12269">
        <v>8</v>
      </c>
      <c r="G12269">
        <v>6</v>
      </c>
      <c r="H12269">
        <f t="shared" si="383"/>
        <v>2</v>
      </c>
    </row>
    <row r="12270" spans="1:8" x14ac:dyDescent="0.2">
      <c r="A12270" t="s">
        <v>7</v>
      </c>
      <c r="B12270" t="s">
        <v>32</v>
      </c>
      <c r="C12270" t="str">
        <f t="shared" si="384"/>
        <v>Cumple</v>
      </c>
      <c r="D12270">
        <v>9472</v>
      </c>
      <c r="E12270" t="s">
        <v>8</v>
      </c>
      <c r="F12270">
        <v>12</v>
      </c>
      <c r="G12270">
        <v>6</v>
      </c>
      <c r="H12270">
        <f t="shared" si="383"/>
        <v>6</v>
      </c>
    </row>
    <row r="12271" spans="1:8" x14ac:dyDescent="0.2">
      <c r="A12271" t="s">
        <v>7</v>
      </c>
      <c r="B12271" t="s">
        <v>32</v>
      </c>
      <c r="C12271" t="str">
        <f t="shared" si="384"/>
        <v>Cumple</v>
      </c>
      <c r="D12271">
        <v>9636</v>
      </c>
      <c r="E12271" t="s">
        <v>8</v>
      </c>
      <c r="F12271">
        <v>12</v>
      </c>
      <c r="G12271">
        <v>6</v>
      </c>
      <c r="H12271">
        <f t="shared" si="383"/>
        <v>6</v>
      </c>
    </row>
    <row r="12272" spans="1:8" x14ac:dyDescent="0.2">
      <c r="A12272" t="s">
        <v>7</v>
      </c>
      <c r="B12272" t="s">
        <v>32</v>
      </c>
      <c r="C12272" t="str">
        <f t="shared" si="384"/>
        <v>Cumple</v>
      </c>
      <c r="D12272">
        <v>9682</v>
      </c>
      <c r="E12272" t="s">
        <v>8</v>
      </c>
      <c r="F12272">
        <v>8</v>
      </c>
      <c r="G12272">
        <v>6</v>
      </c>
      <c r="H12272">
        <f t="shared" si="383"/>
        <v>2</v>
      </c>
    </row>
    <row r="12273" spans="1:8" x14ac:dyDescent="0.2">
      <c r="A12273" t="s">
        <v>7</v>
      </c>
      <c r="B12273" t="s">
        <v>32</v>
      </c>
      <c r="C12273" t="str">
        <f t="shared" si="384"/>
        <v>Cumple</v>
      </c>
      <c r="D12273">
        <v>9715</v>
      </c>
      <c r="E12273" t="s">
        <v>8</v>
      </c>
      <c r="F12273">
        <v>14</v>
      </c>
      <c r="G12273">
        <v>6</v>
      </c>
      <c r="H12273">
        <f t="shared" si="383"/>
        <v>8</v>
      </c>
    </row>
    <row r="12274" spans="1:8" x14ac:dyDescent="0.2">
      <c r="A12274" t="s">
        <v>7</v>
      </c>
      <c r="B12274" t="s">
        <v>32</v>
      </c>
      <c r="C12274" t="str">
        <f t="shared" si="384"/>
        <v>Cumple</v>
      </c>
      <c r="D12274">
        <v>3980</v>
      </c>
      <c r="E12274" t="s">
        <v>8</v>
      </c>
      <c r="F12274">
        <v>9</v>
      </c>
      <c r="G12274">
        <v>6</v>
      </c>
      <c r="H12274">
        <f t="shared" si="383"/>
        <v>3</v>
      </c>
    </row>
    <row r="12275" spans="1:8" x14ac:dyDescent="0.2">
      <c r="A12275" t="s">
        <v>7</v>
      </c>
      <c r="B12275" t="s">
        <v>32</v>
      </c>
      <c r="C12275" t="str">
        <f t="shared" si="384"/>
        <v>Cumple</v>
      </c>
      <c r="D12275">
        <v>4047</v>
      </c>
      <c r="E12275" t="s">
        <v>8</v>
      </c>
      <c r="F12275">
        <v>11</v>
      </c>
      <c r="G12275">
        <v>6</v>
      </c>
      <c r="H12275">
        <f t="shared" si="383"/>
        <v>5</v>
      </c>
    </row>
    <row r="12276" spans="1:8" x14ac:dyDescent="0.2">
      <c r="A12276" t="s">
        <v>7</v>
      </c>
      <c r="B12276" t="s">
        <v>32</v>
      </c>
      <c r="C12276" t="str">
        <f t="shared" si="384"/>
        <v>Cumple</v>
      </c>
      <c r="D12276">
        <v>4053</v>
      </c>
      <c r="E12276" t="s">
        <v>8</v>
      </c>
      <c r="F12276">
        <v>14</v>
      </c>
      <c r="G12276">
        <v>6</v>
      </c>
      <c r="H12276">
        <f t="shared" si="383"/>
        <v>8</v>
      </c>
    </row>
    <row r="12277" spans="1:8" x14ac:dyDescent="0.2">
      <c r="A12277" t="s">
        <v>7</v>
      </c>
      <c r="B12277" t="s">
        <v>32</v>
      </c>
      <c r="C12277" t="str">
        <f t="shared" si="384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383"/>
        <v>-4</v>
      </c>
    </row>
    <row r="12278" spans="1:8" x14ac:dyDescent="0.2">
      <c r="A12278" t="s">
        <v>7</v>
      </c>
      <c r="B12278" t="s">
        <v>32</v>
      </c>
      <c r="C12278" t="str">
        <f t="shared" si="384"/>
        <v>Cumple</v>
      </c>
      <c r="D12278">
        <v>674</v>
      </c>
      <c r="E12278" t="s">
        <v>8</v>
      </c>
      <c r="F12278">
        <v>11</v>
      </c>
      <c r="G12278">
        <v>6</v>
      </c>
      <c r="H12278">
        <f t="shared" si="383"/>
        <v>5</v>
      </c>
    </row>
    <row r="12279" spans="1:8" x14ac:dyDescent="0.2">
      <c r="A12279" t="s">
        <v>7</v>
      </c>
      <c r="B12279" t="s">
        <v>32</v>
      </c>
      <c r="C12279" t="str">
        <f t="shared" si="384"/>
        <v>Cumple</v>
      </c>
      <c r="D12279">
        <v>680</v>
      </c>
      <c r="E12279" t="s">
        <v>8</v>
      </c>
      <c r="F12279">
        <v>12</v>
      </c>
      <c r="G12279">
        <v>6</v>
      </c>
      <c r="H12279">
        <f t="shared" si="383"/>
        <v>6</v>
      </c>
    </row>
    <row r="12280" spans="1:8" x14ac:dyDescent="0.2">
      <c r="A12280" t="s">
        <v>7</v>
      </c>
      <c r="B12280" t="s">
        <v>32</v>
      </c>
      <c r="C12280" t="str">
        <f t="shared" si="384"/>
        <v>Cumple</v>
      </c>
      <c r="D12280">
        <v>1718</v>
      </c>
      <c r="E12280" t="s">
        <v>8</v>
      </c>
      <c r="F12280">
        <v>10</v>
      </c>
      <c r="G12280">
        <v>6</v>
      </c>
      <c r="H12280">
        <f t="shared" si="383"/>
        <v>4</v>
      </c>
    </row>
    <row r="12281" spans="1:8" x14ac:dyDescent="0.2">
      <c r="A12281" t="s">
        <v>7</v>
      </c>
      <c r="B12281" t="s">
        <v>32</v>
      </c>
      <c r="C12281" t="str">
        <f t="shared" si="384"/>
        <v>No cumple</v>
      </c>
      <c r="D12281">
        <v>2039</v>
      </c>
      <c r="E12281" t="s">
        <v>8</v>
      </c>
      <c r="F12281">
        <v>4</v>
      </c>
      <c r="G12281">
        <v>6</v>
      </c>
      <c r="H12281">
        <f t="shared" si="383"/>
        <v>-2</v>
      </c>
    </row>
    <row r="12282" spans="1:8" x14ac:dyDescent="0.2">
      <c r="A12282" t="s">
        <v>7</v>
      </c>
      <c r="B12282" t="s">
        <v>32</v>
      </c>
      <c r="C12282" t="str">
        <f t="shared" si="384"/>
        <v>Cumple</v>
      </c>
      <c r="D12282">
        <v>2082</v>
      </c>
      <c r="E12282" t="s">
        <v>8</v>
      </c>
      <c r="F12282">
        <v>11</v>
      </c>
      <c r="G12282">
        <v>6</v>
      </c>
      <c r="H12282">
        <f t="shared" si="383"/>
        <v>5</v>
      </c>
    </row>
    <row r="12283" spans="1:8" x14ac:dyDescent="0.2">
      <c r="A12283" t="s">
        <v>7</v>
      </c>
      <c r="B12283" t="s">
        <v>32</v>
      </c>
      <c r="C12283" t="str">
        <f t="shared" si="384"/>
        <v>Cumple</v>
      </c>
      <c r="D12283">
        <v>2912</v>
      </c>
      <c r="E12283" t="s">
        <v>8</v>
      </c>
      <c r="F12283">
        <v>6</v>
      </c>
      <c r="G12283">
        <v>6</v>
      </c>
      <c r="H12283">
        <f t="shared" si="383"/>
        <v>0</v>
      </c>
    </row>
    <row r="12284" spans="1:8" x14ac:dyDescent="0.2">
      <c r="A12284" t="s">
        <v>7</v>
      </c>
      <c r="B12284" t="s">
        <v>32</v>
      </c>
      <c r="C12284" t="str">
        <f t="shared" si="384"/>
        <v>Cumple</v>
      </c>
      <c r="D12284">
        <v>2916</v>
      </c>
      <c r="E12284" t="s">
        <v>8</v>
      </c>
      <c r="F12284">
        <v>6</v>
      </c>
      <c r="G12284">
        <v>6</v>
      </c>
      <c r="H12284">
        <f t="shared" si="383"/>
        <v>0</v>
      </c>
    </row>
    <row r="12285" spans="1:8" x14ac:dyDescent="0.2">
      <c r="A12285" t="s">
        <v>7</v>
      </c>
      <c r="B12285" t="s">
        <v>32</v>
      </c>
      <c r="C12285" t="str">
        <f t="shared" si="384"/>
        <v>Cumple</v>
      </c>
      <c r="D12285">
        <v>3458</v>
      </c>
      <c r="E12285" t="s">
        <v>8</v>
      </c>
      <c r="F12285">
        <v>11</v>
      </c>
      <c r="G12285">
        <v>6</v>
      </c>
      <c r="H12285">
        <f t="shared" si="383"/>
        <v>5</v>
      </c>
    </row>
    <row r="12286" spans="1:8" x14ac:dyDescent="0.2">
      <c r="A12286" t="s">
        <v>7</v>
      </c>
      <c r="B12286" t="s">
        <v>32</v>
      </c>
      <c r="C12286" t="str">
        <f t="shared" si="384"/>
        <v>Cumple</v>
      </c>
      <c r="D12286">
        <v>3655</v>
      </c>
      <c r="E12286" t="s">
        <v>8</v>
      </c>
      <c r="F12286">
        <v>10</v>
      </c>
      <c r="G12286">
        <v>6</v>
      </c>
      <c r="H12286">
        <f t="shared" si="383"/>
        <v>4</v>
      </c>
    </row>
    <row r="12287" spans="1:8" x14ac:dyDescent="0.2">
      <c r="A12287" t="s">
        <v>7</v>
      </c>
      <c r="B12287" t="s">
        <v>32</v>
      </c>
      <c r="C12287" t="str">
        <f t="shared" si="384"/>
        <v>Cumple</v>
      </c>
      <c r="D12287">
        <v>9074</v>
      </c>
      <c r="E12287" t="s">
        <v>8</v>
      </c>
      <c r="F12287">
        <v>7</v>
      </c>
      <c r="G12287">
        <v>6</v>
      </c>
      <c r="H12287">
        <f t="shared" si="383"/>
        <v>1</v>
      </c>
    </row>
    <row r="12288" spans="1:8" x14ac:dyDescent="0.2">
      <c r="A12288" t="s">
        <v>7</v>
      </c>
      <c r="B12288" t="s">
        <v>32</v>
      </c>
      <c r="C12288" t="str">
        <f t="shared" si="384"/>
        <v>Cumple</v>
      </c>
      <c r="D12288">
        <v>9159</v>
      </c>
      <c r="E12288" t="s">
        <v>8</v>
      </c>
      <c r="F12288">
        <v>14</v>
      </c>
      <c r="G12288">
        <v>6</v>
      </c>
      <c r="H12288">
        <f t="shared" si="383"/>
        <v>8</v>
      </c>
    </row>
    <row r="12289" spans="1:8" x14ac:dyDescent="0.2">
      <c r="A12289" t="s">
        <v>7</v>
      </c>
      <c r="B12289" t="s">
        <v>32</v>
      </c>
      <c r="C12289" t="str">
        <f t="shared" si="384"/>
        <v>No cumple</v>
      </c>
      <c r="D12289">
        <v>9174</v>
      </c>
      <c r="E12289" t="s">
        <v>8</v>
      </c>
      <c r="F12289">
        <v>4</v>
      </c>
      <c r="G12289">
        <v>6</v>
      </c>
      <c r="H12289">
        <f t="shared" si="383"/>
        <v>-2</v>
      </c>
    </row>
    <row r="12290" spans="1:8" x14ac:dyDescent="0.2">
      <c r="A12290" t="s">
        <v>7</v>
      </c>
      <c r="B12290" t="s">
        <v>32</v>
      </c>
      <c r="C12290" t="str">
        <f t="shared" si="384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383"/>
        <v>-4</v>
      </c>
    </row>
    <row r="12291" spans="1:8" x14ac:dyDescent="0.2">
      <c r="A12291" t="s">
        <v>7</v>
      </c>
      <c r="B12291" t="s">
        <v>32</v>
      </c>
      <c r="C12291" t="str">
        <f t="shared" si="384"/>
        <v>Cumple</v>
      </c>
      <c r="D12291">
        <v>9609</v>
      </c>
      <c r="E12291" t="s">
        <v>8</v>
      </c>
      <c r="F12291">
        <v>10</v>
      </c>
      <c r="G12291">
        <v>6</v>
      </c>
      <c r="H12291">
        <f t="shared" ref="H12291:H12354" si="385">F12291-G12291</f>
        <v>4</v>
      </c>
    </row>
    <row r="12292" spans="1:8" x14ac:dyDescent="0.2">
      <c r="A12292" t="s">
        <v>7</v>
      </c>
      <c r="B12292" t="s">
        <v>32</v>
      </c>
      <c r="C12292" t="str">
        <f t="shared" si="384"/>
        <v>Cumple</v>
      </c>
      <c r="D12292">
        <v>9641</v>
      </c>
      <c r="E12292" t="s">
        <v>8</v>
      </c>
      <c r="F12292">
        <v>10</v>
      </c>
      <c r="G12292">
        <v>6</v>
      </c>
      <c r="H12292">
        <f t="shared" si="385"/>
        <v>4</v>
      </c>
    </row>
    <row r="12293" spans="1:8" x14ac:dyDescent="0.2">
      <c r="A12293" t="s">
        <v>7</v>
      </c>
      <c r="B12293" t="s">
        <v>32</v>
      </c>
      <c r="C12293" t="str">
        <f t="shared" ref="C12293:C12356" si="386">IF(H12293&gt;=0,"Cumple","No cumple")</f>
        <v>No cumple</v>
      </c>
      <c r="D12293">
        <v>2776</v>
      </c>
      <c r="E12293" t="s">
        <v>8</v>
      </c>
      <c r="F12293">
        <v>5</v>
      </c>
      <c r="G12293">
        <v>6</v>
      </c>
      <c r="H12293">
        <f t="shared" si="385"/>
        <v>-1</v>
      </c>
    </row>
    <row r="12294" spans="1:8" x14ac:dyDescent="0.2">
      <c r="A12294" t="s">
        <v>7</v>
      </c>
      <c r="B12294" t="s">
        <v>32</v>
      </c>
      <c r="C12294" t="str">
        <f t="shared" si="386"/>
        <v>Cumple</v>
      </c>
      <c r="D12294">
        <v>2923</v>
      </c>
      <c r="E12294" t="s">
        <v>8</v>
      </c>
      <c r="F12294">
        <v>8</v>
      </c>
      <c r="G12294">
        <v>6</v>
      </c>
      <c r="H12294">
        <f t="shared" si="385"/>
        <v>2</v>
      </c>
    </row>
    <row r="12295" spans="1:8" x14ac:dyDescent="0.2">
      <c r="A12295" t="s">
        <v>7</v>
      </c>
      <c r="B12295" t="s">
        <v>32</v>
      </c>
      <c r="C12295" t="str">
        <f t="shared" si="386"/>
        <v>Cumple</v>
      </c>
      <c r="D12295">
        <v>361</v>
      </c>
      <c r="E12295" t="s">
        <v>8</v>
      </c>
      <c r="F12295">
        <v>8</v>
      </c>
      <c r="G12295">
        <v>6</v>
      </c>
      <c r="H12295">
        <f t="shared" si="385"/>
        <v>2</v>
      </c>
    </row>
    <row r="12296" spans="1:8" x14ac:dyDescent="0.2">
      <c r="A12296" t="s">
        <v>7</v>
      </c>
      <c r="B12296" t="s">
        <v>32</v>
      </c>
      <c r="C12296" t="str">
        <f t="shared" si="386"/>
        <v>Cumple</v>
      </c>
      <c r="D12296">
        <v>507</v>
      </c>
      <c r="E12296" t="s">
        <v>8</v>
      </c>
      <c r="F12296">
        <v>6</v>
      </c>
      <c r="G12296">
        <v>6</v>
      </c>
      <c r="H12296">
        <f t="shared" si="385"/>
        <v>0</v>
      </c>
    </row>
    <row r="12297" spans="1:8" x14ac:dyDescent="0.2">
      <c r="A12297" t="s">
        <v>7</v>
      </c>
      <c r="B12297" t="s">
        <v>32</v>
      </c>
      <c r="C12297" t="str">
        <f t="shared" si="386"/>
        <v>Cumple</v>
      </c>
      <c r="D12297">
        <v>529</v>
      </c>
      <c r="E12297" t="s">
        <v>8</v>
      </c>
      <c r="F12297">
        <v>6</v>
      </c>
      <c r="G12297">
        <v>6</v>
      </c>
      <c r="H12297">
        <f t="shared" si="385"/>
        <v>0</v>
      </c>
    </row>
    <row r="12298" spans="1:8" x14ac:dyDescent="0.2">
      <c r="A12298" t="s">
        <v>7</v>
      </c>
      <c r="B12298" t="s">
        <v>32</v>
      </c>
      <c r="C12298" t="str">
        <f t="shared" si="386"/>
        <v>Cumple</v>
      </c>
      <c r="D12298">
        <v>553</v>
      </c>
      <c r="E12298" t="s">
        <v>8</v>
      </c>
      <c r="F12298">
        <v>9</v>
      </c>
      <c r="G12298">
        <v>6</v>
      </c>
      <c r="H12298">
        <f t="shared" si="385"/>
        <v>3</v>
      </c>
    </row>
    <row r="12299" spans="1:8" x14ac:dyDescent="0.2">
      <c r="A12299" t="s">
        <v>7</v>
      </c>
      <c r="B12299" t="s">
        <v>32</v>
      </c>
      <c r="C12299" t="str">
        <f t="shared" si="386"/>
        <v>Cumple</v>
      </c>
      <c r="D12299">
        <v>1406</v>
      </c>
      <c r="E12299" t="s">
        <v>8</v>
      </c>
      <c r="F12299">
        <v>6</v>
      </c>
      <c r="G12299">
        <v>6</v>
      </c>
      <c r="H12299">
        <f t="shared" si="385"/>
        <v>0</v>
      </c>
    </row>
    <row r="12300" spans="1:8" x14ac:dyDescent="0.2">
      <c r="A12300" t="s">
        <v>7</v>
      </c>
      <c r="B12300" t="s">
        <v>32</v>
      </c>
      <c r="C12300" t="str">
        <f t="shared" si="386"/>
        <v>Cumple</v>
      </c>
      <c r="D12300">
        <v>1779</v>
      </c>
      <c r="E12300" t="s">
        <v>8</v>
      </c>
      <c r="F12300">
        <v>6</v>
      </c>
      <c r="G12300">
        <v>6</v>
      </c>
      <c r="H12300">
        <f t="shared" si="385"/>
        <v>0</v>
      </c>
    </row>
    <row r="12301" spans="1:8" x14ac:dyDescent="0.2">
      <c r="A12301" t="s">
        <v>7</v>
      </c>
      <c r="B12301" t="s">
        <v>32</v>
      </c>
      <c r="C12301" t="str">
        <f t="shared" si="386"/>
        <v>Cumple</v>
      </c>
      <c r="D12301">
        <v>2321</v>
      </c>
      <c r="E12301" t="s">
        <v>8</v>
      </c>
      <c r="F12301">
        <v>13</v>
      </c>
      <c r="G12301">
        <v>6</v>
      </c>
      <c r="H12301">
        <f t="shared" si="385"/>
        <v>7</v>
      </c>
    </row>
    <row r="12302" spans="1:8" x14ac:dyDescent="0.2">
      <c r="A12302" t="s">
        <v>7</v>
      </c>
      <c r="B12302" t="s">
        <v>32</v>
      </c>
      <c r="C12302" t="str">
        <f t="shared" si="386"/>
        <v>Cumple</v>
      </c>
      <c r="D12302">
        <v>2410</v>
      </c>
      <c r="E12302" t="s">
        <v>8</v>
      </c>
      <c r="F12302">
        <v>8</v>
      </c>
      <c r="G12302">
        <v>6</v>
      </c>
      <c r="H12302">
        <f t="shared" si="385"/>
        <v>2</v>
      </c>
    </row>
    <row r="12303" spans="1:8" x14ac:dyDescent="0.2">
      <c r="A12303" t="s">
        <v>7</v>
      </c>
      <c r="B12303" t="s">
        <v>32</v>
      </c>
      <c r="C12303" t="str">
        <f t="shared" si="386"/>
        <v>Cumple</v>
      </c>
      <c r="D12303">
        <v>2631</v>
      </c>
      <c r="E12303" t="s">
        <v>8</v>
      </c>
      <c r="F12303">
        <v>11</v>
      </c>
      <c r="G12303">
        <v>6</v>
      </c>
      <c r="H12303">
        <f t="shared" si="385"/>
        <v>5</v>
      </c>
    </row>
    <row r="12304" spans="1:8" x14ac:dyDescent="0.2">
      <c r="A12304" t="s">
        <v>7</v>
      </c>
      <c r="B12304" t="s">
        <v>32</v>
      </c>
      <c r="C12304" t="str">
        <f t="shared" si="386"/>
        <v>No cumple</v>
      </c>
      <c r="D12304">
        <v>2672</v>
      </c>
      <c r="E12304" t="s">
        <v>8</v>
      </c>
      <c r="F12304">
        <v>3</v>
      </c>
      <c r="G12304" s="9">
        <v>6</v>
      </c>
      <c r="H12304">
        <f t="shared" si="385"/>
        <v>-3</v>
      </c>
    </row>
    <row r="12305" spans="1:8" x14ac:dyDescent="0.2">
      <c r="A12305" t="s">
        <v>7</v>
      </c>
      <c r="B12305" t="s">
        <v>32</v>
      </c>
      <c r="C12305" t="str">
        <f t="shared" si="386"/>
        <v>Cumple</v>
      </c>
      <c r="D12305">
        <v>2763</v>
      </c>
      <c r="E12305" t="s">
        <v>8</v>
      </c>
      <c r="F12305">
        <v>8</v>
      </c>
      <c r="G12305">
        <v>6</v>
      </c>
      <c r="H12305">
        <f t="shared" si="385"/>
        <v>2</v>
      </c>
    </row>
    <row r="12306" spans="1:8" x14ac:dyDescent="0.2">
      <c r="A12306" t="s">
        <v>7</v>
      </c>
      <c r="B12306" t="s">
        <v>32</v>
      </c>
      <c r="C12306" t="str">
        <f t="shared" si="386"/>
        <v>Cumple</v>
      </c>
      <c r="D12306">
        <v>2790</v>
      </c>
      <c r="E12306" t="s">
        <v>8</v>
      </c>
      <c r="F12306">
        <v>8</v>
      </c>
      <c r="G12306">
        <v>6</v>
      </c>
      <c r="H12306">
        <f t="shared" si="385"/>
        <v>2</v>
      </c>
    </row>
    <row r="12307" spans="1:8" x14ac:dyDescent="0.2">
      <c r="A12307" t="s">
        <v>7</v>
      </c>
      <c r="B12307" t="s">
        <v>32</v>
      </c>
      <c r="C12307" t="str">
        <f t="shared" si="386"/>
        <v>Cumple</v>
      </c>
      <c r="D12307">
        <v>2836</v>
      </c>
      <c r="E12307" t="s">
        <v>8</v>
      </c>
      <c r="F12307">
        <v>23</v>
      </c>
      <c r="G12307">
        <v>6</v>
      </c>
      <c r="H12307">
        <f t="shared" si="385"/>
        <v>17</v>
      </c>
    </row>
    <row r="12308" spans="1:8" x14ac:dyDescent="0.2">
      <c r="A12308" t="s">
        <v>7</v>
      </c>
      <c r="B12308" t="s">
        <v>32</v>
      </c>
      <c r="C12308" t="str">
        <f t="shared" si="386"/>
        <v>No cumple</v>
      </c>
      <c r="D12308">
        <v>2871</v>
      </c>
      <c r="E12308" t="s">
        <v>8</v>
      </c>
      <c r="F12308">
        <v>3</v>
      </c>
      <c r="G12308">
        <v>6</v>
      </c>
      <c r="H12308">
        <f t="shared" si="385"/>
        <v>-3</v>
      </c>
    </row>
    <row r="12309" spans="1:8" x14ac:dyDescent="0.2">
      <c r="A12309" t="s">
        <v>7</v>
      </c>
      <c r="B12309" t="s">
        <v>32</v>
      </c>
      <c r="C12309" t="str">
        <f t="shared" si="386"/>
        <v>Cumple</v>
      </c>
      <c r="D12309">
        <v>3575</v>
      </c>
      <c r="E12309" t="s">
        <v>8</v>
      </c>
      <c r="F12309">
        <v>7</v>
      </c>
      <c r="G12309">
        <v>6</v>
      </c>
      <c r="H12309">
        <f t="shared" si="385"/>
        <v>1</v>
      </c>
    </row>
    <row r="12310" spans="1:8" x14ac:dyDescent="0.2">
      <c r="A12310" t="s">
        <v>7</v>
      </c>
      <c r="B12310" t="s">
        <v>32</v>
      </c>
      <c r="C12310" t="str">
        <f t="shared" si="386"/>
        <v>Cumple</v>
      </c>
      <c r="D12310">
        <v>3880</v>
      </c>
      <c r="E12310" t="s">
        <v>8</v>
      </c>
      <c r="F12310">
        <v>6</v>
      </c>
      <c r="G12310">
        <v>6</v>
      </c>
      <c r="H12310">
        <f t="shared" si="385"/>
        <v>0</v>
      </c>
    </row>
    <row r="12311" spans="1:8" x14ac:dyDescent="0.2">
      <c r="A12311" t="s">
        <v>7</v>
      </c>
      <c r="B12311" t="s">
        <v>32</v>
      </c>
      <c r="C12311" t="str">
        <f t="shared" si="386"/>
        <v>No cumple</v>
      </c>
      <c r="D12311">
        <v>3904</v>
      </c>
      <c r="E12311" t="s">
        <v>8</v>
      </c>
      <c r="F12311">
        <v>5</v>
      </c>
      <c r="G12311">
        <v>6</v>
      </c>
      <c r="H12311">
        <f t="shared" si="385"/>
        <v>-1</v>
      </c>
    </row>
    <row r="12312" spans="1:8" x14ac:dyDescent="0.2">
      <c r="A12312" t="s">
        <v>7</v>
      </c>
      <c r="B12312" t="s">
        <v>32</v>
      </c>
      <c r="C12312" t="str">
        <f t="shared" si="386"/>
        <v>Cumple</v>
      </c>
      <c r="D12312">
        <v>7027</v>
      </c>
      <c r="E12312" t="s">
        <v>8</v>
      </c>
      <c r="F12312">
        <v>8</v>
      </c>
      <c r="G12312">
        <v>6</v>
      </c>
      <c r="H12312">
        <f t="shared" si="385"/>
        <v>2</v>
      </c>
    </row>
    <row r="12313" spans="1:8" x14ac:dyDescent="0.2">
      <c r="A12313" t="s">
        <v>7</v>
      </c>
      <c r="B12313" t="s">
        <v>32</v>
      </c>
      <c r="C12313" t="str">
        <f t="shared" si="386"/>
        <v>Cumple</v>
      </c>
      <c r="D12313">
        <v>9119</v>
      </c>
      <c r="E12313" t="s">
        <v>8</v>
      </c>
      <c r="F12313">
        <v>11</v>
      </c>
      <c r="G12313">
        <v>6</v>
      </c>
      <c r="H12313">
        <f t="shared" si="385"/>
        <v>5</v>
      </c>
    </row>
    <row r="12314" spans="1:8" x14ac:dyDescent="0.2">
      <c r="A12314" t="s">
        <v>7</v>
      </c>
      <c r="B12314" t="s">
        <v>32</v>
      </c>
      <c r="C12314" t="str">
        <f t="shared" si="386"/>
        <v>Cumple</v>
      </c>
      <c r="D12314">
        <v>9231</v>
      </c>
      <c r="E12314" t="s">
        <v>8</v>
      </c>
      <c r="F12314">
        <v>11</v>
      </c>
      <c r="G12314">
        <v>6</v>
      </c>
      <c r="H12314">
        <f t="shared" si="385"/>
        <v>5</v>
      </c>
    </row>
    <row r="12315" spans="1:8" x14ac:dyDescent="0.2">
      <c r="A12315" t="s">
        <v>7</v>
      </c>
      <c r="B12315" t="s">
        <v>32</v>
      </c>
      <c r="C12315" t="str">
        <f t="shared" si="386"/>
        <v>Cumple</v>
      </c>
      <c r="D12315">
        <v>9320</v>
      </c>
      <c r="E12315" t="s">
        <v>8</v>
      </c>
      <c r="F12315">
        <v>6</v>
      </c>
      <c r="G12315">
        <v>6</v>
      </c>
      <c r="H12315">
        <f t="shared" si="385"/>
        <v>0</v>
      </c>
    </row>
    <row r="12316" spans="1:8" x14ac:dyDescent="0.2">
      <c r="A12316" t="s">
        <v>7</v>
      </c>
      <c r="B12316" t="s">
        <v>32</v>
      </c>
      <c r="C12316" t="str">
        <f t="shared" si="386"/>
        <v>Cumple</v>
      </c>
      <c r="D12316">
        <v>9484</v>
      </c>
      <c r="E12316" t="s">
        <v>8</v>
      </c>
      <c r="F12316">
        <v>9</v>
      </c>
      <c r="G12316">
        <v>6</v>
      </c>
      <c r="H12316">
        <f t="shared" si="385"/>
        <v>3</v>
      </c>
    </row>
    <row r="12317" spans="1:8" x14ac:dyDescent="0.2">
      <c r="A12317" t="s">
        <v>7</v>
      </c>
      <c r="B12317" t="s">
        <v>32</v>
      </c>
      <c r="C12317" t="str">
        <f t="shared" si="386"/>
        <v>Cumple</v>
      </c>
      <c r="D12317">
        <v>9617</v>
      </c>
      <c r="E12317" t="s">
        <v>8</v>
      </c>
      <c r="F12317">
        <v>8</v>
      </c>
      <c r="G12317">
        <v>6</v>
      </c>
      <c r="H12317">
        <f t="shared" si="385"/>
        <v>2</v>
      </c>
    </row>
    <row r="12318" spans="1:8" x14ac:dyDescent="0.2">
      <c r="A12318" t="s">
        <v>7</v>
      </c>
      <c r="B12318" t="s">
        <v>32</v>
      </c>
      <c r="C12318" t="str">
        <f t="shared" si="386"/>
        <v>No cumple</v>
      </c>
      <c r="D12318">
        <v>9839</v>
      </c>
      <c r="E12318" t="s">
        <v>8</v>
      </c>
      <c r="F12318">
        <v>4</v>
      </c>
      <c r="G12318">
        <v>6</v>
      </c>
      <c r="H12318">
        <f t="shared" si="385"/>
        <v>-2</v>
      </c>
    </row>
    <row r="12319" spans="1:8" x14ac:dyDescent="0.2">
      <c r="A12319" t="s">
        <v>7</v>
      </c>
      <c r="B12319" t="s">
        <v>32</v>
      </c>
      <c r="C12319" t="str">
        <f t="shared" si="386"/>
        <v>Cumple</v>
      </c>
      <c r="D12319">
        <v>3990</v>
      </c>
      <c r="E12319" t="s">
        <v>8</v>
      </c>
      <c r="F12319">
        <v>8</v>
      </c>
      <c r="G12319">
        <v>6</v>
      </c>
      <c r="H12319">
        <f t="shared" si="385"/>
        <v>2</v>
      </c>
    </row>
    <row r="12320" spans="1:8" x14ac:dyDescent="0.2">
      <c r="A12320" t="s">
        <v>7</v>
      </c>
      <c r="B12320" t="s">
        <v>32</v>
      </c>
      <c r="C12320" t="str">
        <f t="shared" si="386"/>
        <v>Cumple</v>
      </c>
      <c r="D12320">
        <v>4037</v>
      </c>
      <c r="E12320" t="s">
        <v>8</v>
      </c>
      <c r="F12320">
        <v>10</v>
      </c>
      <c r="G12320">
        <v>6</v>
      </c>
      <c r="H12320">
        <f t="shared" si="385"/>
        <v>4</v>
      </c>
    </row>
    <row r="12321" spans="1:8" x14ac:dyDescent="0.2">
      <c r="A12321" t="s">
        <v>7</v>
      </c>
      <c r="B12321" t="s">
        <v>32</v>
      </c>
      <c r="C12321" t="str">
        <f t="shared" si="386"/>
        <v>No cumple</v>
      </c>
      <c r="D12321">
        <v>2905</v>
      </c>
      <c r="E12321" t="s">
        <v>8</v>
      </c>
      <c r="F12321">
        <v>5</v>
      </c>
      <c r="G12321">
        <v>6</v>
      </c>
      <c r="H12321">
        <f t="shared" si="385"/>
        <v>-1</v>
      </c>
    </row>
    <row r="12322" spans="1:8" x14ac:dyDescent="0.2">
      <c r="A12322" t="s">
        <v>7</v>
      </c>
      <c r="B12322" t="s">
        <v>32</v>
      </c>
      <c r="C12322" t="str">
        <f t="shared" si="386"/>
        <v>No cumple</v>
      </c>
      <c r="D12322">
        <v>504</v>
      </c>
      <c r="E12322" t="s">
        <v>8</v>
      </c>
      <c r="F12322">
        <v>2</v>
      </c>
      <c r="G12322">
        <v>6</v>
      </c>
      <c r="H12322">
        <f t="shared" si="385"/>
        <v>-4</v>
      </c>
    </row>
    <row r="12323" spans="1:8" x14ac:dyDescent="0.2">
      <c r="A12323" t="s">
        <v>7</v>
      </c>
      <c r="B12323" t="s">
        <v>32</v>
      </c>
      <c r="C12323" t="str">
        <f t="shared" si="386"/>
        <v>No cumple</v>
      </c>
      <c r="D12323">
        <v>659</v>
      </c>
      <c r="E12323" t="s">
        <v>8</v>
      </c>
      <c r="F12323">
        <v>3</v>
      </c>
      <c r="G12323">
        <v>6</v>
      </c>
      <c r="H12323">
        <f t="shared" si="385"/>
        <v>-3</v>
      </c>
    </row>
    <row r="12324" spans="1:8" x14ac:dyDescent="0.2">
      <c r="A12324" t="s">
        <v>7</v>
      </c>
      <c r="B12324" t="s">
        <v>32</v>
      </c>
      <c r="C12324" t="str">
        <f t="shared" si="386"/>
        <v>No cumple</v>
      </c>
      <c r="D12324">
        <v>1713</v>
      </c>
      <c r="E12324" t="s">
        <v>8</v>
      </c>
      <c r="F12324">
        <v>2</v>
      </c>
      <c r="G12324">
        <v>6</v>
      </c>
      <c r="H12324">
        <f t="shared" si="385"/>
        <v>-4</v>
      </c>
    </row>
    <row r="12325" spans="1:8" x14ac:dyDescent="0.2">
      <c r="A12325" t="s">
        <v>7</v>
      </c>
      <c r="B12325" t="s">
        <v>32</v>
      </c>
      <c r="C12325" t="str">
        <f t="shared" si="386"/>
        <v>No cumple</v>
      </c>
      <c r="D12325">
        <v>1826</v>
      </c>
      <c r="E12325" t="s">
        <v>8</v>
      </c>
      <c r="F12325">
        <v>4</v>
      </c>
      <c r="G12325">
        <v>6</v>
      </c>
      <c r="H12325">
        <f t="shared" si="385"/>
        <v>-2</v>
      </c>
    </row>
    <row r="12326" spans="1:8" x14ac:dyDescent="0.2">
      <c r="A12326" t="s">
        <v>7</v>
      </c>
      <c r="B12326" t="s">
        <v>32</v>
      </c>
      <c r="C12326" t="str">
        <f t="shared" si="386"/>
        <v>No cumple</v>
      </c>
      <c r="D12326">
        <v>2102</v>
      </c>
      <c r="E12326" t="s">
        <v>8</v>
      </c>
      <c r="F12326">
        <v>3</v>
      </c>
      <c r="G12326">
        <v>6</v>
      </c>
      <c r="H12326">
        <f t="shared" si="385"/>
        <v>-3</v>
      </c>
    </row>
    <row r="12327" spans="1:8" x14ac:dyDescent="0.2">
      <c r="A12327" t="s">
        <v>7</v>
      </c>
      <c r="B12327" t="s">
        <v>32</v>
      </c>
      <c r="C12327" t="str">
        <f t="shared" si="386"/>
        <v>Cumple</v>
      </c>
      <c r="D12327">
        <v>2367</v>
      </c>
      <c r="E12327" t="s">
        <v>8</v>
      </c>
      <c r="F12327">
        <v>15</v>
      </c>
      <c r="G12327">
        <v>6</v>
      </c>
      <c r="H12327">
        <f t="shared" si="385"/>
        <v>9</v>
      </c>
    </row>
    <row r="12328" spans="1:8" x14ac:dyDescent="0.2">
      <c r="A12328" t="s">
        <v>7</v>
      </c>
      <c r="B12328" t="s">
        <v>32</v>
      </c>
      <c r="C12328" t="str">
        <f t="shared" si="386"/>
        <v>No cumple</v>
      </c>
      <c r="D12328">
        <v>2390</v>
      </c>
      <c r="E12328" t="s">
        <v>8</v>
      </c>
      <c r="F12328">
        <v>5</v>
      </c>
      <c r="G12328">
        <v>6</v>
      </c>
      <c r="H12328">
        <f t="shared" si="385"/>
        <v>-1</v>
      </c>
    </row>
    <row r="12329" spans="1:8" x14ac:dyDescent="0.2">
      <c r="A12329" t="s">
        <v>7</v>
      </c>
      <c r="B12329" t="s">
        <v>32</v>
      </c>
      <c r="C12329" t="str">
        <f t="shared" si="386"/>
        <v>No cumple</v>
      </c>
      <c r="D12329">
        <v>2753</v>
      </c>
      <c r="E12329" t="s">
        <v>8</v>
      </c>
      <c r="F12329">
        <v>5</v>
      </c>
      <c r="G12329">
        <v>6</v>
      </c>
      <c r="H12329">
        <f t="shared" si="385"/>
        <v>-1</v>
      </c>
    </row>
    <row r="12330" spans="1:8" x14ac:dyDescent="0.2">
      <c r="A12330" t="s">
        <v>7</v>
      </c>
      <c r="B12330" t="s">
        <v>32</v>
      </c>
      <c r="C12330" t="str">
        <f t="shared" si="386"/>
        <v>Cumple</v>
      </c>
      <c r="D12330">
        <v>2755</v>
      </c>
      <c r="E12330" t="s">
        <v>8</v>
      </c>
      <c r="F12330">
        <v>7</v>
      </c>
      <c r="G12330">
        <v>6</v>
      </c>
      <c r="H12330">
        <f t="shared" si="385"/>
        <v>1</v>
      </c>
    </row>
    <row r="12331" spans="1:8" x14ac:dyDescent="0.2">
      <c r="A12331" t="s">
        <v>7</v>
      </c>
      <c r="B12331" t="s">
        <v>32</v>
      </c>
      <c r="C12331" t="str">
        <f t="shared" si="386"/>
        <v>No cumple</v>
      </c>
      <c r="D12331">
        <v>3368</v>
      </c>
      <c r="E12331" t="s">
        <v>8</v>
      </c>
      <c r="F12331">
        <v>4</v>
      </c>
      <c r="G12331">
        <v>6</v>
      </c>
      <c r="H12331">
        <f t="shared" si="385"/>
        <v>-2</v>
      </c>
    </row>
    <row r="12332" spans="1:8" x14ac:dyDescent="0.2">
      <c r="A12332" t="s">
        <v>7</v>
      </c>
      <c r="B12332" t="s">
        <v>32</v>
      </c>
      <c r="C12332" t="str">
        <f t="shared" si="386"/>
        <v>Cumple</v>
      </c>
      <c r="D12332">
        <v>3940</v>
      </c>
      <c r="E12332" t="s">
        <v>8</v>
      </c>
      <c r="F12332">
        <v>13</v>
      </c>
      <c r="G12332">
        <v>6</v>
      </c>
      <c r="H12332">
        <f t="shared" si="385"/>
        <v>7</v>
      </c>
    </row>
    <row r="12333" spans="1:8" x14ac:dyDescent="0.2">
      <c r="A12333" t="s">
        <v>7</v>
      </c>
      <c r="B12333" t="s">
        <v>32</v>
      </c>
      <c r="C12333" t="str">
        <f t="shared" si="386"/>
        <v>No cumple</v>
      </c>
      <c r="D12333">
        <v>9031</v>
      </c>
      <c r="E12333" t="s">
        <v>8</v>
      </c>
      <c r="F12333">
        <v>3</v>
      </c>
      <c r="G12333">
        <v>6</v>
      </c>
      <c r="H12333">
        <f t="shared" si="385"/>
        <v>-3</v>
      </c>
    </row>
    <row r="12334" spans="1:8" x14ac:dyDescent="0.2">
      <c r="A12334" t="s">
        <v>7</v>
      </c>
      <c r="B12334" t="s">
        <v>32</v>
      </c>
      <c r="C12334" t="str">
        <f t="shared" si="386"/>
        <v>No cumple</v>
      </c>
      <c r="D12334">
        <v>9082</v>
      </c>
      <c r="E12334" t="s">
        <v>8</v>
      </c>
      <c r="F12334">
        <v>2</v>
      </c>
      <c r="G12334">
        <v>6</v>
      </c>
      <c r="H12334">
        <f t="shared" si="385"/>
        <v>-4</v>
      </c>
    </row>
    <row r="12335" spans="1:8" x14ac:dyDescent="0.2">
      <c r="A12335" t="s">
        <v>7</v>
      </c>
      <c r="B12335" t="s">
        <v>32</v>
      </c>
      <c r="C12335" t="str">
        <f t="shared" si="386"/>
        <v>No cumple</v>
      </c>
      <c r="D12335">
        <v>9200</v>
      </c>
      <c r="E12335" t="s">
        <v>8</v>
      </c>
      <c r="F12335">
        <v>2</v>
      </c>
      <c r="G12335">
        <v>6</v>
      </c>
      <c r="H12335">
        <f t="shared" si="385"/>
        <v>-4</v>
      </c>
    </row>
    <row r="12336" spans="1:8" x14ac:dyDescent="0.2">
      <c r="A12336" t="s">
        <v>7</v>
      </c>
      <c r="B12336" t="s">
        <v>32</v>
      </c>
      <c r="C12336" t="str">
        <f t="shared" si="386"/>
        <v>No cumple</v>
      </c>
      <c r="D12336">
        <v>9468</v>
      </c>
      <c r="E12336" t="s">
        <v>8</v>
      </c>
      <c r="F12336">
        <v>2</v>
      </c>
      <c r="G12336">
        <v>6</v>
      </c>
      <c r="H12336">
        <f t="shared" si="385"/>
        <v>-4</v>
      </c>
    </row>
    <row r="12337" spans="1:8" x14ac:dyDescent="0.2">
      <c r="A12337" t="s">
        <v>7</v>
      </c>
      <c r="B12337" t="s">
        <v>32</v>
      </c>
      <c r="C12337" t="str">
        <f t="shared" si="386"/>
        <v>Cumple</v>
      </c>
      <c r="D12337">
        <v>9470</v>
      </c>
      <c r="E12337" t="s">
        <v>8</v>
      </c>
      <c r="F12337">
        <v>9</v>
      </c>
      <c r="G12337">
        <v>6</v>
      </c>
      <c r="H12337">
        <f t="shared" si="385"/>
        <v>3</v>
      </c>
    </row>
    <row r="12338" spans="1:8" x14ac:dyDescent="0.2">
      <c r="A12338" t="s">
        <v>7</v>
      </c>
      <c r="B12338" t="s">
        <v>32</v>
      </c>
      <c r="C12338" t="str">
        <f t="shared" si="386"/>
        <v>No cumple</v>
      </c>
      <c r="D12338">
        <v>9794</v>
      </c>
      <c r="E12338" t="s">
        <v>8</v>
      </c>
      <c r="F12338">
        <v>3</v>
      </c>
      <c r="G12338">
        <v>6</v>
      </c>
      <c r="H12338">
        <f t="shared" si="385"/>
        <v>-3</v>
      </c>
    </row>
    <row r="12339" spans="1:8" x14ac:dyDescent="0.2">
      <c r="A12339" t="s">
        <v>7</v>
      </c>
      <c r="B12339" t="s">
        <v>32</v>
      </c>
      <c r="C12339" t="str">
        <f t="shared" si="386"/>
        <v>No cumple</v>
      </c>
      <c r="D12339">
        <v>2194</v>
      </c>
      <c r="E12339" t="s">
        <v>8</v>
      </c>
      <c r="F12339">
        <v>2</v>
      </c>
      <c r="G12339">
        <v>6</v>
      </c>
      <c r="H12339">
        <f t="shared" si="385"/>
        <v>-4</v>
      </c>
    </row>
    <row r="12340" spans="1:8" x14ac:dyDescent="0.2">
      <c r="A12340" t="s">
        <v>7</v>
      </c>
      <c r="B12340" t="s">
        <v>32</v>
      </c>
      <c r="C12340" t="str">
        <f t="shared" si="386"/>
        <v>No cumple</v>
      </c>
      <c r="D12340">
        <v>208</v>
      </c>
      <c r="E12340" t="s">
        <v>8</v>
      </c>
      <c r="F12340">
        <v>2</v>
      </c>
      <c r="G12340">
        <v>6</v>
      </c>
      <c r="H12340">
        <f t="shared" si="385"/>
        <v>-4</v>
      </c>
    </row>
    <row r="12341" spans="1:8" x14ac:dyDescent="0.2">
      <c r="A12341" t="s">
        <v>7</v>
      </c>
      <c r="B12341" t="s">
        <v>32</v>
      </c>
      <c r="C12341" t="str">
        <f t="shared" si="386"/>
        <v>No cumple</v>
      </c>
      <c r="D12341">
        <v>301</v>
      </c>
      <c r="E12341" t="s">
        <v>8</v>
      </c>
      <c r="F12341">
        <v>4</v>
      </c>
      <c r="G12341">
        <v>6</v>
      </c>
      <c r="H12341">
        <f t="shared" si="385"/>
        <v>-2</v>
      </c>
    </row>
    <row r="12342" spans="1:8" x14ac:dyDescent="0.2">
      <c r="A12342" t="s">
        <v>7</v>
      </c>
      <c r="B12342" t="s">
        <v>32</v>
      </c>
      <c r="C12342" t="str">
        <f t="shared" si="386"/>
        <v>No cumple</v>
      </c>
      <c r="D12342">
        <v>307</v>
      </c>
      <c r="E12342" t="s">
        <v>8</v>
      </c>
      <c r="F12342">
        <v>3</v>
      </c>
      <c r="G12342">
        <v>6</v>
      </c>
      <c r="H12342">
        <f t="shared" si="385"/>
        <v>-3</v>
      </c>
    </row>
    <row r="12343" spans="1:8" x14ac:dyDescent="0.2">
      <c r="A12343" t="s">
        <v>7</v>
      </c>
      <c r="B12343" t="s">
        <v>32</v>
      </c>
      <c r="C12343" t="str">
        <f t="shared" si="386"/>
        <v>No cumple</v>
      </c>
      <c r="D12343">
        <v>331</v>
      </c>
      <c r="E12343" t="s">
        <v>8</v>
      </c>
      <c r="F12343">
        <v>1</v>
      </c>
      <c r="G12343">
        <v>6</v>
      </c>
      <c r="H12343">
        <f t="shared" si="385"/>
        <v>-5</v>
      </c>
    </row>
    <row r="12344" spans="1:8" x14ac:dyDescent="0.2">
      <c r="A12344" t="s">
        <v>7</v>
      </c>
      <c r="B12344" t="s">
        <v>32</v>
      </c>
      <c r="C12344" t="str">
        <f t="shared" si="386"/>
        <v>No cumple</v>
      </c>
      <c r="D12344">
        <v>517</v>
      </c>
      <c r="E12344" t="s">
        <v>8</v>
      </c>
      <c r="F12344">
        <v>1</v>
      </c>
      <c r="G12344">
        <v>6</v>
      </c>
      <c r="H12344">
        <f t="shared" si="385"/>
        <v>-5</v>
      </c>
    </row>
    <row r="12345" spans="1:8" x14ac:dyDescent="0.2">
      <c r="A12345" t="s">
        <v>7</v>
      </c>
      <c r="B12345" t="s">
        <v>32</v>
      </c>
      <c r="C12345" t="str">
        <f t="shared" si="386"/>
        <v>No cumple</v>
      </c>
      <c r="D12345">
        <v>559</v>
      </c>
      <c r="E12345" t="s">
        <v>8</v>
      </c>
      <c r="F12345">
        <v>4</v>
      </c>
      <c r="G12345">
        <v>6</v>
      </c>
      <c r="H12345">
        <f t="shared" si="385"/>
        <v>-2</v>
      </c>
    </row>
    <row r="12346" spans="1:8" x14ac:dyDescent="0.2">
      <c r="A12346" t="s">
        <v>7</v>
      </c>
      <c r="B12346" t="s">
        <v>32</v>
      </c>
      <c r="C12346" t="str">
        <f t="shared" si="386"/>
        <v>No cumple</v>
      </c>
      <c r="D12346">
        <v>692</v>
      </c>
      <c r="E12346" t="s">
        <v>8</v>
      </c>
      <c r="F12346">
        <v>4</v>
      </c>
      <c r="G12346">
        <v>6</v>
      </c>
      <c r="H12346">
        <f t="shared" si="385"/>
        <v>-2</v>
      </c>
    </row>
    <row r="12347" spans="1:8" x14ac:dyDescent="0.2">
      <c r="A12347" t="s">
        <v>7</v>
      </c>
      <c r="B12347" t="s">
        <v>32</v>
      </c>
      <c r="C12347" t="str">
        <f t="shared" si="386"/>
        <v>No cumple</v>
      </c>
      <c r="D12347">
        <v>761</v>
      </c>
      <c r="E12347" t="s">
        <v>8</v>
      </c>
      <c r="F12347">
        <v>2</v>
      </c>
      <c r="G12347">
        <v>6</v>
      </c>
      <c r="H12347">
        <f t="shared" si="385"/>
        <v>-4</v>
      </c>
    </row>
    <row r="12348" spans="1:8" x14ac:dyDescent="0.2">
      <c r="A12348" t="s">
        <v>7</v>
      </c>
      <c r="B12348" t="s">
        <v>32</v>
      </c>
      <c r="C12348" t="str">
        <f t="shared" si="386"/>
        <v>No cumple</v>
      </c>
      <c r="D12348">
        <v>1785</v>
      </c>
      <c r="E12348" t="s">
        <v>8</v>
      </c>
      <c r="F12348">
        <v>3</v>
      </c>
      <c r="G12348">
        <v>6</v>
      </c>
      <c r="H12348">
        <f t="shared" si="385"/>
        <v>-3</v>
      </c>
    </row>
    <row r="12349" spans="1:8" x14ac:dyDescent="0.2">
      <c r="A12349" t="s">
        <v>7</v>
      </c>
      <c r="B12349" t="s">
        <v>32</v>
      </c>
      <c r="C12349" t="str">
        <f t="shared" si="386"/>
        <v>No cumple</v>
      </c>
      <c r="D12349">
        <v>1790</v>
      </c>
      <c r="E12349" t="s">
        <v>8</v>
      </c>
      <c r="F12349">
        <v>1</v>
      </c>
      <c r="G12349">
        <v>6</v>
      </c>
      <c r="H12349">
        <f t="shared" si="385"/>
        <v>-5</v>
      </c>
    </row>
    <row r="12350" spans="1:8" x14ac:dyDescent="0.2">
      <c r="A12350" t="s">
        <v>7</v>
      </c>
      <c r="B12350" t="s">
        <v>32</v>
      </c>
      <c r="C12350" t="str">
        <f t="shared" si="386"/>
        <v>No cumple</v>
      </c>
      <c r="D12350">
        <v>2189</v>
      </c>
      <c r="E12350" t="s">
        <v>8</v>
      </c>
      <c r="F12350">
        <v>1</v>
      </c>
      <c r="G12350">
        <v>6</v>
      </c>
      <c r="H12350">
        <f t="shared" si="385"/>
        <v>-5</v>
      </c>
    </row>
    <row r="12351" spans="1:8" x14ac:dyDescent="0.2">
      <c r="A12351" t="s">
        <v>7</v>
      </c>
      <c r="B12351" t="s">
        <v>32</v>
      </c>
      <c r="C12351" t="str">
        <f t="shared" si="386"/>
        <v>No cumple</v>
      </c>
      <c r="D12351">
        <v>2227</v>
      </c>
      <c r="E12351" t="s">
        <v>8</v>
      </c>
      <c r="F12351">
        <v>2</v>
      </c>
      <c r="G12351">
        <v>6</v>
      </c>
      <c r="H12351">
        <f t="shared" si="385"/>
        <v>-4</v>
      </c>
    </row>
    <row r="12352" spans="1:8" x14ac:dyDescent="0.2">
      <c r="A12352" t="s">
        <v>7</v>
      </c>
      <c r="B12352" t="s">
        <v>32</v>
      </c>
      <c r="C12352" t="str">
        <f t="shared" si="386"/>
        <v>No cumple</v>
      </c>
      <c r="D12352">
        <v>2239</v>
      </c>
      <c r="E12352" t="s">
        <v>8</v>
      </c>
      <c r="F12352">
        <v>1</v>
      </c>
      <c r="G12352">
        <v>6</v>
      </c>
      <c r="H12352">
        <f t="shared" si="385"/>
        <v>-5</v>
      </c>
    </row>
    <row r="12353" spans="1:8" x14ac:dyDescent="0.2">
      <c r="A12353" t="s">
        <v>7</v>
      </c>
      <c r="B12353" t="s">
        <v>32</v>
      </c>
      <c r="C12353" t="str">
        <f t="shared" si="386"/>
        <v>Cumple</v>
      </c>
      <c r="D12353">
        <v>2331</v>
      </c>
      <c r="E12353" t="s">
        <v>8</v>
      </c>
      <c r="F12353">
        <v>6</v>
      </c>
      <c r="G12353">
        <v>6</v>
      </c>
      <c r="H12353">
        <f t="shared" si="385"/>
        <v>0</v>
      </c>
    </row>
    <row r="12354" spans="1:8" x14ac:dyDescent="0.2">
      <c r="A12354" t="s">
        <v>7</v>
      </c>
      <c r="B12354" t="s">
        <v>32</v>
      </c>
      <c r="C12354" t="str">
        <f t="shared" si="386"/>
        <v>No cumple</v>
      </c>
      <c r="D12354">
        <v>2421</v>
      </c>
      <c r="E12354" t="s">
        <v>8</v>
      </c>
      <c r="F12354">
        <v>1</v>
      </c>
      <c r="G12354">
        <v>6</v>
      </c>
      <c r="H12354">
        <f t="shared" si="385"/>
        <v>-5</v>
      </c>
    </row>
    <row r="12355" spans="1:8" x14ac:dyDescent="0.2">
      <c r="A12355" t="s">
        <v>7</v>
      </c>
      <c r="B12355" t="s">
        <v>32</v>
      </c>
      <c r="C12355" t="str">
        <f t="shared" si="386"/>
        <v>No cumple</v>
      </c>
      <c r="D12355">
        <v>2463</v>
      </c>
      <c r="E12355" t="s">
        <v>8</v>
      </c>
      <c r="F12355">
        <v>2</v>
      </c>
      <c r="G12355">
        <v>6</v>
      </c>
      <c r="H12355">
        <f t="shared" ref="H12355:H12418" si="387">F12355-G12355</f>
        <v>-4</v>
      </c>
    </row>
    <row r="12356" spans="1:8" x14ac:dyDescent="0.2">
      <c r="A12356" t="s">
        <v>7</v>
      </c>
      <c r="B12356" t="s">
        <v>32</v>
      </c>
      <c r="C12356" t="str">
        <f t="shared" si="386"/>
        <v>No cumple</v>
      </c>
      <c r="D12356">
        <v>2479</v>
      </c>
      <c r="E12356" t="s">
        <v>8</v>
      </c>
      <c r="F12356">
        <v>1</v>
      </c>
      <c r="G12356">
        <v>6</v>
      </c>
      <c r="H12356">
        <f t="shared" si="387"/>
        <v>-5</v>
      </c>
    </row>
    <row r="12357" spans="1:8" x14ac:dyDescent="0.2">
      <c r="A12357" t="s">
        <v>7</v>
      </c>
      <c r="B12357" t="s">
        <v>32</v>
      </c>
      <c r="C12357" t="str">
        <f t="shared" ref="C12357:C12420" si="388">IF(H12357&gt;=0,"Cumple","No cumple")</f>
        <v>No cumple</v>
      </c>
      <c r="D12357">
        <v>2546</v>
      </c>
      <c r="E12357" t="s">
        <v>8</v>
      </c>
      <c r="F12357">
        <v>1</v>
      </c>
      <c r="G12357">
        <v>6</v>
      </c>
      <c r="H12357">
        <f t="shared" si="387"/>
        <v>-5</v>
      </c>
    </row>
    <row r="12358" spans="1:8" x14ac:dyDescent="0.2">
      <c r="A12358" t="s">
        <v>7</v>
      </c>
      <c r="B12358" t="s">
        <v>32</v>
      </c>
      <c r="C12358" t="str">
        <f t="shared" si="388"/>
        <v>No cumple</v>
      </c>
      <c r="D12358">
        <v>2784</v>
      </c>
      <c r="E12358" t="s">
        <v>8</v>
      </c>
      <c r="F12358">
        <v>4</v>
      </c>
      <c r="G12358">
        <v>6</v>
      </c>
      <c r="H12358">
        <f t="shared" si="387"/>
        <v>-2</v>
      </c>
    </row>
    <row r="12359" spans="1:8" x14ac:dyDescent="0.2">
      <c r="A12359" t="s">
        <v>7</v>
      </c>
      <c r="B12359" t="s">
        <v>32</v>
      </c>
      <c r="C12359" t="str">
        <f t="shared" si="388"/>
        <v>No cumple</v>
      </c>
      <c r="D12359">
        <v>3049</v>
      </c>
      <c r="E12359" t="s">
        <v>8</v>
      </c>
      <c r="F12359">
        <v>4</v>
      </c>
      <c r="G12359">
        <v>6</v>
      </c>
      <c r="H12359">
        <f t="shared" si="387"/>
        <v>-2</v>
      </c>
    </row>
    <row r="12360" spans="1:8" x14ac:dyDescent="0.2">
      <c r="A12360" t="s">
        <v>7</v>
      </c>
      <c r="B12360" t="s">
        <v>32</v>
      </c>
      <c r="C12360" t="str">
        <f t="shared" si="388"/>
        <v>Cumple</v>
      </c>
      <c r="D12360">
        <v>3559</v>
      </c>
      <c r="E12360" t="s">
        <v>8</v>
      </c>
      <c r="F12360">
        <v>6</v>
      </c>
      <c r="G12360">
        <v>6</v>
      </c>
      <c r="H12360">
        <f t="shared" si="387"/>
        <v>0</v>
      </c>
    </row>
    <row r="12361" spans="1:8" x14ac:dyDescent="0.2">
      <c r="A12361" t="s">
        <v>7</v>
      </c>
      <c r="B12361" t="s">
        <v>32</v>
      </c>
      <c r="C12361" t="str">
        <f t="shared" si="388"/>
        <v>No cumple</v>
      </c>
      <c r="D12361">
        <v>3629</v>
      </c>
      <c r="E12361" t="s">
        <v>8</v>
      </c>
      <c r="F12361">
        <v>4</v>
      </c>
      <c r="G12361">
        <v>6</v>
      </c>
      <c r="H12361">
        <f t="shared" si="387"/>
        <v>-2</v>
      </c>
    </row>
    <row r="12362" spans="1:8" x14ac:dyDescent="0.2">
      <c r="A12362" t="s">
        <v>7</v>
      </c>
      <c r="B12362" t="s">
        <v>32</v>
      </c>
      <c r="C12362" t="str">
        <f t="shared" si="388"/>
        <v>No cumple</v>
      </c>
      <c r="D12362">
        <v>3802</v>
      </c>
      <c r="E12362" t="s">
        <v>8</v>
      </c>
      <c r="F12362">
        <v>1</v>
      </c>
      <c r="G12362">
        <v>6</v>
      </c>
      <c r="H12362">
        <f t="shared" si="387"/>
        <v>-5</v>
      </c>
    </row>
    <row r="12363" spans="1:8" x14ac:dyDescent="0.2">
      <c r="A12363" t="s">
        <v>7</v>
      </c>
      <c r="B12363" t="s">
        <v>32</v>
      </c>
      <c r="C12363" t="str">
        <f t="shared" si="388"/>
        <v>Cumple</v>
      </c>
      <c r="D12363">
        <v>3820</v>
      </c>
      <c r="E12363" t="s">
        <v>8</v>
      </c>
      <c r="F12363">
        <v>9</v>
      </c>
      <c r="G12363">
        <v>6</v>
      </c>
      <c r="H12363">
        <f t="shared" si="387"/>
        <v>3</v>
      </c>
    </row>
    <row r="12364" spans="1:8" x14ac:dyDescent="0.2">
      <c r="A12364" t="s">
        <v>7</v>
      </c>
      <c r="B12364" t="s">
        <v>32</v>
      </c>
      <c r="C12364" t="str">
        <f t="shared" si="388"/>
        <v>No cumple</v>
      </c>
      <c r="D12364">
        <v>3858</v>
      </c>
      <c r="E12364" t="s">
        <v>8</v>
      </c>
      <c r="F12364">
        <v>2</v>
      </c>
      <c r="G12364">
        <v>6</v>
      </c>
      <c r="H12364">
        <f t="shared" si="387"/>
        <v>-4</v>
      </c>
    </row>
    <row r="12365" spans="1:8" x14ac:dyDescent="0.2">
      <c r="A12365" t="s">
        <v>7</v>
      </c>
      <c r="B12365" t="s">
        <v>32</v>
      </c>
      <c r="C12365" t="str">
        <f t="shared" si="388"/>
        <v>No cumple</v>
      </c>
      <c r="D12365">
        <v>3875</v>
      </c>
      <c r="E12365" t="s">
        <v>8</v>
      </c>
      <c r="F12365">
        <v>3</v>
      </c>
      <c r="G12365">
        <v>6</v>
      </c>
      <c r="H12365">
        <f t="shared" si="387"/>
        <v>-3</v>
      </c>
    </row>
    <row r="12366" spans="1:8" x14ac:dyDescent="0.2">
      <c r="A12366" t="s">
        <v>7</v>
      </c>
      <c r="B12366" t="s">
        <v>32</v>
      </c>
      <c r="C12366" t="str">
        <f t="shared" si="388"/>
        <v>No cumple</v>
      </c>
      <c r="D12366">
        <v>3902</v>
      </c>
      <c r="E12366" t="s">
        <v>8</v>
      </c>
      <c r="F12366">
        <v>2</v>
      </c>
      <c r="G12366">
        <v>6</v>
      </c>
      <c r="H12366">
        <f t="shared" si="387"/>
        <v>-4</v>
      </c>
    </row>
    <row r="12367" spans="1:8" x14ac:dyDescent="0.2">
      <c r="A12367" t="s">
        <v>7</v>
      </c>
      <c r="B12367" t="s">
        <v>32</v>
      </c>
      <c r="C12367" t="str">
        <f t="shared" si="388"/>
        <v>No cumple</v>
      </c>
      <c r="D12367">
        <v>3909</v>
      </c>
      <c r="E12367" t="s">
        <v>8</v>
      </c>
      <c r="F12367">
        <v>2</v>
      </c>
      <c r="G12367">
        <v>6</v>
      </c>
      <c r="H12367">
        <f t="shared" si="387"/>
        <v>-4</v>
      </c>
    </row>
    <row r="12368" spans="1:8" x14ac:dyDescent="0.2">
      <c r="A12368" t="s">
        <v>7</v>
      </c>
      <c r="B12368" t="s">
        <v>32</v>
      </c>
      <c r="C12368" t="str">
        <f t="shared" si="388"/>
        <v>No cumple</v>
      </c>
      <c r="D12368">
        <v>3919</v>
      </c>
      <c r="E12368" t="s">
        <v>8</v>
      </c>
      <c r="F12368">
        <v>1</v>
      </c>
      <c r="G12368">
        <v>6</v>
      </c>
      <c r="H12368">
        <f t="shared" si="387"/>
        <v>-5</v>
      </c>
    </row>
    <row r="12369" spans="1:8" x14ac:dyDescent="0.2">
      <c r="A12369" t="s">
        <v>7</v>
      </c>
      <c r="B12369" t="s">
        <v>32</v>
      </c>
      <c r="C12369" t="str">
        <f t="shared" si="388"/>
        <v>No cumple</v>
      </c>
      <c r="D12369">
        <v>3929</v>
      </c>
      <c r="E12369" t="s">
        <v>8</v>
      </c>
      <c r="F12369">
        <v>1</v>
      </c>
      <c r="G12369">
        <v>6</v>
      </c>
      <c r="H12369">
        <f t="shared" si="387"/>
        <v>-5</v>
      </c>
    </row>
    <row r="12370" spans="1:8" x14ac:dyDescent="0.2">
      <c r="A12370" t="s">
        <v>7</v>
      </c>
      <c r="B12370" t="s">
        <v>32</v>
      </c>
      <c r="C12370" t="str">
        <f t="shared" si="388"/>
        <v>Cumple</v>
      </c>
      <c r="D12370">
        <v>3962</v>
      </c>
      <c r="E12370" t="s">
        <v>8</v>
      </c>
      <c r="F12370">
        <v>6</v>
      </c>
      <c r="G12370">
        <v>6</v>
      </c>
      <c r="H12370">
        <f t="shared" si="387"/>
        <v>0</v>
      </c>
    </row>
    <row r="12371" spans="1:8" x14ac:dyDescent="0.2">
      <c r="A12371" t="s">
        <v>7</v>
      </c>
      <c r="B12371" t="s">
        <v>32</v>
      </c>
      <c r="C12371" t="str">
        <f t="shared" si="388"/>
        <v>No cumple</v>
      </c>
      <c r="D12371">
        <v>5002</v>
      </c>
      <c r="E12371" t="s">
        <v>8</v>
      </c>
      <c r="F12371">
        <v>1</v>
      </c>
      <c r="G12371">
        <v>6</v>
      </c>
      <c r="H12371">
        <f t="shared" si="387"/>
        <v>-5</v>
      </c>
    </row>
    <row r="12372" spans="1:8" x14ac:dyDescent="0.2">
      <c r="A12372" t="s">
        <v>7</v>
      </c>
      <c r="B12372" t="s">
        <v>32</v>
      </c>
      <c r="C12372" t="str">
        <f t="shared" si="388"/>
        <v>No cumple</v>
      </c>
      <c r="D12372">
        <v>9022</v>
      </c>
      <c r="E12372" t="s">
        <v>8</v>
      </c>
      <c r="F12372">
        <v>1</v>
      </c>
      <c r="G12372">
        <v>6</v>
      </c>
      <c r="H12372">
        <f t="shared" si="387"/>
        <v>-5</v>
      </c>
    </row>
    <row r="12373" spans="1:8" x14ac:dyDescent="0.2">
      <c r="A12373" t="s">
        <v>7</v>
      </c>
      <c r="B12373" t="s">
        <v>32</v>
      </c>
      <c r="C12373" t="str">
        <f t="shared" si="388"/>
        <v>No cumple</v>
      </c>
      <c r="D12373">
        <v>9121</v>
      </c>
      <c r="E12373" t="s">
        <v>8</v>
      </c>
      <c r="F12373">
        <v>2</v>
      </c>
      <c r="G12373">
        <v>6</v>
      </c>
      <c r="H12373">
        <f t="shared" si="387"/>
        <v>-4</v>
      </c>
    </row>
    <row r="12374" spans="1:8" x14ac:dyDescent="0.2">
      <c r="A12374" t="s">
        <v>7</v>
      </c>
      <c r="B12374" t="s">
        <v>32</v>
      </c>
      <c r="C12374" t="str">
        <f t="shared" si="388"/>
        <v>No cumple</v>
      </c>
      <c r="D12374">
        <v>9177</v>
      </c>
      <c r="E12374" t="s">
        <v>8</v>
      </c>
      <c r="F12374">
        <v>3</v>
      </c>
      <c r="G12374">
        <v>6</v>
      </c>
      <c r="H12374">
        <f t="shared" si="387"/>
        <v>-3</v>
      </c>
    </row>
    <row r="12375" spans="1:8" x14ac:dyDescent="0.2">
      <c r="A12375" t="s">
        <v>7</v>
      </c>
      <c r="B12375" t="s">
        <v>32</v>
      </c>
      <c r="C12375" t="str">
        <f t="shared" si="388"/>
        <v>No cumple</v>
      </c>
      <c r="D12375">
        <v>9329</v>
      </c>
      <c r="E12375" t="s">
        <v>8</v>
      </c>
      <c r="F12375">
        <v>4</v>
      </c>
      <c r="G12375">
        <v>6</v>
      </c>
      <c r="H12375">
        <f t="shared" si="387"/>
        <v>-2</v>
      </c>
    </row>
    <row r="12376" spans="1:8" x14ac:dyDescent="0.2">
      <c r="A12376" t="s">
        <v>7</v>
      </c>
      <c r="B12376" t="s">
        <v>32</v>
      </c>
      <c r="C12376" t="str">
        <f t="shared" si="388"/>
        <v>Cumple</v>
      </c>
      <c r="D12376">
        <v>9364</v>
      </c>
      <c r="E12376" t="s">
        <v>8</v>
      </c>
      <c r="F12376">
        <v>8</v>
      </c>
      <c r="G12376">
        <v>6</v>
      </c>
      <c r="H12376">
        <f t="shared" si="387"/>
        <v>2</v>
      </c>
    </row>
    <row r="12377" spans="1:8" x14ac:dyDescent="0.2">
      <c r="A12377" t="s">
        <v>7</v>
      </c>
      <c r="B12377" t="s">
        <v>32</v>
      </c>
      <c r="C12377" t="str">
        <f t="shared" si="388"/>
        <v>No cumple</v>
      </c>
      <c r="D12377">
        <v>9365</v>
      </c>
      <c r="E12377" t="s">
        <v>8</v>
      </c>
      <c r="F12377">
        <v>3</v>
      </c>
      <c r="G12377">
        <v>6</v>
      </c>
      <c r="H12377">
        <f t="shared" si="387"/>
        <v>-3</v>
      </c>
    </row>
    <row r="12378" spans="1:8" x14ac:dyDescent="0.2">
      <c r="A12378" t="s">
        <v>7</v>
      </c>
      <c r="B12378" t="s">
        <v>32</v>
      </c>
      <c r="C12378" t="str">
        <f t="shared" si="388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387"/>
        <v>-7</v>
      </c>
    </row>
    <row r="12379" spans="1:8" x14ac:dyDescent="0.2">
      <c r="A12379" t="s">
        <v>7</v>
      </c>
      <c r="B12379" t="s">
        <v>32</v>
      </c>
      <c r="C12379" t="str">
        <f t="shared" si="388"/>
        <v>No cumple</v>
      </c>
      <c r="D12379">
        <v>9701</v>
      </c>
      <c r="E12379" t="s">
        <v>8</v>
      </c>
      <c r="F12379">
        <v>2</v>
      </c>
      <c r="G12379">
        <v>6</v>
      </c>
      <c r="H12379">
        <f t="shared" si="387"/>
        <v>-4</v>
      </c>
    </row>
    <row r="12380" spans="1:8" x14ac:dyDescent="0.2">
      <c r="A12380" t="s">
        <v>7</v>
      </c>
      <c r="B12380" t="s">
        <v>32</v>
      </c>
      <c r="C12380" t="str">
        <f t="shared" si="388"/>
        <v>No cumple</v>
      </c>
      <c r="D12380">
        <v>9726</v>
      </c>
      <c r="E12380" t="s">
        <v>8</v>
      </c>
      <c r="F12380">
        <v>2</v>
      </c>
      <c r="G12380">
        <v>6</v>
      </c>
      <c r="H12380">
        <f t="shared" si="387"/>
        <v>-4</v>
      </c>
    </row>
    <row r="12381" spans="1:8" x14ac:dyDescent="0.2">
      <c r="A12381" t="s">
        <v>7</v>
      </c>
      <c r="B12381" t="s">
        <v>32</v>
      </c>
      <c r="C12381" t="str">
        <f t="shared" si="388"/>
        <v>Cumple</v>
      </c>
      <c r="D12381">
        <v>9740</v>
      </c>
      <c r="E12381" t="s">
        <v>8</v>
      </c>
      <c r="F12381">
        <v>7</v>
      </c>
      <c r="G12381">
        <v>6</v>
      </c>
      <c r="H12381">
        <f t="shared" si="387"/>
        <v>1</v>
      </c>
    </row>
    <row r="12382" spans="1:8" x14ac:dyDescent="0.2">
      <c r="A12382" t="s">
        <v>7</v>
      </c>
      <c r="B12382" t="s">
        <v>32</v>
      </c>
      <c r="C12382" t="str">
        <f t="shared" si="388"/>
        <v>No cumple</v>
      </c>
      <c r="D12382">
        <v>9843</v>
      </c>
      <c r="E12382" t="s">
        <v>8</v>
      </c>
      <c r="F12382">
        <v>1</v>
      </c>
      <c r="G12382">
        <v>6</v>
      </c>
      <c r="H12382">
        <f t="shared" si="387"/>
        <v>-5</v>
      </c>
    </row>
    <row r="12383" spans="1:8" x14ac:dyDescent="0.2">
      <c r="A12383" t="s">
        <v>7</v>
      </c>
      <c r="B12383" t="s">
        <v>32</v>
      </c>
      <c r="C12383" t="str">
        <f t="shared" si="388"/>
        <v>No cumple</v>
      </c>
      <c r="D12383">
        <v>9868</v>
      </c>
      <c r="E12383" t="s">
        <v>8</v>
      </c>
      <c r="F12383">
        <v>3</v>
      </c>
      <c r="G12383">
        <v>6</v>
      </c>
      <c r="H12383">
        <f t="shared" si="387"/>
        <v>-3</v>
      </c>
    </row>
    <row r="12384" spans="1:8" x14ac:dyDescent="0.2">
      <c r="A12384" t="s">
        <v>7</v>
      </c>
      <c r="B12384" t="s">
        <v>32</v>
      </c>
      <c r="C12384" t="str">
        <f t="shared" si="388"/>
        <v>No cumple</v>
      </c>
      <c r="D12384">
        <v>3995</v>
      </c>
      <c r="E12384" t="s">
        <v>8</v>
      </c>
      <c r="F12384">
        <v>1</v>
      </c>
      <c r="G12384">
        <v>6</v>
      </c>
      <c r="H12384">
        <f t="shared" si="387"/>
        <v>-5</v>
      </c>
    </row>
    <row r="12385" spans="1:8" x14ac:dyDescent="0.2">
      <c r="A12385" t="s">
        <v>7</v>
      </c>
      <c r="B12385" t="s">
        <v>32</v>
      </c>
      <c r="C12385" t="str">
        <f t="shared" si="388"/>
        <v>No cumple</v>
      </c>
      <c r="D12385">
        <v>2099</v>
      </c>
      <c r="E12385" t="s">
        <v>8</v>
      </c>
      <c r="F12385">
        <v>1</v>
      </c>
      <c r="G12385">
        <v>6</v>
      </c>
      <c r="H12385">
        <f t="shared" si="387"/>
        <v>-5</v>
      </c>
    </row>
    <row r="12386" spans="1:8" x14ac:dyDescent="0.2">
      <c r="A12386" t="s">
        <v>7</v>
      </c>
      <c r="B12386" t="s">
        <v>32</v>
      </c>
      <c r="C12386" t="str">
        <f t="shared" si="388"/>
        <v>No cumple</v>
      </c>
      <c r="D12386">
        <v>349</v>
      </c>
      <c r="E12386" t="s">
        <v>8</v>
      </c>
      <c r="F12386">
        <v>4</v>
      </c>
      <c r="G12386">
        <v>6</v>
      </c>
      <c r="H12386">
        <f t="shared" si="387"/>
        <v>-2</v>
      </c>
    </row>
    <row r="12387" spans="1:8" x14ac:dyDescent="0.2">
      <c r="A12387" t="s">
        <v>7</v>
      </c>
      <c r="B12387" t="s">
        <v>32</v>
      </c>
      <c r="C12387" t="str">
        <f t="shared" si="388"/>
        <v>No cumple</v>
      </c>
      <c r="D12387">
        <v>234</v>
      </c>
      <c r="E12387" t="s">
        <v>8</v>
      </c>
      <c r="F12387">
        <v>0</v>
      </c>
      <c r="G12387">
        <v>6</v>
      </c>
      <c r="H12387">
        <f t="shared" si="387"/>
        <v>-6</v>
      </c>
    </row>
    <row r="12388" spans="1:8" x14ac:dyDescent="0.2">
      <c r="A12388" t="s">
        <v>19</v>
      </c>
      <c r="B12388" t="s">
        <v>32</v>
      </c>
      <c r="C12388" t="str">
        <f t="shared" si="388"/>
        <v>No cumple</v>
      </c>
      <c r="D12388">
        <v>474</v>
      </c>
      <c r="E12388" t="s">
        <v>8</v>
      </c>
      <c r="F12388">
        <v>0</v>
      </c>
      <c r="G12388">
        <v>15</v>
      </c>
      <c r="H12388">
        <f t="shared" si="387"/>
        <v>-15</v>
      </c>
    </row>
    <row r="12389" spans="1:8" x14ac:dyDescent="0.2">
      <c r="A12389" t="s">
        <v>18</v>
      </c>
      <c r="B12389" t="s">
        <v>32</v>
      </c>
      <c r="C12389" t="str">
        <f t="shared" si="388"/>
        <v>No cumple</v>
      </c>
      <c r="D12389">
        <v>479</v>
      </c>
      <c r="E12389" t="s">
        <v>8</v>
      </c>
      <c r="F12389">
        <v>0</v>
      </c>
      <c r="G12389">
        <v>6</v>
      </c>
      <c r="H12389">
        <f t="shared" si="387"/>
        <v>-6</v>
      </c>
    </row>
    <row r="12390" spans="1:8" x14ac:dyDescent="0.2">
      <c r="A12390" t="s">
        <v>19</v>
      </c>
      <c r="B12390" t="s">
        <v>32</v>
      </c>
      <c r="C12390" t="str">
        <f t="shared" si="388"/>
        <v>No cumple</v>
      </c>
      <c r="D12390">
        <v>521</v>
      </c>
      <c r="E12390" t="s">
        <v>8</v>
      </c>
      <c r="F12390">
        <v>0</v>
      </c>
      <c r="G12390">
        <v>6</v>
      </c>
      <c r="H12390">
        <f t="shared" si="387"/>
        <v>-6</v>
      </c>
    </row>
    <row r="12391" spans="1:8" x14ac:dyDescent="0.2">
      <c r="A12391" t="s">
        <v>7</v>
      </c>
      <c r="B12391" t="s">
        <v>32</v>
      </c>
      <c r="C12391" t="str">
        <f t="shared" si="388"/>
        <v>No cumple</v>
      </c>
      <c r="D12391">
        <v>523</v>
      </c>
      <c r="E12391" t="s">
        <v>8</v>
      </c>
      <c r="F12391">
        <v>2</v>
      </c>
      <c r="G12391">
        <v>6</v>
      </c>
      <c r="H12391">
        <f t="shared" si="387"/>
        <v>-4</v>
      </c>
    </row>
    <row r="12392" spans="1:8" x14ac:dyDescent="0.2">
      <c r="A12392" t="s">
        <v>7</v>
      </c>
      <c r="B12392" t="s">
        <v>32</v>
      </c>
      <c r="C12392" t="str">
        <f t="shared" si="388"/>
        <v>No cumple</v>
      </c>
      <c r="D12392">
        <v>539</v>
      </c>
      <c r="E12392" t="s">
        <v>8</v>
      </c>
      <c r="F12392">
        <v>1</v>
      </c>
      <c r="G12392">
        <v>6</v>
      </c>
      <c r="H12392">
        <f t="shared" si="387"/>
        <v>-5</v>
      </c>
    </row>
    <row r="12393" spans="1:8" x14ac:dyDescent="0.2">
      <c r="A12393" t="s">
        <v>18</v>
      </c>
      <c r="B12393" t="s">
        <v>32</v>
      </c>
      <c r="C12393" t="str">
        <f t="shared" si="388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387"/>
        <v>-8</v>
      </c>
    </row>
    <row r="12394" spans="1:8" x14ac:dyDescent="0.2">
      <c r="A12394" t="s">
        <v>19</v>
      </c>
      <c r="B12394" t="s">
        <v>32</v>
      </c>
      <c r="C12394" t="str">
        <f t="shared" si="388"/>
        <v>No cumple</v>
      </c>
      <c r="D12394">
        <v>662</v>
      </c>
      <c r="E12394" t="s">
        <v>8</v>
      </c>
      <c r="F12394">
        <v>0</v>
      </c>
      <c r="G12394">
        <v>6</v>
      </c>
      <c r="H12394">
        <f t="shared" si="387"/>
        <v>-6</v>
      </c>
    </row>
    <row r="12395" spans="1:8" x14ac:dyDescent="0.2">
      <c r="A12395" t="s">
        <v>7</v>
      </c>
      <c r="B12395" t="s">
        <v>32</v>
      </c>
      <c r="C12395" t="str">
        <f t="shared" si="388"/>
        <v>No cumple</v>
      </c>
      <c r="D12395">
        <v>666</v>
      </c>
      <c r="E12395" t="s">
        <v>8</v>
      </c>
      <c r="F12395">
        <v>0</v>
      </c>
      <c r="G12395">
        <v>6</v>
      </c>
      <c r="H12395">
        <f t="shared" si="387"/>
        <v>-6</v>
      </c>
    </row>
    <row r="12396" spans="1:8" x14ac:dyDescent="0.2">
      <c r="A12396" t="s">
        <v>7</v>
      </c>
      <c r="B12396" t="s">
        <v>32</v>
      </c>
      <c r="C12396" t="str">
        <f t="shared" si="388"/>
        <v>No cumple</v>
      </c>
      <c r="D12396">
        <v>684</v>
      </c>
      <c r="E12396" t="s">
        <v>8</v>
      </c>
      <c r="F12396">
        <v>5</v>
      </c>
      <c r="G12396">
        <v>6</v>
      </c>
      <c r="H12396">
        <f t="shared" si="387"/>
        <v>-1</v>
      </c>
    </row>
    <row r="12397" spans="1:8" x14ac:dyDescent="0.2">
      <c r="A12397" t="s">
        <v>19</v>
      </c>
      <c r="B12397" t="s">
        <v>32</v>
      </c>
      <c r="C12397" t="str">
        <f t="shared" si="388"/>
        <v>No cumple</v>
      </c>
      <c r="D12397">
        <v>747</v>
      </c>
      <c r="E12397" t="s">
        <v>8</v>
      </c>
      <c r="F12397">
        <v>1</v>
      </c>
      <c r="G12397">
        <v>3</v>
      </c>
      <c r="H12397">
        <f t="shared" si="387"/>
        <v>-2</v>
      </c>
    </row>
    <row r="12398" spans="1:8" x14ac:dyDescent="0.2">
      <c r="A12398" t="s">
        <v>7</v>
      </c>
      <c r="B12398" t="s">
        <v>32</v>
      </c>
      <c r="C12398" t="str">
        <f t="shared" si="388"/>
        <v>No cumple</v>
      </c>
      <c r="D12398">
        <v>748</v>
      </c>
      <c r="E12398" t="s">
        <v>8</v>
      </c>
      <c r="F12398">
        <v>0</v>
      </c>
      <c r="G12398">
        <v>6</v>
      </c>
      <c r="H12398">
        <f t="shared" si="387"/>
        <v>-6</v>
      </c>
    </row>
    <row r="12399" spans="1:8" x14ac:dyDescent="0.2">
      <c r="A12399" t="s">
        <v>7</v>
      </c>
      <c r="B12399" t="s">
        <v>32</v>
      </c>
      <c r="C12399" t="str">
        <f t="shared" si="388"/>
        <v>No cumple</v>
      </c>
      <c r="D12399">
        <v>797</v>
      </c>
      <c r="E12399" t="s">
        <v>8</v>
      </c>
      <c r="F12399">
        <v>0</v>
      </c>
      <c r="G12399">
        <v>6</v>
      </c>
      <c r="H12399">
        <f t="shared" si="387"/>
        <v>-6</v>
      </c>
    </row>
    <row r="12400" spans="1:8" x14ac:dyDescent="0.2">
      <c r="A12400" t="s">
        <v>7</v>
      </c>
      <c r="B12400" t="s">
        <v>32</v>
      </c>
      <c r="C12400" t="str">
        <f t="shared" si="388"/>
        <v>No cumple</v>
      </c>
      <c r="D12400">
        <v>828</v>
      </c>
      <c r="E12400" t="s">
        <v>8</v>
      </c>
      <c r="F12400">
        <v>1</v>
      </c>
      <c r="G12400">
        <v>6</v>
      </c>
      <c r="H12400">
        <f t="shared" si="387"/>
        <v>-5</v>
      </c>
    </row>
    <row r="12401" spans="1:8" x14ac:dyDescent="0.2">
      <c r="A12401" t="s">
        <v>7</v>
      </c>
      <c r="B12401" t="s">
        <v>32</v>
      </c>
      <c r="C12401" t="str">
        <f t="shared" si="388"/>
        <v>No cumple</v>
      </c>
      <c r="D12401">
        <v>953</v>
      </c>
      <c r="E12401" t="s">
        <v>8</v>
      </c>
      <c r="F12401">
        <v>0</v>
      </c>
      <c r="G12401">
        <v>6</v>
      </c>
      <c r="H12401">
        <f t="shared" si="387"/>
        <v>-6</v>
      </c>
    </row>
    <row r="12402" spans="1:8" x14ac:dyDescent="0.2">
      <c r="A12402" t="s">
        <v>7</v>
      </c>
      <c r="B12402" t="s">
        <v>32</v>
      </c>
      <c r="C12402" t="str">
        <f t="shared" si="388"/>
        <v>No cumple</v>
      </c>
      <c r="D12402">
        <v>1573</v>
      </c>
      <c r="E12402" t="s">
        <v>8</v>
      </c>
      <c r="F12402">
        <v>0</v>
      </c>
      <c r="G12402">
        <v>6</v>
      </c>
      <c r="H12402">
        <f t="shared" si="387"/>
        <v>-6</v>
      </c>
    </row>
    <row r="12403" spans="1:8" x14ac:dyDescent="0.2">
      <c r="A12403" t="s">
        <v>7</v>
      </c>
      <c r="B12403" t="s">
        <v>32</v>
      </c>
      <c r="C12403" t="str">
        <f t="shared" si="388"/>
        <v>No cumple</v>
      </c>
      <c r="D12403">
        <v>1714</v>
      </c>
      <c r="E12403" t="s">
        <v>8</v>
      </c>
      <c r="F12403">
        <v>0</v>
      </c>
      <c r="G12403">
        <v>6</v>
      </c>
      <c r="H12403">
        <f t="shared" si="387"/>
        <v>-6</v>
      </c>
    </row>
    <row r="12404" spans="1:8" x14ac:dyDescent="0.2">
      <c r="A12404" t="s">
        <v>18</v>
      </c>
      <c r="B12404" t="s">
        <v>32</v>
      </c>
      <c r="C12404" t="str">
        <f t="shared" si="388"/>
        <v>No cumple</v>
      </c>
      <c r="D12404">
        <v>1827</v>
      </c>
      <c r="E12404" t="s">
        <v>8</v>
      </c>
      <c r="F12404">
        <v>0</v>
      </c>
      <c r="G12404">
        <v>6</v>
      </c>
      <c r="H12404">
        <f t="shared" si="387"/>
        <v>-6</v>
      </c>
    </row>
    <row r="12405" spans="1:8" x14ac:dyDescent="0.2">
      <c r="A12405" t="s">
        <v>19</v>
      </c>
      <c r="B12405" t="s">
        <v>32</v>
      </c>
      <c r="C12405" t="str">
        <f t="shared" si="388"/>
        <v>No cumple</v>
      </c>
      <c r="D12405">
        <v>1870</v>
      </c>
      <c r="E12405" t="s">
        <v>8</v>
      </c>
      <c r="F12405">
        <v>0</v>
      </c>
      <c r="G12405">
        <v>6</v>
      </c>
      <c r="H12405">
        <f t="shared" si="387"/>
        <v>-6</v>
      </c>
    </row>
    <row r="12406" spans="1:8" x14ac:dyDescent="0.2">
      <c r="A12406" t="s">
        <v>7</v>
      </c>
      <c r="B12406" t="s">
        <v>32</v>
      </c>
      <c r="C12406" t="str">
        <f t="shared" si="388"/>
        <v>No cumple</v>
      </c>
      <c r="D12406">
        <v>2006</v>
      </c>
      <c r="E12406" t="s">
        <v>8</v>
      </c>
      <c r="F12406">
        <v>1</v>
      </c>
      <c r="G12406">
        <v>6</v>
      </c>
      <c r="H12406">
        <f t="shared" si="387"/>
        <v>-5</v>
      </c>
    </row>
    <row r="12407" spans="1:8" x14ac:dyDescent="0.2">
      <c r="A12407" t="s">
        <v>7</v>
      </c>
      <c r="B12407" t="s">
        <v>32</v>
      </c>
      <c r="C12407" t="str">
        <f t="shared" si="388"/>
        <v>No cumple</v>
      </c>
      <c r="D12407">
        <v>2031</v>
      </c>
      <c r="E12407" t="s">
        <v>8</v>
      </c>
      <c r="F12407">
        <v>1</v>
      </c>
      <c r="G12407">
        <v>6</v>
      </c>
      <c r="H12407">
        <f t="shared" si="387"/>
        <v>-5</v>
      </c>
    </row>
    <row r="12408" spans="1:8" x14ac:dyDescent="0.2">
      <c r="A12408" t="s">
        <v>7</v>
      </c>
      <c r="B12408" t="s">
        <v>32</v>
      </c>
      <c r="C12408" t="str">
        <f t="shared" si="388"/>
        <v>No cumple</v>
      </c>
      <c r="D12408">
        <v>2051</v>
      </c>
      <c r="E12408" t="s">
        <v>8</v>
      </c>
      <c r="F12408">
        <v>3</v>
      </c>
      <c r="G12408">
        <v>6</v>
      </c>
      <c r="H12408">
        <f t="shared" si="387"/>
        <v>-3</v>
      </c>
    </row>
    <row r="12409" spans="1:8" x14ac:dyDescent="0.2">
      <c r="A12409" t="s">
        <v>7</v>
      </c>
      <c r="B12409" t="s">
        <v>32</v>
      </c>
      <c r="C12409" t="str">
        <f t="shared" si="388"/>
        <v>No cumple</v>
      </c>
      <c r="D12409">
        <v>2098</v>
      </c>
      <c r="E12409" t="s">
        <v>8</v>
      </c>
      <c r="F12409">
        <v>0</v>
      </c>
      <c r="G12409">
        <v>6</v>
      </c>
      <c r="H12409">
        <f t="shared" si="387"/>
        <v>-6</v>
      </c>
    </row>
    <row r="12410" spans="1:8" x14ac:dyDescent="0.2">
      <c r="A12410" t="s">
        <v>18</v>
      </c>
      <c r="B12410" t="s">
        <v>32</v>
      </c>
      <c r="C12410" t="str">
        <f t="shared" si="388"/>
        <v>No cumple</v>
      </c>
      <c r="D12410">
        <v>2163</v>
      </c>
      <c r="E12410" t="s">
        <v>8</v>
      </c>
      <c r="F12410">
        <v>0</v>
      </c>
      <c r="G12410">
        <v>6</v>
      </c>
      <c r="H12410">
        <f t="shared" si="387"/>
        <v>-6</v>
      </c>
    </row>
    <row r="12411" spans="1:8" x14ac:dyDescent="0.2">
      <c r="A12411" t="s">
        <v>18</v>
      </c>
      <c r="B12411" t="s">
        <v>32</v>
      </c>
      <c r="C12411" t="str">
        <f t="shared" si="388"/>
        <v>No cumple</v>
      </c>
      <c r="D12411">
        <v>2197</v>
      </c>
      <c r="E12411" t="s">
        <v>8</v>
      </c>
      <c r="F12411">
        <v>0</v>
      </c>
      <c r="G12411">
        <v>6</v>
      </c>
      <c r="H12411">
        <f t="shared" si="387"/>
        <v>-6</v>
      </c>
    </row>
    <row r="12412" spans="1:8" x14ac:dyDescent="0.2">
      <c r="A12412" t="s">
        <v>18</v>
      </c>
      <c r="B12412" t="s">
        <v>32</v>
      </c>
      <c r="C12412" t="str">
        <f t="shared" si="388"/>
        <v>No cumple</v>
      </c>
      <c r="D12412">
        <v>2278</v>
      </c>
      <c r="E12412" t="s">
        <v>8</v>
      </c>
      <c r="F12412">
        <v>0</v>
      </c>
      <c r="G12412">
        <v>6</v>
      </c>
      <c r="H12412">
        <f t="shared" si="387"/>
        <v>-6</v>
      </c>
    </row>
    <row r="12413" spans="1:8" x14ac:dyDescent="0.2">
      <c r="A12413" t="s">
        <v>7</v>
      </c>
      <c r="B12413" t="s">
        <v>32</v>
      </c>
      <c r="C12413" t="str">
        <f t="shared" si="388"/>
        <v>No cumple</v>
      </c>
      <c r="D12413">
        <v>2322</v>
      </c>
      <c r="E12413" t="s">
        <v>8</v>
      </c>
      <c r="F12413">
        <v>0</v>
      </c>
      <c r="G12413">
        <v>6</v>
      </c>
      <c r="H12413">
        <f t="shared" si="387"/>
        <v>-6</v>
      </c>
    </row>
    <row r="12414" spans="1:8" x14ac:dyDescent="0.2">
      <c r="A12414" t="s">
        <v>7</v>
      </c>
      <c r="B12414" t="s">
        <v>32</v>
      </c>
      <c r="C12414" t="str">
        <f t="shared" si="388"/>
        <v>No cumple</v>
      </c>
      <c r="D12414">
        <v>2341</v>
      </c>
      <c r="E12414" t="s">
        <v>8</v>
      </c>
      <c r="F12414">
        <v>0</v>
      </c>
      <c r="G12414">
        <v>6</v>
      </c>
      <c r="H12414">
        <f t="shared" si="387"/>
        <v>-6</v>
      </c>
    </row>
    <row r="12415" spans="1:8" x14ac:dyDescent="0.2">
      <c r="A12415" t="s">
        <v>18</v>
      </c>
      <c r="B12415" t="s">
        <v>32</v>
      </c>
      <c r="C12415" t="str">
        <f t="shared" si="388"/>
        <v>No cumple</v>
      </c>
      <c r="D12415">
        <v>2364</v>
      </c>
      <c r="E12415" t="s">
        <v>8</v>
      </c>
      <c r="F12415">
        <v>0</v>
      </c>
      <c r="G12415">
        <v>6</v>
      </c>
      <c r="H12415">
        <f t="shared" si="387"/>
        <v>-6</v>
      </c>
    </row>
    <row r="12416" spans="1:8" x14ac:dyDescent="0.2">
      <c r="A12416" t="s">
        <v>18</v>
      </c>
      <c r="B12416" t="s">
        <v>32</v>
      </c>
      <c r="C12416" t="str">
        <f t="shared" si="388"/>
        <v>No cumple</v>
      </c>
      <c r="D12416">
        <v>2467</v>
      </c>
      <c r="E12416" t="s">
        <v>8</v>
      </c>
      <c r="F12416">
        <v>0</v>
      </c>
      <c r="G12416">
        <v>6</v>
      </c>
      <c r="H12416">
        <f t="shared" si="387"/>
        <v>-6</v>
      </c>
    </row>
    <row r="12417" spans="1:8" x14ac:dyDescent="0.2">
      <c r="A12417" t="s">
        <v>7</v>
      </c>
      <c r="B12417" t="s">
        <v>32</v>
      </c>
      <c r="C12417" t="str">
        <f t="shared" si="388"/>
        <v>No cumple</v>
      </c>
      <c r="D12417">
        <v>2512</v>
      </c>
      <c r="E12417" t="s">
        <v>8</v>
      </c>
      <c r="F12417">
        <v>1</v>
      </c>
      <c r="G12417">
        <v>6</v>
      </c>
      <c r="H12417">
        <f t="shared" si="387"/>
        <v>-5</v>
      </c>
    </row>
    <row r="12418" spans="1:8" x14ac:dyDescent="0.2">
      <c r="A12418" t="s">
        <v>7</v>
      </c>
      <c r="B12418" t="s">
        <v>32</v>
      </c>
      <c r="C12418" t="str">
        <f t="shared" si="388"/>
        <v>No cumple</v>
      </c>
      <c r="D12418">
        <v>2581</v>
      </c>
      <c r="E12418" t="s">
        <v>8</v>
      </c>
      <c r="F12418">
        <v>2</v>
      </c>
      <c r="G12418">
        <v>6</v>
      </c>
      <c r="H12418">
        <f t="shared" si="387"/>
        <v>-4</v>
      </c>
    </row>
    <row r="12419" spans="1:8" x14ac:dyDescent="0.2">
      <c r="A12419" t="s">
        <v>7</v>
      </c>
      <c r="B12419" t="s">
        <v>32</v>
      </c>
      <c r="C12419" t="str">
        <f t="shared" si="388"/>
        <v>No cumple</v>
      </c>
      <c r="D12419">
        <v>2586</v>
      </c>
      <c r="E12419" t="s">
        <v>8</v>
      </c>
      <c r="F12419">
        <v>1</v>
      </c>
      <c r="G12419">
        <v>6</v>
      </c>
      <c r="H12419">
        <f t="shared" ref="H12419:H12482" si="389">F12419-G12419</f>
        <v>-5</v>
      </c>
    </row>
    <row r="12420" spans="1:8" x14ac:dyDescent="0.2">
      <c r="A12420" t="s">
        <v>7</v>
      </c>
      <c r="B12420" t="s">
        <v>32</v>
      </c>
      <c r="C12420" t="str">
        <f t="shared" si="388"/>
        <v>No cumple</v>
      </c>
      <c r="D12420">
        <v>2626</v>
      </c>
      <c r="E12420" t="s">
        <v>8</v>
      </c>
      <c r="F12420">
        <v>0</v>
      </c>
      <c r="G12420">
        <v>6</v>
      </c>
      <c r="H12420">
        <f t="shared" si="389"/>
        <v>-6</v>
      </c>
    </row>
    <row r="12421" spans="1:8" x14ac:dyDescent="0.2">
      <c r="A12421" t="s">
        <v>7</v>
      </c>
      <c r="B12421" t="s">
        <v>32</v>
      </c>
      <c r="C12421" t="str">
        <f t="shared" ref="C12421:C12484" si="390">IF(H12421&gt;=0,"Cumple","No cumple")</f>
        <v>No cumple</v>
      </c>
      <c r="D12421">
        <v>2649</v>
      </c>
      <c r="E12421" t="s">
        <v>8</v>
      </c>
      <c r="F12421">
        <v>1</v>
      </c>
      <c r="G12421">
        <v>6</v>
      </c>
      <c r="H12421">
        <f t="shared" si="389"/>
        <v>-5</v>
      </c>
    </row>
    <row r="12422" spans="1:8" x14ac:dyDescent="0.2">
      <c r="A12422" t="s">
        <v>19</v>
      </c>
      <c r="B12422" t="s">
        <v>32</v>
      </c>
      <c r="C12422" t="str">
        <f t="shared" si="390"/>
        <v>No cumple</v>
      </c>
      <c r="D12422">
        <v>2694</v>
      </c>
      <c r="E12422" t="s">
        <v>8</v>
      </c>
      <c r="F12422">
        <v>0</v>
      </c>
      <c r="G12422">
        <v>6</v>
      </c>
      <c r="H12422">
        <f t="shared" si="389"/>
        <v>-6</v>
      </c>
    </row>
    <row r="12423" spans="1:8" x14ac:dyDescent="0.2">
      <c r="A12423" t="s">
        <v>18</v>
      </c>
      <c r="B12423" t="s">
        <v>32</v>
      </c>
      <c r="C12423" t="str">
        <f t="shared" si="390"/>
        <v>No cumple</v>
      </c>
      <c r="D12423">
        <v>2727</v>
      </c>
      <c r="E12423" t="s">
        <v>8</v>
      </c>
      <c r="F12423">
        <v>0</v>
      </c>
      <c r="G12423" s="9">
        <v>6</v>
      </c>
      <c r="H12423">
        <f t="shared" si="389"/>
        <v>-6</v>
      </c>
    </row>
    <row r="12424" spans="1:8" x14ac:dyDescent="0.2">
      <c r="A12424" t="s">
        <v>18</v>
      </c>
      <c r="B12424" t="s">
        <v>32</v>
      </c>
      <c r="C12424" t="str">
        <f t="shared" si="390"/>
        <v>No cumple</v>
      </c>
      <c r="D12424">
        <v>2749</v>
      </c>
      <c r="E12424" t="s">
        <v>8</v>
      </c>
      <c r="F12424">
        <v>0</v>
      </c>
      <c r="G12424">
        <v>6</v>
      </c>
      <c r="H12424">
        <f t="shared" si="389"/>
        <v>-6</v>
      </c>
    </row>
    <row r="12425" spans="1:8" x14ac:dyDescent="0.2">
      <c r="A12425" t="s">
        <v>7</v>
      </c>
      <c r="B12425" t="s">
        <v>32</v>
      </c>
      <c r="C12425" t="str">
        <f t="shared" si="390"/>
        <v>No cumple</v>
      </c>
      <c r="D12425">
        <v>2766</v>
      </c>
      <c r="E12425" t="s">
        <v>8</v>
      </c>
      <c r="F12425">
        <v>1</v>
      </c>
      <c r="G12425">
        <v>6</v>
      </c>
      <c r="H12425">
        <f t="shared" si="389"/>
        <v>-5</v>
      </c>
    </row>
    <row r="12426" spans="1:8" x14ac:dyDescent="0.2">
      <c r="A12426" t="s">
        <v>18</v>
      </c>
      <c r="B12426" t="s">
        <v>32</v>
      </c>
      <c r="C12426" t="str">
        <f t="shared" si="390"/>
        <v>No cumple</v>
      </c>
      <c r="D12426">
        <v>2795</v>
      </c>
      <c r="E12426" t="s">
        <v>8</v>
      </c>
      <c r="F12426">
        <v>0</v>
      </c>
      <c r="G12426">
        <v>6</v>
      </c>
      <c r="H12426">
        <f t="shared" si="389"/>
        <v>-6</v>
      </c>
    </row>
    <row r="12427" spans="1:8" x14ac:dyDescent="0.2">
      <c r="A12427" t="s">
        <v>7</v>
      </c>
      <c r="B12427" t="s">
        <v>32</v>
      </c>
      <c r="C12427" t="str">
        <f t="shared" si="390"/>
        <v>No cumple</v>
      </c>
      <c r="D12427">
        <v>2815</v>
      </c>
      <c r="E12427" t="s">
        <v>8</v>
      </c>
      <c r="F12427">
        <v>0</v>
      </c>
      <c r="G12427">
        <v>6</v>
      </c>
      <c r="H12427">
        <f t="shared" si="389"/>
        <v>-6</v>
      </c>
    </row>
    <row r="12428" spans="1:8" x14ac:dyDescent="0.2">
      <c r="A12428" t="s">
        <v>7</v>
      </c>
      <c r="B12428" t="s">
        <v>32</v>
      </c>
      <c r="C12428" t="str">
        <f t="shared" si="390"/>
        <v>No cumple</v>
      </c>
      <c r="D12428">
        <v>2910</v>
      </c>
      <c r="E12428" t="s">
        <v>8</v>
      </c>
      <c r="F12428">
        <v>0</v>
      </c>
      <c r="G12428">
        <v>6</v>
      </c>
      <c r="H12428">
        <f t="shared" si="389"/>
        <v>-6</v>
      </c>
    </row>
    <row r="12429" spans="1:8" x14ac:dyDescent="0.2">
      <c r="A12429" t="s">
        <v>18</v>
      </c>
      <c r="B12429" t="s">
        <v>32</v>
      </c>
      <c r="C12429" t="str">
        <f t="shared" si="390"/>
        <v>No cumple</v>
      </c>
      <c r="D12429">
        <v>3365</v>
      </c>
      <c r="E12429" t="s">
        <v>8</v>
      </c>
      <c r="F12429">
        <v>0</v>
      </c>
      <c r="G12429">
        <v>6</v>
      </c>
      <c r="H12429">
        <f t="shared" si="389"/>
        <v>-6</v>
      </c>
    </row>
    <row r="12430" spans="1:8" x14ac:dyDescent="0.2">
      <c r="A12430" t="s">
        <v>18</v>
      </c>
      <c r="B12430" t="s">
        <v>32</v>
      </c>
      <c r="C12430" t="str">
        <f t="shared" si="390"/>
        <v>No cumple</v>
      </c>
      <c r="D12430">
        <v>3373</v>
      </c>
      <c r="E12430" t="s">
        <v>8</v>
      </c>
      <c r="F12430">
        <v>0</v>
      </c>
      <c r="G12430">
        <v>6</v>
      </c>
      <c r="H12430">
        <f t="shared" si="389"/>
        <v>-6</v>
      </c>
    </row>
    <row r="12431" spans="1:8" x14ac:dyDescent="0.2">
      <c r="A12431" t="s">
        <v>7</v>
      </c>
      <c r="B12431" t="s">
        <v>32</v>
      </c>
      <c r="C12431" t="str">
        <f t="shared" si="390"/>
        <v>No cumple</v>
      </c>
      <c r="D12431">
        <v>3381</v>
      </c>
      <c r="E12431" t="s">
        <v>8</v>
      </c>
      <c r="F12431">
        <v>0</v>
      </c>
      <c r="G12431">
        <v>6</v>
      </c>
      <c r="H12431">
        <f t="shared" si="389"/>
        <v>-6</v>
      </c>
    </row>
    <row r="12432" spans="1:8" x14ac:dyDescent="0.2">
      <c r="A12432" t="s">
        <v>18</v>
      </c>
      <c r="B12432" t="s">
        <v>32</v>
      </c>
      <c r="C12432" t="str">
        <f t="shared" si="390"/>
        <v>No cumple</v>
      </c>
      <c r="D12432">
        <v>3453</v>
      </c>
      <c r="E12432" t="s">
        <v>8</v>
      </c>
      <c r="F12432">
        <v>0</v>
      </c>
      <c r="G12432">
        <v>6</v>
      </c>
      <c r="H12432">
        <f t="shared" si="389"/>
        <v>-6</v>
      </c>
    </row>
    <row r="12433" spans="1:8" x14ac:dyDescent="0.2">
      <c r="A12433" t="s">
        <v>18</v>
      </c>
      <c r="B12433" t="s">
        <v>32</v>
      </c>
      <c r="C12433" t="str">
        <f t="shared" si="390"/>
        <v>No cumple</v>
      </c>
      <c r="D12433">
        <v>3547</v>
      </c>
      <c r="E12433" t="s">
        <v>8</v>
      </c>
      <c r="F12433">
        <v>0</v>
      </c>
      <c r="G12433">
        <v>6</v>
      </c>
      <c r="H12433">
        <f t="shared" si="389"/>
        <v>-6</v>
      </c>
    </row>
    <row r="12434" spans="1:8" x14ac:dyDescent="0.2">
      <c r="A12434" t="s">
        <v>7</v>
      </c>
      <c r="B12434" t="s">
        <v>32</v>
      </c>
      <c r="C12434" t="str">
        <f t="shared" si="390"/>
        <v>No cumple</v>
      </c>
      <c r="D12434">
        <v>3554</v>
      </c>
      <c r="E12434" t="s">
        <v>8</v>
      </c>
      <c r="F12434">
        <v>2</v>
      </c>
      <c r="G12434">
        <v>6</v>
      </c>
      <c r="H12434">
        <f t="shared" si="389"/>
        <v>-4</v>
      </c>
    </row>
    <row r="12435" spans="1:8" x14ac:dyDescent="0.2">
      <c r="A12435" t="s">
        <v>18</v>
      </c>
      <c r="B12435" t="s">
        <v>32</v>
      </c>
      <c r="C12435" t="str">
        <f t="shared" si="390"/>
        <v>No cumple</v>
      </c>
      <c r="D12435">
        <v>3555</v>
      </c>
      <c r="E12435" t="s">
        <v>8</v>
      </c>
      <c r="F12435">
        <v>0</v>
      </c>
      <c r="G12435">
        <v>6</v>
      </c>
      <c r="H12435">
        <f t="shared" si="389"/>
        <v>-6</v>
      </c>
    </row>
    <row r="12436" spans="1:8" x14ac:dyDescent="0.2">
      <c r="A12436" t="s">
        <v>19</v>
      </c>
      <c r="B12436" t="s">
        <v>32</v>
      </c>
      <c r="C12436" t="str">
        <f t="shared" si="390"/>
        <v>No cumple</v>
      </c>
      <c r="D12436">
        <v>3556</v>
      </c>
      <c r="E12436" t="s">
        <v>8</v>
      </c>
      <c r="F12436">
        <v>0</v>
      </c>
      <c r="G12436">
        <v>6</v>
      </c>
      <c r="H12436">
        <f t="shared" si="389"/>
        <v>-6</v>
      </c>
    </row>
    <row r="12437" spans="1:8" x14ac:dyDescent="0.2">
      <c r="A12437" t="s">
        <v>7</v>
      </c>
      <c r="B12437" t="s">
        <v>32</v>
      </c>
      <c r="C12437" t="str">
        <f t="shared" si="390"/>
        <v>No cumple</v>
      </c>
      <c r="D12437">
        <v>3572</v>
      </c>
      <c r="E12437" t="s">
        <v>8</v>
      </c>
      <c r="F12437">
        <v>0</v>
      </c>
      <c r="G12437">
        <v>6</v>
      </c>
      <c r="H12437">
        <f t="shared" si="389"/>
        <v>-6</v>
      </c>
    </row>
    <row r="12438" spans="1:8" x14ac:dyDescent="0.2">
      <c r="A12438" t="s">
        <v>18</v>
      </c>
      <c r="B12438" t="s">
        <v>32</v>
      </c>
      <c r="C12438" t="str">
        <f t="shared" si="390"/>
        <v>No cumple</v>
      </c>
      <c r="D12438">
        <v>3585</v>
      </c>
      <c r="E12438" t="s">
        <v>8</v>
      </c>
      <c r="F12438">
        <v>0</v>
      </c>
      <c r="G12438">
        <v>6</v>
      </c>
      <c r="H12438">
        <f t="shared" si="389"/>
        <v>-6</v>
      </c>
    </row>
    <row r="12439" spans="1:8" x14ac:dyDescent="0.2">
      <c r="A12439" t="s">
        <v>7</v>
      </c>
      <c r="B12439" t="s">
        <v>32</v>
      </c>
      <c r="C12439" t="str">
        <f t="shared" si="390"/>
        <v>No cumple</v>
      </c>
      <c r="D12439">
        <v>3628</v>
      </c>
      <c r="E12439" t="s">
        <v>8</v>
      </c>
      <c r="F12439">
        <v>0</v>
      </c>
      <c r="G12439">
        <v>6</v>
      </c>
      <c r="H12439">
        <f t="shared" si="389"/>
        <v>-6</v>
      </c>
    </row>
    <row r="12440" spans="1:8" x14ac:dyDescent="0.2">
      <c r="A12440" t="s">
        <v>7</v>
      </c>
      <c r="B12440" t="s">
        <v>32</v>
      </c>
      <c r="C12440" t="str">
        <f t="shared" si="390"/>
        <v>No cumple</v>
      </c>
      <c r="D12440">
        <v>3630</v>
      </c>
      <c r="E12440" t="s">
        <v>8</v>
      </c>
      <c r="F12440">
        <v>1</v>
      </c>
      <c r="G12440">
        <v>6</v>
      </c>
      <c r="H12440">
        <f t="shared" si="389"/>
        <v>-5</v>
      </c>
    </row>
    <row r="12441" spans="1:8" x14ac:dyDescent="0.2">
      <c r="A12441" t="s">
        <v>18</v>
      </c>
      <c r="B12441" t="s">
        <v>32</v>
      </c>
      <c r="C12441" t="str">
        <f t="shared" si="390"/>
        <v>No cumple</v>
      </c>
      <c r="D12441">
        <v>3777</v>
      </c>
      <c r="E12441" t="s">
        <v>8</v>
      </c>
      <c r="F12441">
        <v>0</v>
      </c>
      <c r="G12441">
        <v>6</v>
      </c>
      <c r="H12441">
        <f t="shared" si="389"/>
        <v>-6</v>
      </c>
    </row>
    <row r="12442" spans="1:8" x14ac:dyDescent="0.2">
      <c r="A12442" t="s">
        <v>18</v>
      </c>
      <c r="B12442" t="s">
        <v>32</v>
      </c>
      <c r="C12442" t="str">
        <f t="shared" si="390"/>
        <v>No cumple</v>
      </c>
      <c r="D12442">
        <v>3778</v>
      </c>
      <c r="E12442" t="s">
        <v>8</v>
      </c>
      <c r="F12442">
        <v>0</v>
      </c>
      <c r="G12442">
        <v>6</v>
      </c>
      <c r="H12442">
        <f t="shared" si="389"/>
        <v>-6</v>
      </c>
    </row>
    <row r="12443" spans="1:8" x14ac:dyDescent="0.2">
      <c r="A12443" t="s">
        <v>7</v>
      </c>
      <c r="B12443" t="s">
        <v>32</v>
      </c>
      <c r="C12443" t="str">
        <f t="shared" si="390"/>
        <v>No cumple</v>
      </c>
      <c r="D12443">
        <v>3780</v>
      </c>
      <c r="E12443" t="s">
        <v>8</v>
      </c>
      <c r="F12443">
        <v>0</v>
      </c>
      <c r="G12443">
        <v>6</v>
      </c>
      <c r="H12443">
        <f t="shared" si="389"/>
        <v>-6</v>
      </c>
    </row>
    <row r="12444" spans="1:8" x14ac:dyDescent="0.2">
      <c r="A12444" t="s">
        <v>18</v>
      </c>
      <c r="B12444" t="s">
        <v>32</v>
      </c>
      <c r="C12444" t="str">
        <f t="shared" si="390"/>
        <v>No cumple</v>
      </c>
      <c r="D12444">
        <v>3856</v>
      </c>
      <c r="E12444" t="s">
        <v>8</v>
      </c>
      <c r="F12444">
        <v>0</v>
      </c>
      <c r="G12444">
        <v>6</v>
      </c>
      <c r="H12444">
        <f t="shared" si="389"/>
        <v>-6</v>
      </c>
    </row>
    <row r="12445" spans="1:8" x14ac:dyDescent="0.2">
      <c r="A12445" t="s">
        <v>7</v>
      </c>
      <c r="B12445" t="s">
        <v>32</v>
      </c>
      <c r="C12445" t="str">
        <f t="shared" si="390"/>
        <v>No cumple</v>
      </c>
      <c r="D12445">
        <v>3857</v>
      </c>
      <c r="E12445" t="s">
        <v>8</v>
      </c>
      <c r="F12445">
        <v>0</v>
      </c>
      <c r="G12445">
        <v>6</v>
      </c>
      <c r="H12445">
        <f t="shared" si="389"/>
        <v>-6</v>
      </c>
    </row>
    <row r="12446" spans="1:8" x14ac:dyDescent="0.2">
      <c r="A12446" t="s">
        <v>7</v>
      </c>
      <c r="B12446" t="s">
        <v>32</v>
      </c>
      <c r="C12446" t="str">
        <f t="shared" si="390"/>
        <v>No cumple</v>
      </c>
      <c r="D12446">
        <v>3898</v>
      </c>
      <c r="E12446" t="s">
        <v>8</v>
      </c>
      <c r="F12446">
        <v>0</v>
      </c>
      <c r="G12446">
        <v>6</v>
      </c>
      <c r="H12446">
        <f t="shared" si="389"/>
        <v>-6</v>
      </c>
    </row>
    <row r="12447" spans="1:8" x14ac:dyDescent="0.2">
      <c r="A12447" t="s">
        <v>18</v>
      </c>
      <c r="B12447" t="s">
        <v>32</v>
      </c>
      <c r="C12447" t="str">
        <f t="shared" si="390"/>
        <v>No cumple</v>
      </c>
      <c r="D12447">
        <v>3901</v>
      </c>
      <c r="E12447" t="s">
        <v>8</v>
      </c>
      <c r="F12447">
        <v>0</v>
      </c>
      <c r="G12447">
        <v>6</v>
      </c>
      <c r="H12447">
        <f t="shared" si="389"/>
        <v>-6</v>
      </c>
    </row>
    <row r="12448" spans="1:8" x14ac:dyDescent="0.2">
      <c r="A12448" t="s">
        <v>7</v>
      </c>
      <c r="B12448" t="s">
        <v>32</v>
      </c>
      <c r="C12448" t="str">
        <f t="shared" si="390"/>
        <v>No cumple</v>
      </c>
      <c r="D12448">
        <v>3916</v>
      </c>
      <c r="E12448" t="s">
        <v>8</v>
      </c>
      <c r="F12448">
        <v>2</v>
      </c>
      <c r="G12448">
        <v>6</v>
      </c>
      <c r="H12448">
        <f t="shared" si="389"/>
        <v>-4</v>
      </c>
    </row>
    <row r="12449" spans="1:8" x14ac:dyDescent="0.2">
      <c r="A12449" t="s">
        <v>19</v>
      </c>
      <c r="B12449" t="s">
        <v>32</v>
      </c>
      <c r="C12449" t="str">
        <f t="shared" si="390"/>
        <v>No cumple</v>
      </c>
      <c r="D12449">
        <v>3928</v>
      </c>
      <c r="E12449" t="s">
        <v>8</v>
      </c>
      <c r="F12449">
        <v>0</v>
      </c>
      <c r="G12449">
        <v>6</v>
      </c>
      <c r="H12449">
        <f t="shared" si="389"/>
        <v>-6</v>
      </c>
    </row>
    <row r="12450" spans="1:8" x14ac:dyDescent="0.2">
      <c r="A12450" t="s">
        <v>19</v>
      </c>
      <c r="B12450" t="s">
        <v>32</v>
      </c>
      <c r="C12450" t="str">
        <f t="shared" si="390"/>
        <v>No cumple</v>
      </c>
      <c r="D12450">
        <v>3941</v>
      </c>
      <c r="E12450" t="s">
        <v>8</v>
      </c>
      <c r="F12450">
        <v>0</v>
      </c>
      <c r="G12450">
        <v>6</v>
      </c>
      <c r="H12450">
        <f t="shared" si="389"/>
        <v>-6</v>
      </c>
    </row>
    <row r="12451" spans="1:8" x14ac:dyDescent="0.2">
      <c r="A12451" t="s">
        <v>7</v>
      </c>
      <c r="B12451" t="s">
        <v>32</v>
      </c>
      <c r="C12451" t="str">
        <f t="shared" si="390"/>
        <v>No cumple</v>
      </c>
      <c r="D12451">
        <v>3942</v>
      </c>
      <c r="E12451" t="s">
        <v>8</v>
      </c>
      <c r="F12451">
        <v>0</v>
      </c>
      <c r="G12451">
        <v>6</v>
      </c>
      <c r="H12451">
        <f t="shared" si="389"/>
        <v>-6</v>
      </c>
    </row>
    <row r="12452" spans="1:8" x14ac:dyDescent="0.2">
      <c r="A12452" t="s">
        <v>7</v>
      </c>
      <c r="B12452" t="s">
        <v>32</v>
      </c>
      <c r="C12452" t="str">
        <f t="shared" si="390"/>
        <v>No cumple</v>
      </c>
      <c r="D12452">
        <v>3944</v>
      </c>
      <c r="E12452" t="s">
        <v>8</v>
      </c>
      <c r="F12452">
        <v>1</v>
      </c>
      <c r="G12452">
        <v>6</v>
      </c>
      <c r="H12452">
        <f t="shared" si="389"/>
        <v>-5</v>
      </c>
    </row>
    <row r="12453" spans="1:8" x14ac:dyDescent="0.2">
      <c r="A12453" t="s">
        <v>19</v>
      </c>
      <c r="B12453" t="s">
        <v>32</v>
      </c>
      <c r="C12453" t="str">
        <f t="shared" si="390"/>
        <v>No cumple</v>
      </c>
      <c r="D12453">
        <v>3963</v>
      </c>
      <c r="E12453" t="s">
        <v>8</v>
      </c>
      <c r="F12453">
        <v>0</v>
      </c>
      <c r="G12453">
        <v>6</v>
      </c>
      <c r="H12453">
        <f t="shared" si="389"/>
        <v>-6</v>
      </c>
    </row>
    <row r="12454" spans="1:8" x14ac:dyDescent="0.2">
      <c r="A12454" t="s">
        <v>18</v>
      </c>
      <c r="B12454" t="s">
        <v>32</v>
      </c>
      <c r="C12454" t="str">
        <f t="shared" si="390"/>
        <v>No cumple</v>
      </c>
      <c r="D12454">
        <v>3964</v>
      </c>
      <c r="E12454" t="s">
        <v>8</v>
      </c>
      <c r="F12454">
        <v>0</v>
      </c>
      <c r="G12454">
        <v>6</v>
      </c>
      <c r="H12454">
        <f t="shared" si="389"/>
        <v>-6</v>
      </c>
    </row>
    <row r="12455" spans="1:8" x14ac:dyDescent="0.2">
      <c r="A12455" t="s">
        <v>7</v>
      </c>
      <c r="B12455" t="s">
        <v>32</v>
      </c>
      <c r="C12455" t="str">
        <f t="shared" si="390"/>
        <v>No cumple</v>
      </c>
      <c r="D12455">
        <v>3965</v>
      </c>
      <c r="E12455" t="s">
        <v>8</v>
      </c>
      <c r="F12455">
        <v>0</v>
      </c>
      <c r="G12455">
        <v>6</v>
      </c>
      <c r="H12455">
        <f t="shared" si="389"/>
        <v>-6</v>
      </c>
    </row>
    <row r="12456" spans="1:8" x14ac:dyDescent="0.2">
      <c r="A12456" t="s">
        <v>18</v>
      </c>
      <c r="B12456" t="s">
        <v>32</v>
      </c>
      <c r="C12456" t="str">
        <f t="shared" si="390"/>
        <v>No cumple</v>
      </c>
      <c r="D12456">
        <v>3968</v>
      </c>
      <c r="E12456" t="s">
        <v>8</v>
      </c>
      <c r="F12456">
        <v>0</v>
      </c>
      <c r="G12456">
        <v>6</v>
      </c>
      <c r="H12456">
        <f t="shared" si="389"/>
        <v>-6</v>
      </c>
    </row>
    <row r="12457" spans="1:8" x14ac:dyDescent="0.2">
      <c r="A12457" t="s">
        <v>7</v>
      </c>
      <c r="B12457" t="s">
        <v>32</v>
      </c>
      <c r="C12457" t="str">
        <f t="shared" si="390"/>
        <v>No cumple</v>
      </c>
      <c r="D12457">
        <v>7602</v>
      </c>
      <c r="E12457" t="s">
        <v>8</v>
      </c>
      <c r="F12457">
        <v>0</v>
      </c>
      <c r="G12457">
        <v>6</v>
      </c>
      <c r="H12457">
        <f t="shared" si="389"/>
        <v>-6</v>
      </c>
    </row>
    <row r="12458" spans="1:8" x14ac:dyDescent="0.2">
      <c r="A12458" t="s">
        <v>7</v>
      </c>
      <c r="B12458" t="s">
        <v>32</v>
      </c>
      <c r="C12458" t="str">
        <f t="shared" si="390"/>
        <v>No cumple</v>
      </c>
      <c r="D12458">
        <v>9071</v>
      </c>
      <c r="E12458" t="s">
        <v>8</v>
      </c>
      <c r="F12458">
        <v>1</v>
      </c>
      <c r="G12458">
        <v>6</v>
      </c>
      <c r="H12458">
        <f t="shared" si="389"/>
        <v>-5</v>
      </c>
    </row>
    <row r="12459" spans="1:8" x14ac:dyDescent="0.2">
      <c r="A12459" t="s">
        <v>7</v>
      </c>
      <c r="B12459" t="s">
        <v>32</v>
      </c>
      <c r="C12459" t="str">
        <f t="shared" si="390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389"/>
        <v>-8</v>
      </c>
    </row>
    <row r="12460" spans="1:8" x14ac:dyDescent="0.2">
      <c r="A12460" t="s">
        <v>19</v>
      </c>
      <c r="B12460" t="s">
        <v>32</v>
      </c>
      <c r="C12460" t="str">
        <f t="shared" si="390"/>
        <v>No cumple</v>
      </c>
      <c r="D12460">
        <v>9113</v>
      </c>
      <c r="E12460" t="s">
        <v>8</v>
      </c>
      <c r="F12460">
        <v>0</v>
      </c>
      <c r="G12460">
        <v>6</v>
      </c>
      <c r="H12460">
        <f t="shared" si="389"/>
        <v>-6</v>
      </c>
    </row>
    <row r="12461" spans="1:8" x14ac:dyDescent="0.2">
      <c r="A12461" t="s">
        <v>7</v>
      </c>
      <c r="B12461" t="s">
        <v>32</v>
      </c>
      <c r="C12461" t="str">
        <f t="shared" si="390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389"/>
        <v>-8</v>
      </c>
    </row>
    <row r="12462" spans="1:8" x14ac:dyDescent="0.2">
      <c r="A12462" t="s">
        <v>7</v>
      </c>
      <c r="B12462" t="s">
        <v>32</v>
      </c>
      <c r="C12462" t="str">
        <f t="shared" si="390"/>
        <v>No cumple</v>
      </c>
      <c r="D12462">
        <v>9131</v>
      </c>
      <c r="E12462" t="s">
        <v>8</v>
      </c>
      <c r="F12462">
        <v>0</v>
      </c>
      <c r="G12462">
        <v>6</v>
      </c>
      <c r="H12462">
        <f t="shared" si="389"/>
        <v>-6</v>
      </c>
    </row>
    <row r="12463" spans="1:8" x14ac:dyDescent="0.2">
      <c r="A12463" t="s">
        <v>7</v>
      </c>
      <c r="B12463" t="s">
        <v>32</v>
      </c>
      <c r="C12463" t="str">
        <f t="shared" si="390"/>
        <v>No cumple</v>
      </c>
      <c r="D12463">
        <v>9161</v>
      </c>
      <c r="E12463" t="s">
        <v>8</v>
      </c>
      <c r="F12463">
        <v>0</v>
      </c>
      <c r="G12463">
        <v>6</v>
      </c>
      <c r="H12463">
        <f t="shared" si="389"/>
        <v>-6</v>
      </c>
    </row>
    <row r="12464" spans="1:8" x14ac:dyDescent="0.2">
      <c r="A12464" t="s">
        <v>19</v>
      </c>
      <c r="B12464" t="s">
        <v>32</v>
      </c>
      <c r="C12464" t="str">
        <f t="shared" si="390"/>
        <v>No cumple</v>
      </c>
      <c r="D12464">
        <v>9181</v>
      </c>
      <c r="E12464" t="s">
        <v>8</v>
      </c>
      <c r="F12464">
        <v>0</v>
      </c>
      <c r="G12464">
        <v>6</v>
      </c>
      <c r="H12464">
        <f t="shared" si="389"/>
        <v>-6</v>
      </c>
    </row>
    <row r="12465" spans="1:8" x14ac:dyDescent="0.2">
      <c r="A12465" t="s">
        <v>7</v>
      </c>
      <c r="B12465" t="s">
        <v>32</v>
      </c>
      <c r="C12465" t="str">
        <f t="shared" si="390"/>
        <v>No cumple</v>
      </c>
      <c r="D12465">
        <v>9218</v>
      </c>
      <c r="E12465" t="s">
        <v>8</v>
      </c>
      <c r="F12465">
        <v>0</v>
      </c>
      <c r="G12465">
        <v>6</v>
      </c>
      <c r="H12465">
        <f t="shared" si="389"/>
        <v>-6</v>
      </c>
    </row>
    <row r="12466" spans="1:8" x14ac:dyDescent="0.2">
      <c r="A12466" t="s">
        <v>7</v>
      </c>
      <c r="B12466" t="s">
        <v>32</v>
      </c>
      <c r="C12466" t="str">
        <f t="shared" si="390"/>
        <v>Cumple</v>
      </c>
      <c r="D12466">
        <v>9317</v>
      </c>
      <c r="E12466" t="s">
        <v>8</v>
      </c>
      <c r="F12466">
        <v>6</v>
      </c>
      <c r="G12466">
        <v>6</v>
      </c>
      <c r="H12466">
        <f t="shared" si="389"/>
        <v>0</v>
      </c>
    </row>
    <row r="12467" spans="1:8" x14ac:dyDescent="0.2">
      <c r="A12467" t="s">
        <v>7</v>
      </c>
      <c r="B12467" t="s">
        <v>32</v>
      </c>
      <c r="C12467" t="str">
        <f t="shared" si="390"/>
        <v>No cumple</v>
      </c>
      <c r="D12467">
        <v>9340</v>
      </c>
      <c r="E12467" t="s">
        <v>8</v>
      </c>
      <c r="F12467">
        <v>1</v>
      </c>
      <c r="G12467">
        <v>6</v>
      </c>
      <c r="H12467">
        <f t="shared" si="389"/>
        <v>-5</v>
      </c>
    </row>
    <row r="12468" spans="1:8" x14ac:dyDescent="0.2">
      <c r="A12468" t="s">
        <v>18</v>
      </c>
      <c r="B12468" t="s">
        <v>32</v>
      </c>
      <c r="C12468" t="str">
        <f t="shared" si="390"/>
        <v>No cumple</v>
      </c>
      <c r="D12468">
        <v>9426</v>
      </c>
      <c r="E12468" t="s">
        <v>8</v>
      </c>
      <c r="F12468">
        <v>0</v>
      </c>
      <c r="G12468">
        <v>6</v>
      </c>
      <c r="H12468">
        <f t="shared" si="389"/>
        <v>-6</v>
      </c>
    </row>
    <row r="12469" spans="1:8" x14ac:dyDescent="0.2">
      <c r="A12469" t="s">
        <v>18</v>
      </c>
      <c r="B12469" t="s">
        <v>32</v>
      </c>
      <c r="C12469" t="str">
        <f t="shared" si="390"/>
        <v>No cumple</v>
      </c>
      <c r="D12469">
        <v>9457</v>
      </c>
      <c r="E12469" t="s">
        <v>8</v>
      </c>
      <c r="F12469">
        <v>0</v>
      </c>
      <c r="G12469">
        <v>6</v>
      </c>
      <c r="H12469">
        <f t="shared" si="389"/>
        <v>-6</v>
      </c>
    </row>
    <row r="12470" spans="1:8" x14ac:dyDescent="0.2">
      <c r="A12470" t="s">
        <v>18</v>
      </c>
      <c r="B12470" t="s">
        <v>32</v>
      </c>
      <c r="C12470" t="str">
        <f t="shared" si="390"/>
        <v>No cumple</v>
      </c>
      <c r="D12470">
        <v>9471</v>
      </c>
      <c r="E12470" t="s">
        <v>8</v>
      </c>
      <c r="F12470">
        <v>0</v>
      </c>
      <c r="G12470">
        <v>6</v>
      </c>
      <c r="H12470">
        <f t="shared" si="389"/>
        <v>-6</v>
      </c>
    </row>
    <row r="12471" spans="1:8" x14ac:dyDescent="0.2">
      <c r="A12471" t="s">
        <v>18</v>
      </c>
      <c r="B12471" t="s">
        <v>32</v>
      </c>
      <c r="C12471" t="str">
        <f t="shared" si="390"/>
        <v>No cumple</v>
      </c>
      <c r="D12471">
        <v>9548</v>
      </c>
      <c r="E12471" t="s">
        <v>8</v>
      </c>
      <c r="F12471">
        <v>0</v>
      </c>
      <c r="G12471">
        <v>6</v>
      </c>
      <c r="H12471">
        <f t="shared" si="389"/>
        <v>-6</v>
      </c>
    </row>
    <row r="12472" spans="1:8" x14ac:dyDescent="0.2">
      <c r="A12472" t="s">
        <v>18</v>
      </c>
      <c r="B12472" t="s">
        <v>32</v>
      </c>
      <c r="C12472" t="str">
        <f t="shared" si="390"/>
        <v>No cumple</v>
      </c>
      <c r="D12472">
        <v>9605</v>
      </c>
      <c r="E12472" t="s">
        <v>8</v>
      </c>
      <c r="F12472">
        <v>0</v>
      </c>
      <c r="G12472">
        <v>6</v>
      </c>
      <c r="H12472">
        <f t="shared" si="389"/>
        <v>-6</v>
      </c>
    </row>
    <row r="12473" spans="1:8" x14ac:dyDescent="0.2">
      <c r="A12473" t="s">
        <v>7</v>
      </c>
      <c r="B12473" t="s">
        <v>32</v>
      </c>
      <c r="C12473" t="str">
        <f t="shared" si="390"/>
        <v>No cumple</v>
      </c>
      <c r="D12473">
        <v>9669</v>
      </c>
      <c r="E12473" t="s">
        <v>8</v>
      </c>
      <c r="F12473">
        <v>2</v>
      </c>
      <c r="G12473">
        <v>6</v>
      </c>
      <c r="H12473">
        <f t="shared" si="389"/>
        <v>-4</v>
      </c>
    </row>
    <row r="12474" spans="1:8" x14ac:dyDescent="0.2">
      <c r="A12474" t="s">
        <v>7</v>
      </c>
      <c r="B12474" t="s">
        <v>32</v>
      </c>
      <c r="C12474" t="str">
        <f t="shared" si="390"/>
        <v>No cumple</v>
      </c>
      <c r="D12474">
        <v>9670</v>
      </c>
      <c r="E12474" t="s">
        <v>8</v>
      </c>
      <c r="F12474">
        <v>0</v>
      </c>
      <c r="G12474">
        <v>6</v>
      </c>
      <c r="H12474">
        <f t="shared" si="389"/>
        <v>-6</v>
      </c>
    </row>
    <row r="12475" spans="1:8" x14ac:dyDescent="0.2">
      <c r="A12475" t="s">
        <v>18</v>
      </c>
      <c r="B12475" t="s">
        <v>32</v>
      </c>
      <c r="C12475" t="str">
        <f t="shared" si="390"/>
        <v>No cumple</v>
      </c>
      <c r="D12475">
        <v>9746</v>
      </c>
      <c r="E12475" t="s">
        <v>8</v>
      </c>
      <c r="F12475">
        <v>0</v>
      </c>
      <c r="G12475">
        <v>6</v>
      </c>
      <c r="H12475">
        <f t="shared" si="389"/>
        <v>-6</v>
      </c>
    </row>
    <row r="12476" spans="1:8" x14ac:dyDescent="0.2">
      <c r="A12476" t="s">
        <v>18</v>
      </c>
      <c r="B12476" t="s">
        <v>32</v>
      </c>
      <c r="C12476" t="str">
        <f t="shared" si="390"/>
        <v>No cumple</v>
      </c>
      <c r="D12476">
        <v>9828</v>
      </c>
      <c r="E12476" t="s">
        <v>8</v>
      </c>
      <c r="F12476">
        <v>0</v>
      </c>
      <c r="G12476">
        <v>6</v>
      </c>
      <c r="H12476">
        <f t="shared" si="389"/>
        <v>-6</v>
      </c>
    </row>
    <row r="12477" spans="1:8" x14ac:dyDescent="0.2">
      <c r="A12477" t="s">
        <v>7</v>
      </c>
      <c r="B12477" t="s">
        <v>32</v>
      </c>
      <c r="C12477" t="str">
        <f t="shared" si="390"/>
        <v>No cumple</v>
      </c>
      <c r="D12477">
        <v>9844</v>
      </c>
      <c r="E12477" t="s">
        <v>8</v>
      </c>
      <c r="F12477">
        <v>0</v>
      </c>
      <c r="G12477">
        <v>6</v>
      </c>
      <c r="H12477">
        <f t="shared" si="389"/>
        <v>-6</v>
      </c>
    </row>
    <row r="12478" spans="1:8" x14ac:dyDescent="0.2">
      <c r="A12478" t="s">
        <v>19</v>
      </c>
      <c r="B12478" t="s">
        <v>32</v>
      </c>
      <c r="C12478" t="str">
        <f t="shared" si="390"/>
        <v>No cumple</v>
      </c>
      <c r="D12478">
        <v>9848</v>
      </c>
      <c r="E12478" t="s">
        <v>8</v>
      </c>
      <c r="F12478">
        <v>0</v>
      </c>
      <c r="G12478">
        <v>6</v>
      </c>
      <c r="H12478">
        <f t="shared" si="389"/>
        <v>-6</v>
      </c>
    </row>
    <row r="12479" spans="1:8" x14ac:dyDescent="0.2">
      <c r="A12479" t="s">
        <v>18</v>
      </c>
      <c r="B12479" t="s">
        <v>32</v>
      </c>
      <c r="C12479" t="str">
        <f t="shared" si="390"/>
        <v>Cumple</v>
      </c>
      <c r="D12479">
        <v>9850</v>
      </c>
      <c r="E12479" t="s">
        <v>8</v>
      </c>
      <c r="F12479" s="9">
        <v>4</v>
      </c>
      <c r="G12479" s="9">
        <v>4</v>
      </c>
      <c r="H12479">
        <f t="shared" si="389"/>
        <v>0</v>
      </c>
    </row>
    <row r="12480" spans="1:8" x14ac:dyDescent="0.2">
      <c r="A12480" t="s">
        <v>19</v>
      </c>
      <c r="B12480" t="s">
        <v>32</v>
      </c>
      <c r="C12480" t="str">
        <f t="shared" si="390"/>
        <v>No cumple</v>
      </c>
      <c r="D12480">
        <v>9908</v>
      </c>
      <c r="E12480" t="s">
        <v>8</v>
      </c>
      <c r="F12480">
        <v>0</v>
      </c>
      <c r="G12480">
        <v>6</v>
      </c>
      <c r="H12480">
        <f t="shared" si="389"/>
        <v>-6</v>
      </c>
    </row>
    <row r="12481" spans="1:8" x14ac:dyDescent="0.2">
      <c r="A12481" t="s">
        <v>18</v>
      </c>
      <c r="B12481" t="s">
        <v>32</v>
      </c>
      <c r="C12481" t="str">
        <f t="shared" si="390"/>
        <v>No cumple</v>
      </c>
      <c r="D12481">
        <v>9916</v>
      </c>
      <c r="E12481" t="s">
        <v>8</v>
      </c>
      <c r="F12481">
        <v>0</v>
      </c>
      <c r="G12481">
        <v>6</v>
      </c>
      <c r="H12481">
        <f t="shared" si="389"/>
        <v>-6</v>
      </c>
    </row>
    <row r="12482" spans="1:8" x14ac:dyDescent="0.2">
      <c r="A12482" t="s">
        <v>7</v>
      </c>
      <c r="B12482" t="s">
        <v>32</v>
      </c>
      <c r="C12482" t="str">
        <f t="shared" si="390"/>
        <v>No cumple</v>
      </c>
      <c r="D12482">
        <v>9943</v>
      </c>
      <c r="E12482" t="s">
        <v>8</v>
      </c>
      <c r="F12482">
        <v>0</v>
      </c>
      <c r="G12482">
        <v>6</v>
      </c>
      <c r="H12482">
        <f t="shared" si="389"/>
        <v>-6</v>
      </c>
    </row>
    <row r="12483" spans="1:8" x14ac:dyDescent="0.2">
      <c r="A12483" t="s">
        <v>18</v>
      </c>
      <c r="B12483" t="s">
        <v>32</v>
      </c>
      <c r="C12483" t="str">
        <f t="shared" si="390"/>
        <v>No cumple</v>
      </c>
      <c r="D12483">
        <v>9964</v>
      </c>
      <c r="E12483" t="s">
        <v>8</v>
      </c>
      <c r="F12483">
        <v>0</v>
      </c>
      <c r="G12483">
        <v>6</v>
      </c>
      <c r="H12483">
        <f t="shared" ref="H12483:H12546" si="391">F12483-G12483</f>
        <v>-6</v>
      </c>
    </row>
    <row r="12484" spans="1:8" x14ac:dyDescent="0.2">
      <c r="A12484" t="s">
        <v>19</v>
      </c>
      <c r="B12484" t="s">
        <v>32</v>
      </c>
      <c r="C12484" t="str">
        <f t="shared" si="390"/>
        <v>No cumple</v>
      </c>
      <c r="D12484">
        <v>9971</v>
      </c>
      <c r="E12484" t="s">
        <v>8</v>
      </c>
      <c r="F12484">
        <v>0</v>
      </c>
      <c r="G12484">
        <v>6</v>
      </c>
      <c r="H12484">
        <f t="shared" si="391"/>
        <v>-6</v>
      </c>
    </row>
    <row r="12485" spans="1:8" x14ac:dyDescent="0.2">
      <c r="A12485" t="s">
        <v>7</v>
      </c>
      <c r="B12485" t="s">
        <v>32</v>
      </c>
      <c r="C12485" t="str">
        <f t="shared" ref="C12485:C12548" si="392">IF(H12485&gt;=0,"Cumple","No cumple")</f>
        <v>No cumple</v>
      </c>
      <c r="D12485">
        <v>9973</v>
      </c>
      <c r="E12485" t="s">
        <v>8</v>
      </c>
      <c r="F12485">
        <v>0</v>
      </c>
      <c r="G12485">
        <v>6</v>
      </c>
      <c r="H12485">
        <f t="shared" si="391"/>
        <v>-6</v>
      </c>
    </row>
    <row r="12486" spans="1:8" x14ac:dyDescent="0.2">
      <c r="A12486" t="s">
        <v>7</v>
      </c>
      <c r="B12486" t="s">
        <v>32</v>
      </c>
      <c r="C12486" t="str">
        <f t="shared" si="392"/>
        <v>No cumple</v>
      </c>
      <c r="D12486">
        <v>3592</v>
      </c>
      <c r="E12486" t="s">
        <v>8</v>
      </c>
      <c r="F12486">
        <v>0</v>
      </c>
      <c r="G12486">
        <v>6</v>
      </c>
      <c r="H12486">
        <f t="shared" si="391"/>
        <v>-6</v>
      </c>
    </row>
    <row r="12487" spans="1:8" x14ac:dyDescent="0.2">
      <c r="A12487" t="s">
        <v>18</v>
      </c>
      <c r="B12487" t="s">
        <v>32</v>
      </c>
      <c r="C12487" t="str">
        <f t="shared" si="392"/>
        <v>No cumple</v>
      </c>
      <c r="D12487">
        <v>9824</v>
      </c>
      <c r="E12487" t="s">
        <v>8</v>
      </c>
      <c r="F12487">
        <v>0</v>
      </c>
      <c r="G12487">
        <v>6</v>
      </c>
      <c r="H12487">
        <f t="shared" si="391"/>
        <v>-6</v>
      </c>
    </row>
    <row r="12488" spans="1:8" x14ac:dyDescent="0.2">
      <c r="A12488" t="s">
        <v>19</v>
      </c>
      <c r="B12488" t="s">
        <v>32</v>
      </c>
      <c r="C12488" t="str">
        <f t="shared" si="392"/>
        <v>No cumple</v>
      </c>
      <c r="D12488">
        <v>2846</v>
      </c>
      <c r="E12488" t="s">
        <v>8</v>
      </c>
      <c r="F12488">
        <v>0</v>
      </c>
      <c r="G12488">
        <v>6</v>
      </c>
      <c r="H12488">
        <f t="shared" si="391"/>
        <v>-6</v>
      </c>
    </row>
    <row r="12489" spans="1:8" x14ac:dyDescent="0.2">
      <c r="A12489" t="s">
        <v>18</v>
      </c>
      <c r="B12489" t="s">
        <v>32</v>
      </c>
      <c r="C12489" t="str">
        <f t="shared" si="392"/>
        <v>No cumple</v>
      </c>
      <c r="D12489">
        <v>9060</v>
      </c>
      <c r="E12489" t="s">
        <v>8</v>
      </c>
      <c r="F12489">
        <v>0</v>
      </c>
      <c r="G12489">
        <v>6</v>
      </c>
      <c r="H12489">
        <f t="shared" si="391"/>
        <v>-6</v>
      </c>
    </row>
    <row r="12490" spans="1:8" x14ac:dyDescent="0.2">
      <c r="A12490" t="s">
        <v>19</v>
      </c>
      <c r="B12490" t="s">
        <v>32</v>
      </c>
      <c r="C12490" t="str">
        <f t="shared" si="392"/>
        <v>No cumple</v>
      </c>
      <c r="D12490">
        <v>1212</v>
      </c>
      <c r="E12490" t="s">
        <v>8</v>
      </c>
      <c r="F12490">
        <v>0</v>
      </c>
      <c r="G12490">
        <v>6</v>
      </c>
      <c r="H12490">
        <f t="shared" si="391"/>
        <v>-6</v>
      </c>
    </row>
    <row r="12491" spans="1:8" x14ac:dyDescent="0.2">
      <c r="A12491" t="s">
        <v>7</v>
      </c>
      <c r="B12491" t="s">
        <v>32</v>
      </c>
      <c r="C12491" t="str">
        <f t="shared" si="392"/>
        <v>Cumple</v>
      </c>
      <c r="D12491">
        <v>3976</v>
      </c>
      <c r="E12491" t="s">
        <v>8</v>
      </c>
      <c r="F12491">
        <v>6</v>
      </c>
      <c r="G12491">
        <v>6</v>
      </c>
      <c r="H12491">
        <f t="shared" si="391"/>
        <v>0</v>
      </c>
    </row>
    <row r="12492" spans="1:8" x14ac:dyDescent="0.2">
      <c r="A12492" t="s">
        <v>19</v>
      </c>
      <c r="B12492" t="s">
        <v>32</v>
      </c>
      <c r="C12492" t="str">
        <f t="shared" si="392"/>
        <v>No cumple</v>
      </c>
      <c r="D12492">
        <v>2615</v>
      </c>
      <c r="E12492" t="s">
        <v>8</v>
      </c>
      <c r="F12492">
        <v>0</v>
      </c>
      <c r="G12492">
        <v>6</v>
      </c>
      <c r="H12492">
        <f t="shared" si="391"/>
        <v>-6</v>
      </c>
    </row>
    <row r="12493" spans="1:8" x14ac:dyDescent="0.2">
      <c r="A12493" t="s">
        <v>7</v>
      </c>
      <c r="B12493" t="s">
        <v>32</v>
      </c>
      <c r="C12493" t="str">
        <f t="shared" si="392"/>
        <v>No cumple</v>
      </c>
      <c r="D12493">
        <v>3977</v>
      </c>
      <c r="E12493" t="s">
        <v>8</v>
      </c>
      <c r="F12493">
        <v>1</v>
      </c>
      <c r="G12493">
        <v>6</v>
      </c>
      <c r="H12493">
        <f t="shared" si="391"/>
        <v>-5</v>
      </c>
    </row>
    <row r="12494" spans="1:8" x14ac:dyDescent="0.2">
      <c r="A12494" t="s">
        <v>18</v>
      </c>
      <c r="B12494" t="s">
        <v>32</v>
      </c>
      <c r="C12494" t="str">
        <f t="shared" si="392"/>
        <v>No cumple</v>
      </c>
      <c r="D12494">
        <v>3979</v>
      </c>
      <c r="E12494" t="s">
        <v>8</v>
      </c>
      <c r="F12494">
        <v>0</v>
      </c>
      <c r="G12494">
        <v>6</v>
      </c>
      <c r="H12494">
        <f t="shared" si="391"/>
        <v>-6</v>
      </c>
    </row>
    <row r="12495" spans="1:8" x14ac:dyDescent="0.2">
      <c r="A12495" t="s">
        <v>18</v>
      </c>
      <c r="B12495" t="s">
        <v>32</v>
      </c>
      <c r="C12495" t="str">
        <f t="shared" si="392"/>
        <v>No cumple</v>
      </c>
      <c r="D12495">
        <v>2695</v>
      </c>
      <c r="E12495" t="s">
        <v>8</v>
      </c>
      <c r="F12495">
        <v>0</v>
      </c>
      <c r="G12495">
        <v>6</v>
      </c>
      <c r="H12495">
        <f t="shared" si="391"/>
        <v>-6</v>
      </c>
    </row>
    <row r="12496" spans="1:8" x14ac:dyDescent="0.2">
      <c r="A12496" t="s">
        <v>18</v>
      </c>
      <c r="B12496" t="s">
        <v>32</v>
      </c>
      <c r="C12496" t="str">
        <f t="shared" si="392"/>
        <v>No cumple</v>
      </c>
      <c r="D12496">
        <v>3991</v>
      </c>
      <c r="E12496" t="s">
        <v>8</v>
      </c>
      <c r="F12496">
        <v>0</v>
      </c>
      <c r="G12496">
        <v>6</v>
      </c>
      <c r="H12496">
        <f t="shared" si="391"/>
        <v>-6</v>
      </c>
    </row>
    <row r="12497" spans="1:8" x14ac:dyDescent="0.2">
      <c r="A12497" t="s">
        <v>18</v>
      </c>
      <c r="B12497" t="s">
        <v>32</v>
      </c>
      <c r="C12497" t="str">
        <f t="shared" si="392"/>
        <v>No cumple</v>
      </c>
      <c r="D12497">
        <v>3992</v>
      </c>
      <c r="E12497" t="s">
        <v>8</v>
      </c>
      <c r="F12497">
        <v>0</v>
      </c>
      <c r="G12497">
        <v>6</v>
      </c>
      <c r="H12497">
        <f t="shared" si="391"/>
        <v>-6</v>
      </c>
    </row>
    <row r="12498" spans="1:8" x14ac:dyDescent="0.2">
      <c r="A12498" t="s">
        <v>18</v>
      </c>
      <c r="B12498" t="s">
        <v>32</v>
      </c>
      <c r="C12498" t="str">
        <f t="shared" si="392"/>
        <v>No cumple</v>
      </c>
      <c r="D12498">
        <v>3993</v>
      </c>
      <c r="E12498" t="s">
        <v>8</v>
      </c>
      <c r="F12498">
        <v>0</v>
      </c>
      <c r="G12498">
        <v>6</v>
      </c>
      <c r="H12498">
        <f t="shared" si="391"/>
        <v>-6</v>
      </c>
    </row>
    <row r="12499" spans="1:8" x14ac:dyDescent="0.2">
      <c r="A12499" t="s">
        <v>19</v>
      </c>
      <c r="B12499" t="s">
        <v>32</v>
      </c>
      <c r="C12499" t="str">
        <f t="shared" si="392"/>
        <v>No cumple</v>
      </c>
      <c r="D12499">
        <v>3994</v>
      </c>
      <c r="E12499" t="s">
        <v>8</v>
      </c>
      <c r="F12499">
        <v>0</v>
      </c>
      <c r="G12499">
        <v>6</v>
      </c>
      <c r="H12499">
        <f t="shared" si="391"/>
        <v>-6</v>
      </c>
    </row>
    <row r="12500" spans="1:8" x14ac:dyDescent="0.2">
      <c r="A12500" t="s">
        <v>18</v>
      </c>
      <c r="B12500" t="s">
        <v>32</v>
      </c>
      <c r="C12500" t="str">
        <f t="shared" si="392"/>
        <v>No cumple</v>
      </c>
      <c r="D12500">
        <v>4031</v>
      </c>
      <c r="E12500" t="s">
        <v>8</v>
      </c>
      <c r="F12500">
        <v>0</v>
      </c>
      <c r="G12500">
        <v>6</v>
      </c>
      <c r="H12500">
        <f t="shared" si="391"/>
        <v>-6</v>
      </c>
    </row>
    <row r="12501" spans="1:8" x14ac:dyDescent="0.2">
      <c r="A12501" t="s">
        <v>18</v>
      </c>
      <c r="B12501" t="s">
        <v>32</v>
      </c>
      <c r="C12501" t="str">
        <f t="shared" si="392"/>
        <v>No cumple</v>
      </c>
      <c r="D12501">
        <v>1604</v>
      </c>
      <c r="E12501" t="s">
        <v>8</v>
      </c>
      <c r="F12501">
        <v>0</v>
      </c>
      <c r="G12501">
        <v>6</v>
      </c>
      <c r="H12501">
        <f t="shared" si="391"/>
        <v>-6</v>
      </c>
    </row>
    <row r="12502" spans="1:8" x14ac:dyDescent="0.2">
      <c r="A12502" t="s">
        <v>18</v>
      </c>
      <c r="B12502" t="s">
        <v>32</v>
      </c>
      <c r="C12502" t="str">
        <f t="shared" si="392"/>
        <v>No cumple</v>
      </c>
      <c r="D12502">
        <v>3989</v>
      </c>
      <c r="E12502" t="s">
        <v>8</v>
      </c>
      <c r="F12502">
        <v>0</v>
      </c>
      <c r="G12502">
        <v>6</v>
      </c>
      <c r="H12502">
        <f t="shared" si="391"/>
        <v>-6</v>
      </c>
    </row>
    <row r="12503" spans="1:8" x14ac:dyDescent="0.2">
      <c r="A12503" t="s">
        <v>7</v>
      </c>
      <c r="B12503" t="s">
        <v>32</v>
      </c>
      <c r="C12503" t="str">
        <f t="shared" si="392"/>
        <v>No cumple</v>
      </c>
      <c r="D12503">
        <v>4038</v>
      </c>
      <c r="E12503" t="s">
        <v>8</v>
      </c>
      <c r="F12503">
        <v>0</v>
      </c>
      <c r="G12503">
        <v>6</v>
      </c>
      <c r="H12503">
        <f t="shared" si="391"/>
        <v>-6</v>
      </c>
    </row>
    <row r="12504" spans="1:8" x14ac:dyDescent="0.2">
      <c r="A12504" t="s">
        <v>18</v>
      </c>
      <c r="B12504" t="s">
        <v>32</v>
      </c>
      <c r="C12504" t="str">
        <f t="shared" si="392"/>
        <v>No cumple</v>
      </c>
      <c r="D12504">
        <v>4040</v>
      </c>
      <c r="E12504" t="s">
        <v>8</v>
      </c>
      <c r="F12504">
        <v>0</v>
      </c>
      <c r="G12504">
        <v>6</v>
      </c>
      <c r="H12504">
        <f t="shared" si="391"/>
        <v>-6</v>
      </c>
    </row>
    <row r="12505" spans="1:8" x14ac:dyDescent="0.2">
      <c r="A12505" t="s">
        <v>7</v>
      </c>
      <c r="B12505" t="s">
        <v>32</v>
      </c>
      <c r="C12505" t="str">
        <f t="shared" si="392"/>
        <v>No cumple</v>
      </c>
      <c r="D12505">
        <v>2724</v>
      </c>
      <c r="E12505" t="s">
        <v>8</v>
      </c>
      <c r="F12505">
        <v>1</v>
      </c>
      <c r="G12505">
        <v>6</v>
      </c>
      <c r="H12505">
        <f t="shared" si="391"/>
        <v>-5</v>
      </c>
    </row>
    <row r="12506" spans="1:8" x14ac:dyDescent="0.2">
      <c r="A12506" t="s">
        <v>18</v>
      </c>
      <c r="B12506" t="s">
        <v>32</v>
      </c>
      <c r="C12506" t="str">
        <f t="shared" si="392"/>
        <v>No cumple</v>
      </c>
      <c r="D12506">
        <v>9448</v>
      </c>
      <c r="E12506" t="s">
        <v>8</v>
      </c>
      <c r="F12506">
        <v>0</v>
      </c>
      <c r="G12506">
        <v>6</v>
      </c>
      <c r="H12506">
        <f t="shared" si="391"/>
        <v>-6</v>
      </c>
    </row>
    <row r="12507" spans="1:8" x14ac:dyDescent="0.2">
      <c r="A12507" t="s">
        <v>18</v>
      </c>
      <c r="B12507" t="s">
        <v>32</v>
      </c>
      <c r="C12507" t="str">
        <f t="shared" si="392"/>
        <v>No cumple</v>
      </c>
      <c r="D12507">
        <v>3953</v>
      </c>
      <c r="E12507" t="s">
        <v>8</v>
      </c>
      <c r="F12507">
        <v>0</v>
      </c>
      <c r="G12507">
        <v>6</v>
      </c>
      <c r="H12507">
        <f t="shared" si="391"/>
        <v>-6</v>
      </c>
    </row>
    <row r="12508" spans="1:8" x14ac:dyDescent="0.2">
      <c r="A12508" t="s">
        <v>18</v>
      </c>
      <c r="B12508" t="s">
        <v>32</v>
      </c>
      <c r="C12508" t="str">
        <f t="shared" si="392"/>
        <v>No cumple</v>
      </c>
      <c r="D12508">
        <v>1781</v>
      </c>
      <c r="E12508" t="s">
        <v>8</v>
      </c>
      <c r="F12508">
        <v>0</v>
      </c>
      <c r="G12508">
        <v>6</v>
      </c>
      <c r="H12508">
        <f t="shared" si="391"/>
        <v>-6</v>
      </c>
    </row>
    <row r="12509" spans="1:8" x14ac:dyDescent="0.2">
      <c r="A12509" t="s">
        <v>18</v>
      </c>
      <c r="B12509" t="s">
        <v>32</v>
      </c>
      <c r="C12509" t="str">
        <f t="shared" si="392"/>
        <v>No cumple</v>
      </c>
      <c r="D12509">
        <v>987</v>
      </c>
      <c r="E12509" t="s">
        <v>8</v>
      </c>
      <c r="F12509">
        <v>0</v>
      </c>
      <c r="G12509">
        <v>6</v>
      </c>
      <c r="H12509">
        <f t="shared" si="391"/>
        <v>-6</v>
      </c>
    </row>
    <row r="12510" spans="1:8" x14ac:dyDescent="0.2">
      <c r="A12510" t="s">
        <v>18</v>
      </c>
      <c r="B12510" t="s">
        <v>32</v>
      </c>
      <c r="C12510" t="str">
        <f t="shared" si="392"/>
        <v>No cumple</v>
      </c>
      <c r="D12510">
        <v>1836</v>
      </c>
      <c r="E12510" t="s">
        <v>8</v>
      </c>
      <c r="F12510">
        <v>0</v>
      </c>
      <c r="G12510">
        <v>6</v>
      </c>
      <c r="H12510">
        <f t="shared" si="391"/>
        <v>-6</v>
      </c>
    </row>
    <row r="12511" spans="1:8" x14ac:dyDescent="0.2">
      <c r="A12511" t="s">
        <v>18</v>
      </c>
      <c r="B12511" t="s">
        <v>32</v>
      </c>
      <c r="C12511" t="str">
        <f t="shared" si="392"/>
        <v>No cumple</v>
      </c>
      <c r="D12511">
        <v>9708</v>
      </c>
      <c r="E12511" t="s">
        <v>8</v>
      </c>
      <c r="F12511">
        <v>0</v>
      </c>
      <c r="G12511">
        <v>6</v>
      </c>
      <c r="H12511">
        <f t="shared" si="391"/>
        <v>-6</v>
      </c>
    </row>
    <row r="12512" spans="1:8" x14ac:dyDescent="0.2">
      <c r="A12512" t="s">
        <v>18</v>
      </c>
      <c r="B12512" t="s">
        <v>32</v>
      </c>
      <c r="C12512" t="str">
        <f t="shared" si="392"/>
        <v>No cumple</v>
      </c>
      <c r="D12512">
        <v>4046</v>
      </c>
      <c r="E12512" t="s">
        <v>8</v>
      </c>
      <c r="F12512">
        <v>0</v>
      </c>
      <c r="G12512">
        <v>6</v>
      </c>
      <c r="H12512">
        <f t="shared" si="391"/>
        <v>-6</v>
      </c>
    </row>
    <row r="12513" spans="1:8" x14ac:dyDescent="0.2">
      <c r="A12513" t="s">
        <v>7</v>
      </c>
      <c r="B12513" t="s">
        <v>32</v>
      </c>
      <c r="C12513" t="str">
        <f t="shared" si="392"/>
        <v>No cumple</v>
      </c>
      <c r="D12513">
        <v>4048</v>
      </c>
      <c r="E12513" t="s">
        <v>8</v>
      </c>
      <c r="F12513">
        <v>0</v>
      </c>
      <c r="G12513">
        <v>6</v>
      </c>
      <c r="H12513">
        <f t="shared" si="391"/>
        <v>-6</v>
      </c>
    </row>
    <row r="12514" spans="1:8" x14ac:dyDescent="0.2">
      <c r="A12514" t="s">
        <v>7</v>
      </c>
      <c r="B12514" t="s">
        <v>32</v>
      </c>
      <c r="C12514" t="str">
        <f t="shared" si="392"/>
        <v>Cumple</v>
      </c>
      <c r="D12514">
        <v>1875</v>
      </c>
      <c r="E12514" t="s">
        <v>10</v>
      </c>
      <c r="F12514">
        <v>45</v>
      </c>
      <c r="G12514">
        <v>20</v>
      </c>
      <c r="H12514">
        <f t="shared" si="391"/>
        <v>25</v>
      </c>
    </row>
    <row r="12515" spans="1:8" x14ac:dyDescent="0.2">
      <c r="A12515" t="s">
        <v>7</v>
      </c>
      <c r="B12515" t="s">
        <v>32</v>
      </c>
      <c r="C12515" t="str">
        <f t="shared" si="392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si="391"/>
        <v>23</v>
      </c>
    </row>
    <row r="12516" spans="1:8" x14ac:dyDescent="0.2">
      <c r="A12516" t="s">
        <v>7</v>
      </c>
      <c r="B12516" t="s">
        <v>32</v>
      </c>
      <c r="C12516" t="str">
        <f t="shared" si="392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391"/>
        <v>23</v>
      </c>
    </row>
    <row r="12517" spans="1:8" x14ac:dyDescent="0.2">
      <c r="A12517" t="s">
        <v>7</v>
      </c>
      <c r="B12517" t="s">
        <v>32</v>
      </c>
      <c r="C12517" t="str">
        <f t="shared" si="392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391"/>
        <v>23</v>
      </c>
    </row>
    <row r="12518" spans="1:8" x14ac:dyDescent="0.2">
      <c r="A12518" t="s">
        <v>7</v>
      </c>
      <c r="B12518" t="s">
        <v>32</v>
      </c>
      <c r="C12518" t="str">
        <f t="shared" si="392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391"/>
        <v>23</v>
      </c>
    </row>
    <row r="12519" spans="1:8" x14ac:dyDescent="0.2">
      <c r="A12519" t="s">
        <v>7</v>
      </c>
      <c r="B12519" t="s">
        <v>32</v>
      </c>
      <c r="C12519" t="str">
        <f t="shared" si="392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391"/>
        <v>23</v>
      </c>
    </row>
    <row r="12520" spans="1:8" x14ac:dyDescent="0.2">
      <c r="A12520" t="s">
        <v>7</v>
      </c>
      <c r="B12520" t="s">
        <v>32</v>
      </c>
      <c r="C12520" t="str">
        <f t="shared" si="392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391"/>
        <v>22</v>
      </c>
    </row>
    <row r="12521" spans="1:8" x14ac:dyDescent="0.2">
      <c r="A12521" t="s">
        <v>7</v>
      </c>
      <c r="B12521" t="s">
        <v>32</v>
      </c>
      <c r="C12521" t="str">
        <f t="shared" si="392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391"/>
        <v>21</v>
      </c>
    </row>
    <row r="12522" spans="1:8" x14ac:dyDescent="0.2">
      <c r="A12522" t="s">
        <v>7</v>
      </c>
      <c r="B12522" t="s">
        <v>32</v>
      </c>
      <c r="C12522" t="str">
        <f t="shared" si="392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391"/>
        <v>20</v>
      </c>
    </row>
    <row r="12523" spans="1:8" x14ac:dyDescent="0.2">
      <c r="A12523" t="s">
        <v>7</v>
      </c>
      <c r="B12523" t="s">
        <v>32</v>
      </c>
      <c r="C12523" t="str">
        <f t="shared" si="392"/>
        <v>Cumple</v>
      </c>
      <c r="D12523">
        <v>3948</v>
      </c>
      <c r="E12523" t="s">
        <v>11</v>
      </c>
      <c r="F12523">
        <v>40</v>
      </c>
      <c r="G12523">
        <v>15</v>
      </c>
      <c r="H12523">
        <f t="shared" si="391"/>
        <v>25</v>
      </c>
    </row>
    <row r="12524" spans="1:8" x14ac:dyDescent="0.2">
      <c r="A12524" t="s">
        <v>7</v>
      </c>
      <c r="B12524" t="s">
        <v>32</v>
      </c>
      <c r="C12524" t="str">
        <f t="shared" si="392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391"/>
        <v>19</v>
      </c>
    </row>
    <row r="12525" spans="1:8" x14ac:dyDescent="0.2">
      <c r="A12525" t="s">
        <v>7</v>
      </c>
      <c r="B12525" t="s">
        <v>32</v>
      </c>
      <c r="C12525" t="str">
        <f t="shared" si="392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391"/>
        <v>19</v>
      </c>
    </row>
    <row r="12526" spans="1:8" x14ac:dyDescent="0.2">
      <c r="A12526" t="s">
        <v>7</v>
      </c>
      <c r="B12526" t="s">
        <v>32</v>
      </c>
      <c r="C12526" t="str">
        <f t="shared" si="392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391"/>
        <v>19</v>
      </c>
    </row>
    <row r="12527" spans="1:8" x14ac:dyDescent="0.2">
      <c r="A12527" t="s">
        <v>7</v>
      </c>
      <c r="B12527" t="s">
        <v>32</v>
      </c>
      <c r="C12527" t="str">
        <f t="shared" si="392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391"/>
        <v>19</v>
      </c>
    </row>
    <row r="12528" spans="1:8" x14ac:dyDescent="0.2">
      <c r="A12528" t="s">
        <v>7</v>
      </c>
      <c r="B12528" t="s">
        <v>32</v>
      </c>
      <c r="C12528" t="str">
        <f t="shared" si="392"/>
        <v>Cumple</v>
      </c>
      <c r="D12528">
        <v>4027</v>
      </c>
      <c r="E12528" t="s">
        <v>11</v>
      </c>
      <c r="F12528">
        <v>38</v>
      </c>
      <c r="G12528">
        <v>15</v>
      </c>
      <c r="H12528">
        <f t="shared" si="391"/>
        <v>23</v>
      </c>
    </row>
    <row r="12529" spans="1:8" x14ac:dyDescent="0.2">
      <c r="A12529" t="s">
        <v>7</v>
      </c>
      <c r="B12529" t="s">
        <v>32</v>
      </c>
      <c r="C12529" t="str">
        <f t="shared" si="392"/>
        <v>Cumple</v>
      </c>
      <c r="D12529">
        <v>3036</v>
      </c>
      <c r="E12529" t="s">
        <v>11</v>
      </c>
      <c r="F12529">
        <v>37</v>
      </c>
      <c r="G12529">
        <v>15</v>
      </c>
      <c r="H12529">
        <f t="shared" si="391"/>
        <v>22</v>
      </c>
    </row>
    <row r="12530" spans="1:8" x14ac:dyDescent="0.2">
      <c r="A12530" t="s">
        <v>7</v>
      </c>
      <c r="B12530" t="s">
        <v>32</v>
      </c>
      <c r="C12530" t="str">
        <f t="shared" si="392"/>
        <v>Cumple</v>
      </c>
      <c r="D12530">
        <v>3411</v>
      </c>
      <c r="E12530" t="s">
        <v>11</v>
      </c>
      <c r="F12530">
        <v>37</v>
      </c>
      <c r="G12530">
        <v>15</v>
      </c>
      <c r="H12530">
        <f t="shared" si="391"/>
        <v>22</v>
      </c>
    </row>
    <row r="12531" spans="1:8" x14ac:dyDescent="0.2">
      <c r="A12531" t="s">
        <v>7</v>
      </c>
      <c r="B12531" t="s">
        <v>32</v>
      </c>
      <c r="C12531" t="str">
        <f t="shared" si="392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391"/>
        <v>17</v>
      </c>
    </row>
    <row r="12532" spans="1:8" x14ac:dyDescent="0.2">
      <c r="A12532" t="s">
        <v>7</v>
      </c>
      <c r="B12532" t="s">
        <v>32</v>
      </c>
      <c r="C12532" t="str">
        <f t="shared" si="392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391"/>
        <v>17</v>
      </c>
    </row>
    <row r="12533" spans="1:8" x14ac:dyDescent="0.2">
      <c r="A12533" t="s">
        <v>7</v>
      </c>
      <c r="B12533" t="s">
        <v>32</v>
      </c>
      <c r="C12533" t="str">
        <f t="shared" si="392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391"/>
        <v>17</v>
      </c>
    </row>
    <row r="12534" spans="1:8" x14ac:dyDescent="0.2">
      <c r="A12534" t="s">
        <v>7</v>
      </c>
      <c r="B12534" t="s">
        <v>32</v>
      </c>
      <c r="C12534" t="str">
        <f t="shared" si="392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391"/>
        <v>16</v>
      </c>
    </row>
    <row r="12535" spans="1:8" x14ac:dyDescent="0.2">
      <c r="A12535" t="s">
        <v>7</v>
      </c>
      <c r="B12535" t="s">
        <v>32</v>
      </c>
      <c r="C12535" t="str">
        <f t="shared" si="392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391"/>
        <v>15</v>
      </c>
    </row>
    <row r="12536" spans="1:8" x14ac:dyDescent="0.2">
      <c r="A12536" t="s">
        <v>7</v>
      </c>
      <c r="B12536" t="s">
        <v>32</v>
      </c>
      <c r="C12536" t="str">
        <f t="shared" si="392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391"/>
        <v>15</v>
      </c>
    </row>
    <row r="12537" spans="1:8" x14ac:dyDescent="0.2">
      <c r="A12537" t="s">
        <v>7</v>
      </c>
      <c r="B12537" t="s">
        <v>32</v>
      </c>
      <c r="C12537" t="str">
        <f t="shared" si="392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391"/>
        <v>15</v>
      </c>
    </row>
    <row r="12538" spans="1:8" x14ac:dyDescent="0.2">
      <c r="A12538" t="s">
        <v>7</v>
      </c>
      <c r="B12538" t="s">
        <v>32</v>
      </c>
      <c r="C12538" t="str">
        <f t="shared" si="392"/>
        <v>Cumple</v>
      </c>
      <c r="D12538">
        <v>2777</v>
      </c>
      <c r="E12538" t="s">
        <v>11</v>
      </c>
      <c r="F12538">
        <v>35</v>
      </c>
      <c r="G12538">
        <v>15</v>
      </c>
      <c r="H12538">
        <f t="shared" si="391"/>
        <v>20</v>
      </c>
    </row>
    <row r="12539" spans="1:8" x14ac:dyDescent="0.2">
      <c r="A12539" t="s">
        <v>7</v>
      </c>
      <c r="B12539" t="s">
        <v>32</v>
      </c>
      <c r="C12539" t="str">
        <f t="shared" si="392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391"/>
        <v>15</v>
      </c>
    </row>
    <row r="12540" spans="1:8" x14ac:dyDescent="0.2">
      <c r="A12540" t="s">
        <v>7</v>
      </c>
      <c r="B12540" t="s">
        <v>32</v>
      </c>
      <c r="C12540" t="str">
        <f t="shared" si="392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391"/>
        <v>15</v>
      </c>
    </row>
    <row r="12541" spans="1:8" x14ac:dyDescent="0.2">
      <c r="A12541" t="s">
        <v>7</v>
      </c>
      <c r="B12541" t="s">
        <v>32</v>
      </c>
      <c r="C12541" t="str">
        <f t="shared" si="392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391"/>
        <v>15</v>
      </c>
    </row>
    <row r="12542" spans="1:8" x14ac:dyDescent="0.2">
      <c r="A12542" t="s">
        <v>7</v>
      </c>
      <c r="B12542" t="s">
        <v>32</v>
      </c>
      <c r="C12542" t="str">
        <f t="shared" si="392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391"/>
        <v>14</v>
      </c>
    </row>
    <row r="12543" spans="1:8" x14ac:dyDescent="0.2">
      <c r="A12543" t="s">
        <v>7</v>
      </c>
      <c r="B12543" t="s">
        <v>32</v>
      </c>
      <c r="C12543" t="str">
        <f t="shared" si="392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391"/>
        <v>14</v>
      </c>
    </row>
    <row r="12544" spans="1:8" x14ac:dyDescent="0.2">
      <c r="A12544" t="s">
        <v>7</v>
      </c>
      <c r="B12544" t="s">
        <v>32</v>
      </c>
      <c r="C12544" t="str">
        <f t="shared" si="392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391"/>
        <v>14</v>
      </c>
    </row>
    <row r="12545" spans="1:8" x14ac:dyDescent="0.2">
      <c r="A12545" t="s">
        <v>7</v>
      </c>
      <c r="B12545" t="s">
        <v>32</v>
      </c>
      <c r="C12545" t="str">
        <f t="shared" si="392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391"/>
        <v>14</v>
      </c>
    </row>
    <row r="12546" spans="1:8" x14ac:dyDescent="0.2">
      <c r="A12546" t="s">
        <v>7</v>
      </c>
      <c r="B12546" t="s">
        <v>32</v>
      </c>
      <c r="C12546" t="str">
        <f t="shared" si="392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391"/>
        <v>14</v>
      </c>
    </row>
    <row r="12547" spans="1:8" x14ac:dyDescent="0.2">
      <c r="A12547" t="s">
        <v>7</v>
      </c>
      <c r="B12547" t="s">
        <v>32</v>
      </c>
      <c r="C12547" t="str">
        <f t="shared" si="392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ref="H12547:H12610" si="393">F12547-G12547</f>
        <v>14</v>
      </c>
    </row>
    <row r="12548" spans="1:8" x14ac:dyDescent="0.2">
      <c r="A12548" t="s">
        <v>7</v>
      </c>
      <c r="B12548" t="s">
        <v>32</v>
      </c>
      <c r="C12548" t="str">
        <f t="shared" si="392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393"/>
        <v>14</v>
      </c>
    </row>
    <row r="12549" spans="1:8" x14ac:dyDescent="0.2">
      <c r="A12549" t="s">
        <v>7</v>
      </c>
      <c r="B12549" t="s">
        <v>32</v>
      </c>
      <c r="C12549" t="str">
        <f t="shared" ref="C12549:C12612" si="394">IF(H12549&gt;=0,"Cumple","No cumple")</f>
        <v>Cumple</v>
      </c>
      <c r="D12549">
        <v>9584</v>
      </c>
      <c r="E12549" t="s">
        <v>11</v>
      </c>
      <c r="F12549">
        <v>34</v>
      </c>
      <c r="G12549">
        <v>15</v>
      </c>
      <c r="H12549">
        <f t="shared" si="393"/>
        <v>19</v>
      </c>
    </row>
    <row r="12550" spans="1:8" x14ac:dyDescent="0.2">
      <c r="A12550" t="s">
        <v>7</v>
      </c>
      <c r="B12550" t="s">
        <v>32</v>
      </c>
      <c r="C12550" t="str">
        <f t="shared" si="394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393"/>
        <v>14</v>
      </c>
    </row>
    <row r="12551" spans="1:8" x14ac:dyDescent="0.2">
      <c r="A12551" t="s">
        <v>7</v>
      </c>
      <c r="B12551" t="s">
        <v>32</v>
      </c>
      <c r="C12551" t="str">
        <f t="shared" si="394"/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393"/>
        <v>13</v>
      </c>
    </row>
    <row r="12552" spans="1:8" x14ac:dyDescent="0.2">
      <c r="A12552" t="s">
        <v>7</v>
      </c>
      <c r="B12552" t="s">
        <v>32</v>
      </c>
      <c r="C12552" t="str">
        <f t="shared" si="394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393"/>
        <v>13</v>
      </c>
    </row>
    <row r="12553" spans="1:8" x14ac:dyDescent="0.2">
      <c r="A12553" t="s">
        <v>7</v>
      </c>
      <c r="B12553" t="s">
        <v>32</v>
      </c>
      <c r="C12553" t="str">
        <f t="shared" si="394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393"/>
        <v>13</v>
      </c>
    </row>
    <row r="12554" spans="1:8" x14ac:dyDescent="0.2">
      <c r="A12554" t="s">
        <v>7</v>
      </c>
      <c r="B12554" t="s">
        <v>32</v>
      </c>
      <c r="C12554" t="str">
        <f t="shared" si="394"/>
        <v>Cumple</v>
      </c>
      <c r="D12554">
        <v>3830</v>
      </c>
      <c r="E12554" t="s">
        <v>11</v>
      </c>
      <c r="F12554">
        <v>33</v>
      </c>
      <c r="G12554">
        <v>15</v>
      </c>
      <c r="H12554">
        <f t="shared" si="393"/>
        <v>18</v>
      </c>
    </row>
    <row r="12555" spans="1:8" x14ac:dyDescent="0.2">
      <c r="A12555" t="s">
        <v>7</v>
      </c>
      <c r="B12555" t="s">
        <v>32</v>
      </c>
      <c r="C12555" t="str">
        <f t="shared" si="394"/>
        <v>Cumple</v>
      </c>
      <c r="D12555">
        <v>3924</v>
      </c>
      <c r="E12555" s="19" t="s">
        <v>12</v>
      </c>
      <c r="F12555">
        <v>33</v>
      </c>
      <c r="G12555">
        <v>20</v>
      </c>
      <c r="H12555">
        <f t="shared" si="393"/>
        <v>13</v>
      </c>
    </row>
    <row r="12556" spans="1:8" x14ac:dyDescent="0.2">
      <c r="A12556" t="s">
        <v>7</v>
      </c>
      <c r="B12556" t="s">
        <v>32</v>
      </c>
      <c r="C12556" t="str">
        <f t="shared" si="394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393"/>
        <v>12</v>
      </c>
    </row>
    <row r="12557" spans="1:8" x14ac:dyDescent="0.2">
      <c r="A12557" t="s">
        <v>7</v>
      </c>
      <c r="B12557" t="s">
        <v>32</v>
      </c>
      <c r="C12557" t="str">
        <f t="shared" si="394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393"/>
        <v>12</v>
      </c>
    </row>
    <row r="12558" spans="1:8" x14ac:dyDescent="0.2">
      <c r="A12558" t="s">
        <v>7</v>
      </c>
      <c r="B12558" t="s">
        <v>32</v>
      </c>
      <c r="C12558" t="str">
        <f t="shared" si="394"/>
        <v>Cumple</v>
      </c>
      <c r="D12558">
        <v>3938</v>
      </c>
      <c r="E12558" t="s">
        <v>11</v>
      </c>
      <c r="F12558">
        <v>32</v>
      </c>
      <c r="G12558">
        <v>15</v>
      </c>
      <c r="H12558">
        <f t="shared" si="393"/>
        <v>17</v>
      </c>
    </row>
    <row r="12559" spans="1:8" x14ac:dyDescent="0.2">
      <c r="A12559" t="s">
        <v>7</v>
      </c>
      <c r="B12559" t="s">
        <v>32</v>
      </c>
      <c r="C12559" t="str">
        <f t="shared" si="394"/>
        <v>Cumple</v>
      </c>
      <c r="D12559">
        <v>3950</v>
      </c>
      <c r="E12559" t="s">
        <v>11</v>
      </c>
      <c r="F12559">
        <v>32</v>
      </c>
      <c r="G12559">
        <v>15</v>
      </c>
      <c r="H12559">
        <f t="shared" si="393"/>
        <v>17</v>
      </c>
    </row>
    <row r="12560" spans="1:8" x14ac:dyDescent="0.2">
      <c r="A12560" t="s">
        <v>7</v>
      </c>
      <c r="B12560" t="s">
        <v>32</v>
      </c>
      <c r="C12560" t="str">
        <f t="shared" si="394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393"/>
        <v>11</v>
      </c>
    </row>
    <row r="12561" spans="1:8" x14ac:dyDescent="0.2">
      <c r="A12561" t="s">
        <v>7</v>
      </c>
      <c r="B12561" t="s">
        <v>32</v>
      </c>
      <c r="C12561" t="str">
        <f t="shared" si="394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393"/>
        <v>11</v>
      </c>
    </row>
    <row r="12562" spans="1:8" x14ac:dyDescent="0.2">
      <c r="A12562" t="s">
        <v>7</v>
      </c>
      <c r="B12562" t="s">
        <v>32</v>
      </c>
      <c r="C12562" t="str">
        <f t="shared" si="394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393"/>
        <v>11</v>
      </c>
    </row>
    <row r="12563" spans="1:8" x14ac:dyDescent="0.2">
      <c r="A12563" t="s">
        <v>7</v>
      </c>
      <c r="B12563" t="s">
        <v>32</v>
      </c>
      <c r="C12563" t="str">
        <f t="shared" si="394"/>
        <v>Cumple</v>
      </c>
      <c r="D12563">
        <v>3607</v>
      </c>
      <c r="E12563" t="s">
        <v>10</v>
      </c>
      <c r="F12563">
        <v>31</v>
      </c>
      <c r="G12563">
        <v>15</v>
      </c>
      <c r="H12563">
        <f t="shared" si="393"/>
        <v>16</v>
      </c>
    </row>
    <row r="12564" spans="1:8" x14ac:dyDescent="0.2">
      <c r="A12564" t="s">
        <v>7</v>
      </c>
      <c r="B12564" t="s">
        <v>32</v>
      </c>
      <c r="C12564" t="str">
        <f t="shared" si="394"/>
        <v>Cumple</v>
      </c>
      <c r="D12564">
        <v>3936</v>
      </c>
      <c r="E12564" t="s">
        <v>11</v>
      </c>
      <c r="F12564">
        <v>31</v>
      </c>
      <c r="G12564">
        <v>15</v>
      </c>
      <c r="H12564">
        <f t="shared" si="393"/>
        <v>16</v>
      </c>
    </row>
    <row r="12565" spans="1:8" x14ac:dyDescent="0.2">
      <c r="A12565" t="s">
        <v>7</v>
      </c>
      <c r="B12565" t="s">
        <v>32</v>
      </c>
      <c r="C12565" t="str">
        <f t="shared" si="394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393"/>
        <v>11</v>
      </c>
    </row>
    <row r="12566" spans="1:8" x14ac:dyDescent="0.2">
      <c r="A12566" t="s">
        <v>7</v>
      </c>
      <c r="B12566" t="s">
        <v>32</v>
      </c>
      <c r="C12566" t="str">
        <f t="shared" si="394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393"/>
        <v>10</v>
      </c>
    </row>
    <row r="12567" spans="1:8" x14ac:dyDescent="0.2">
      <c r="A12567" t="s">
        <v>7</v>
      </c>
      <c r="B12567" t="s">
        <v>32</v>
      </c>
      <c r="C12567" t="str">
        <f t="shared" si="394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393"/>
        <v>10</v>
      </c>
    </row>
    <row r="12568" spans="1:8" x14ac:dyDescent="0.2">
      <c r="A12568" t="s">
        <v>7</v>
      </c>
      <c r="B12568" t="s">
        <v>32</v>
      </c>
      <c r="C12568" t="str">
        <f t="shared" si="394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393"/>
        <v>10</v>
      </c>
    </row>
    <row r="12569" spans="1:8" x14ac:dyDescent="0.2">
      <c r="A12569" t="s">
        <v>7</v>
      </c>
      <c r="B12569" t="s">
        <v>32</v>
      </c>
      <c r="C12569" t="str">
        <f t="shared" si="394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393"/>
        <v>10</v>
      </c>
    </row>
    <row r="12570" spans="1:8" x14ac:dyDescent="0.2">
      <c r="A12570" t="s">
        <v>7</v>
      </c>
      <c r="B12570" t="s">
        <v>32</v>
      </c>
      <c r="C12570" t="str">
        <f t="shared" si="394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393"/>
        <v>10</v>
      </c>
    </row>
    <row r="12571" spans="1:8" x14ac:dyDescent="0.2">
      <c r="A12571" t="s">
        <v>7</v>
      </c>
      <c r="B12571" t="s">
        <v>32</v>
      </c>
      <c r="C12571" t="str">
        <f t="shared" si="394"/>
        <v>Cumple</v>
      </c>
      <c r="D12571">
        <v>1131</v>
      </c>
      <c r="E12571" t="s">
        <v>12</v>
      </c>
      <c r="F12571">
        <v>29</v>
      </c>
      <c r="G12571">
        <v>15</v>
      </c>
      <c r="H12571">
        <f t="shared" si="393"/>
        <v>14</v>
      </c>
    </row>
    <row r="12572" spans="1:8" x14ac:dyDescent="0.2">
      <c r="A12572" t="s">
        <v>7</v>
      </c>
      <c r="B12572" t="s">
        <v>32</v>
      </c>
      <c r="C12572" t="str">
        <f t="shared" si="394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393"/>
        <v>9</v>
      </c>
    </row>
    <row r="12573" spans="1:8" x14ac:dyDescent="0.2">
      <c r="A12573" t="s">
        <v>7</v>
      </c>
      <c r="B12573" t="s">
        <v>32</v>
      </c>
      <c r="C12573" t="str">
        <f t="shared" si="394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393"/>
        <v>9</v>
      </c>
    </row>
    <row r="12574" spans="1:8" x14ac:dyDescent="0.2">
      <c r="A12574" t="s">
        <v>7</v>
      </c>
      <c r="B12574" t="s">
        <v>32</v>
      </c>
      <c r="C12574" t="str">
        <f t="shared" si="394"/>
        <v>Cumple</v>
      </c>
      <c r="D12574">
        <v>3192</v>
      </c>
      <c r="E12574" t="s">
        <v>10</v>
      </c>
      <c r="F12574">
        <v>29</v>
      </c>
      <c r="G12574">
        <v>15</v>
      </c>
      <c r="H12574">
        <f t="shared" si="393"/>
        <v>14</v>
      </c>
    </row>
    <row r="12575" spans="1:8" x14ac:dyDescent="0.2">
      <c r="A12575" t="s">
        <v>7</v>
      </c>
      <c r="B12575" t="s">
        <v>32</v>
      </c>
      <c r="C12575" t="str">
        <f t="shared" si="394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393"/>
        <v>9</v>
      </c>
    </row>
    <row r="12576" spans="1:8" x14ac:dyDescent="0.2">
      <c r="A12576" t="s">
        <v>7</v>
      </c>
      <c r="B12576" t="s">
        <v>32</v>
      </c>
      <c r="C12576" t="str">
        <f t="shared" si="394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393"/>
        <v>8</v>
      </c>
    </row>
    <row r="12577" spans="1:8" x14ac:dyDescent="0.2">
      <c r="A12577" t="s">
        <v>7</v>
      </c>
      <c r="B12577" t="s">
        <v>32</v>
      </c>
      <c r="C12577" t="str">
        <f t="shared" si="394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393"/>
        <v>8</v>
      </c>
    </row>
    <row r="12578" spans="1:8" x14ac:dyDescent="0.2">
      <c r="A12578" t="s">
        <v>7</v>
      </c>
      <c r="B12578" t="s">
        <v>32</v>
      </c>
      <c r="C12578" t="str">
        <f t="shared" si="394"/>
        <v>Cumple</v>
      </c>
      <c r="D12578">
        <v>3091</v>
      </c>
      <c r="E12578" t="s">
        <v>10</v>
      </c>
      <c r="F12578">
        <v>28</v>
      </c>
      <c r="G12578">
        <v>15</v>
      </c>
      <c r="H12578">
        <f t="shared" si="393"/>
        <v>13</v>
      </c>
    </row>
    <row r="12579" spans="1:8" x14ac:dyDescent="0.2">
      <c r="A12579" t="s">
        <v>7</v>
      </c>
      <c r="B12579" t="s">
        <v>32</v>
      </c>
      <c r="C12579" t="str">
        <f t="shared" si="394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si="393"/>
        <v>8</v>
      </c>
    </row>
    <row r="12580" spans="1:8" x14ac:dyDescent="0.2">
      <c r="A12580" t="s">
        <v>7</v>
      </c>
      <c r="B12580" t="s">
        <v>32</v>
      </c>
      <c r="C12580" t="str">
        <f t="shared" si="394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393"/>
        <v>8</v>
      </c>
    </row>
    <row r="12581" spans="1:8" x14ac:dyDescent="0.2">
      <c r="A12581" t="s">
        <v>7</v>
      </c>
      <c r="B12581" t="s">
        <v>32</v>
      </c>
      <c r="C12581" t="str">
        <f t="shared" si="394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393"/>
        <v>7</v>
      </c>
    </row>
    <row r="12582" spans="1:8" x14ac:dyDescent="0.2">
      <c r="A12582" t="s">
        <v>7</v>
      </c>
      <c r="B12582" t="s">
        <v>32</v>
      </c>
      <c r="C12582" t="str">
        <f t="shared" si="394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393"/>
        <v>7</v>
      </c>
    </row>
    <row r="12583" spans="1:8" x14ac:dyDescent="0.2">
      <c r="A12583" t="s">
        <v>7</v>
      </c>
      <c r="B12583" t="s">
        <v>32</v>
      </c>
      <c r="C12583" t="str">
        <f t="shared" si="394"/>
        <v>Cumple</v>
      </c>
      <c r="D12583">
        <v>9045</v>
      </c>
      <c r="E12583" t="s">
        <v>12</v>
      </c>
      <c r="F12583">
        <v>27</v>
      </c>
      <c r="G12583">
        <v>15</v>
      </c>
      <c r="H12583">
        <f t="shared" si="393"/>
        <v>12</v>
      </c>
    </row>
    <row r="12584" spans="1:8" x14ac:dyDescent="0.2">
      <c r="A12584" t="s">
        <v>7</v>
      </c>
      <c r="B12584" t="s">
        <v>32</v>
      </c>
      <c r="C12584" t="str">
        <f t="shared" si="394"/>
        <v>Cumple</v>
      </c>
      <c r="D12584">
        <v>4041</v>
      </c>
      <c r="E12584" t="s">
        <v>11</v>
      </c>
      <c r="F12584">
        <v>27</v>
      </c>
      <c r="G12584">
        <v>15</v>
      </c>
      <c r="H12584">
        <f t="shared" si="393"/>
        <v>12</v>
      </c>
    </row>
    <row r="12585" spans="1:8" x14ac:dyDescent="0.2">
      <c r="A12585" t="s">
        <v>7</v>
      </c>
      <c r="B12585" t="s">
        <v>32</v>
      </c>
      <c r="C12585" t="str">
        <f t="shared" si="394"/>
        <v>Cumple</v>
      </c>
      <c r="D12585">
        <v>1771</v>
      </c>
      <c r="E12585" t="s">
        <v>11</v>
      </c>
      <c r="F12585">
        <v>27</v>
      </c>
      <c r="G12585">
        <v>15</v>
      </c>
      <c r="H12585">
        <f t="shared" si="393"/>
        <v>12</v>
      </c>
    </row>
    <row r="12586" spans="1:8" x14ac:dyDescent="0.2">
      <c r="A12586" t="s">
        <v>7</v>
      </c>
      <c r="B12586" t="s">
        <v>32</v>
      </c>
      <c r="C12586" t="str">
        <f t="shared" si="394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393"/>
        <v>6</v>
      </c>
    </row>
    <row r="12587" spans="1:8" x14ac:dyDescent="0.2">
      <c r="A12587" t="s">
        <v>7</v>
      </c>
      <c r="B12587" t="s">
        <v>32</v>
      </c>
      <c r="C12587" t="str">
        <f t="shared" si="394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393"/>
        <v>6</v>
      </c>
    </row>
    <row r="12588" spans="1:8" x14ac:dyDescent="0.2">
      <c r="A12588" t="s">
        <v>7</v>
      </c>
      <c r="B12588" t="s">
        <v>32</v>
      </c>
      <c r="C12588" t="str">
        <f t="shared" si="394"/>
        <v>Cumple</v>
      </c>
      <c r="D12588">
        <v>3238</v>
      </c>
      <c r="E12588" t="s">
        <v>11</v>
      </c>
      <c r="F12588">
        <v>26</v>
      </c>
      <c r="G12588">
        <v>15</v>
      </c>
      <c r="H12588">
        <f t="shared" si="393"/>
        <v>11</v>
      </c>
    </row>
    <row r="12589" spans="1:8" x14ac:dyDescent="0.2">
      <c r="A12589" t="s">
        <v>7</v>
      </c>
      <c r="B12589" t="s">
        <v>32</v>
      </c>
      <c r="C12589" t="str">
        <f t="shared" si="394"/>
        <v>Cumple</v>
      </c>
      <c r="D12589">
        <v>3379</v>
      </c>
      <c r="E12589" t="s">
        <v>10</v>
      </c>
      <c r="F12589">
        <v>26</v>
      </c>
      <c r="G12589">
        <v>15</v>
      </c>
      <c r="H12589">
        <f t="shared" si="393"/>
        <v>11</v>
      </c>
    </row>
    <row r="12590" spans="1:8" x14ac:dyDescent="0.2">
      <c r="A12590" t="s">
        <v>7</v>
      </c>
      <c r="B12590" t="s">
        <v>32</v>
      </c>
      <c r="C12590" t="str">
        <f t="shared" si="394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393"/>
        <v>6</v>
      </c>
    </row>
    <row r="12591" spans="1:8" x14ac:dyDescent="0.2">
      <c r="A12591" t="s">
        <v>7</v>
      </c>
      <c r="B12591" t="s">
        <v>32</v>
      </c>
      <c r="C12591" t="str">
        <f t="shared" si="394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393"/>
        <v>6</v>
      </c>
    </row>
    <row r="12592" spans="1:8" x14ac:dyDescent="0.2">
      <c r="A12592" t="s">
        <v>7</v>
      </c>
      <c r="B12592" t="s">
        <v>32</v>
      </c>
      <c r="C12592" t="str">
        <f t="shared" si="394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393"/>
        <v>5</v>
      </c>
    </row>
    <row r="12593" spans="1:8" x14ac:dyDescent="0.2">
      <c r="A12593" t="s">
        <v>7</v>
      </c>
      <c r="B12593" t="s">
        <v>32</v>
      </c>
      <c r="C12593" t="str">
        <f t="shared" si="394"/>
        <v>Cumple</v>
      </c>
      <c r="D12593">
        <v>3194</v>
      </c>
      <c r="E12593" t="s">
        <v>11</v>
      </c>
      <c r="F12593">
        <v>25</v>
      </c>
      <c r="G12593">
        <v>15</v>
      </c>
      <c r="H12593">
        <f t="shared" si="393"/>
        <v>10</v>
      </c>
    </row>
    <row r="12594" spans="1:8" x14ac:dyDescent="0.2">
      <c r="A12594" t="s">
        <v>7</v>
      </c>
      <c r="B12594" t="s">
        <v>32</v>
      </c>
      <c r="C12594" t="str">
        <f t="shared" si="394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393"/>
        <v>5</v>
      </c>
    </row>
    <row r="12595" spans="1:8" x14ac:dyDescent="0.2">
      <c r="A12595" t="s">
        <v>7</v>
      </c>
      <c r="B12595" t="s">
        <v>32</v>
      </c>
      <c r="C12595" t="str">
        <f t="shared" si="394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393"/>
        <v>5</v>
      </c>
    </row>
    <row r="12596" spans="1:8" x14ac:dyDescent="0.2">
      <c r="A12596" t="s">
        <v>7</v>
      </c>
      <c r="B12596" t="s">
        <v>32</v>
      </c>
      <c r="C12596" t="str">
        <f t="shared" si="394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393"/>
        <v>5</v>
      </c>
    </row>
    <row r="12597" spans="1:8" x14ac:dyDescent="0.2">
      <c r="A12597" t="s">
        <v>7</v>
      </c>
      <c r="B12597" t="s">
        <v>32</v>
      </c>
      <c r="C12597" t="str">
        <f t="shared" si="394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393"/>
        <v>5</v>
      </c>
    </row>
    <row r="12598" spans="1:8" x14ac:dyDescent="0.2">
      <c r="A12598" t="s">
        <v>7</v>
      </c>
      <c r="B12598" t="s">
        <v>32</v>
      </c>
      <c r="C12598" t="str">
        <f t="shared" si="394"/>
        <v>Cumple</v>
      </c>
      <c r="D12598">
        <v>9376</v>
      </c>
      <c r="E12598" t="s">
        <v>11</v>
      </c>
      <c r="F12598">
        <v>25</v>
      </c>
      <c r="G12598">
        <v>15</v>
      </c>
      <c r="H12598">
        <f t="shared" si="393"/>
        <v>10</v>
      </c>
    </row>
    <row r="12599" spans="1:8" x14ac:dyDescent="0.2">
      <c r="A12599" t="s">
        <v>7</v>
      </c>
      <c r="B12599" t="s">
        <v>32</v>
      </c>
      <c r="C12599" t="str">
        <f t="shared" si="394"/>
        <v>Cumple</v>
      </c>
      <c r="D12599">
        <v>9980</v>
      </c>
      <c r="E12599" t="s">
        <v>10</v>
      </c>
      <c r="F12599">
        <v>25</v>
      </c>
      <c r="G12599">
        <v>15</v>
      </c>
      <c r="H12599">
        <f t="shared" si="393"/>
        <v>10</v>
      </c>
    </row>
    <row r="12600" spans="1:8" x14ac:dyDescent="0.2">
      <c r="A12600" t="s">
        <v>7</v>
      </c>
      <c r="B12600" t="s">
        <v>32</v>
      </c>
      <c r="C12600" t="str">
        <f t="shared" si="394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393"/>
        <v>4</v>
      </c>
    </row>
    <row r="12601" spans="1:8" x14ac:dyDescent="0.2">
      <c r="A12601" t="s">
        <v>7</v>
      </c>
      <c r="B12601" t="s">
        <v>32</v>
      </c>
      <c r="C12601" t="str">
        <f t="shared" si="394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393"/>
        <v>4</v>
      </c>
    </row>
    <row r="12602" spans="1:8" x14ac:dyDescent="0.2">
      <c r="A12602" t="s">
        <v>7</v>
      </c>
      <c r="B12602" t="s">
        <v>32</v>
      </c>
      <c r="C12602" t="str">
        <f t="shared" si="394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393"/>
        <v>4</v>
      </c>
    </row>
    <row r="12603" spans="1:8" x14ac:dyDescent="0.2">
      <c r="A12603" t="s">
        <v>7</v>
      </c>
      <c r="B12603" t="s">
        <v>32</v>
      </c>
      <c r="C12603" t="str">
        <f t="shared" si="394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393"/>
        <v>4</v>
      </c>
    </row>
    <row r="12604" spans="1:8" x14ac:dyDescent="0.2">
      <c r="A12604" t="s">
        <v>7</v>
      </c>
      <c r="B12604" t="s">
        <v>32</v>
      </c>
      <c r="C12604" t="str">
        <f t="shared" si="394"/>
        <v>Cumple</v>
      </c>
      <c r="D12604">
        <v>3951</v>
      </c>
      <c r="E12604" t="s">
        <v>11</v>
      </c>
      <c r="F12604">
        <v>24</v>
      </c>
      <c r="G12604">
        <v>15</v>
      </c>
      <c r="H12604">
        <f t="shared" si="393"/>
        <v>9</v>
      </c>
    </row>
    <row r="12605" spans="1:8" x14ac:dyDescent="0.2">
      <c r="A12605" t="s">
        <v>7</v>
      </c>
      <c r="B12605" t="s">
        <v>32</v>
      </c>
      <c r="C12605" t="str">
        <f t="shared" si="394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393"/>
        <v>4</v>
      </c>
    </row>
    <row r="12606" spans="1:8" x14ac:dyDescent="0.2">
      <c r="A12606" t="s">
        <v>7</v>
      </c>
      <c r="B12606" t="s">
        <v>32</v>
      </c>
      <c r="C12606" t="str">
        <f t="shared" si="394"/>
        <v>Cumple</v>
      </c>
      <c r="D12606">
        <v>3686</v>
      </c>
      <c r="E12606" t="s">
        <v>11</v>
      </c>
      <c r="F12606">
        <v>23</v>
      </c>
      <c r="G12606">
        <v>15</v>
      </c>
      <c r="H12606">
        <f t="shared" si="393"/>
        <v>8</v>
      </c>
    </row>
    <row r="12607" spans="1:8" x14ac:dyDescent="0.2">
      <c r="A12607" t="s">
        <v>7</v>
      </c>
      <c r="B12607" t="s">
        <v>32</v>
      </c>
      <c r="C12607" t="str">
        <f t="shared" si="394"/>
        <v>Cumple</v>
      </c>
      <c r="D12607">
        <v>3934</v>
      </c>
      <c r="E12607" t="s">
        <v>11</v>
      </c>
      <c r="F12607">
        <v>23</v>
      </c>
      <c r="G12607">
        <v>15</v>
      </c>
      <c r="H12607">
        <f t="shared" si="393"/>
        <v>8</v>
      </c>
    </row>
    <row r="12608" spans="1:8" x14ac:dyDescent="0.2">
      <c r="A12608" t="s">
        <v>7</v>
      </c>
      <c r="B12608" t="s">
        <v>32</v>
      </c>
      <c r="C12608" t="str">
        <f t="shared" si="394"/>
        <v>Cumple</v>
      </c>
      <c r="D12608">
        <v>9369</v>
      </c>
      <c r="E12608" t="s">
        <v>11</v>
      </c>
      <c r="F12608">
        <v>23</v>
      </c>
      <c r="G12608">
        <v>15</v>
      </c>
      <c r="H12608">
        <f t="shared" si="393"/>
        <v>8</v>
      </c>
    </row>
    <row r="12609" spans="1:8" x14ac:dyDescent="0.2">
      <c r="A12609" t="s">
        <v>7</v>
      </c>
      <c r="B12609" t="s">
        <v>32</v>
      </c>
      <c r="C12609" t="str">
        <f t="shared" si="394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393"/>
        <v>3</v>
      </c>
    </row>
    <row r="12610" spans="1:8" x14ac:dyDescent="0.2">
      <c r="A12610" t="s">
        <v>7</v>
      </c>
      <c r="B12610" t="s">
        <v>32</v>
      </c>
      <c r="C12610" t="str">
        <f t="shared" si="394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393"/>
        <v>3</v>
      </c>
    </row>
    <row r="12611" spans="1:8" x14ac:dyDescent="0.2">
      <c r="A12611" t="s">
        <v>7</v>
      </c>
      <c r="B12611" t="s">
        <v>32</v>
      </c>
      <c r="C12611" t="str">
        <f t="shared" si="394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ref="H12611:H12674" si="395">F12611-G12611</f>
        <v>2</v>
      </c>
    </row>
    <row r="12612" spans="1:8" x14ac:dyDescent="0.2">
      <c r="A12612" t="s">
        <v>7</v>
      </c>
      <c r="B12612" t="s">
        <v>32</v>
      </c>
      <c r="C12612" t="str">
        <f t="shared" si="394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395"/>
        <v>2</v>
      </c>
    </row>
    <row r="12613" spans="1:8" x14ac:dyDescent="0.2">
      <c r="A12613" t="s">
        <v>7</v>
      </c>
      <c r="B12613" t="s">
        <v>32</v>
      </c>
      <c r="C12613" t="str">
        <f t="shared" ref="C12613:C12676" si="396">IF(H12613&gt;=0,"Cumple","No cumple")</f>
        <v>Cumple</v>
      </c>
      <c r="D12613">
        <v>3157</v>
      </c>
      <c r="E12613" t="s">
        <v>11</v>
      </c>
      <c r="F12613">
        <v>22</v>
      </c>
      <c r="G12613">
        <v>15</v>
      </c>
      <c r="H12613">
        <f t="shared" si="395"/>
        <v>7</v>
      </c>
    </row>
    <row r="12614" spans="1:8" x14ac:dyDescent="0.2">
      <c r="A12614" t="s">
        <v>7</v>
      </c>
      <c r="B12614" t="s">
        <v>32</v>
      </c>
      <c r="C12614" t="str">
        <f t="shared" si="396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395"/>
        <v>2</v>
      </c>
    </row>
    <row r="12615" spans="1:8" x14ac:dyDescent="0.2">
      <c r="A12615" t="s">
        <v>7</v>
      </c>
      <c r="B12615" t="s">
        <v>32</v>
      </c>
      <c r="C12615" t="str">
        <f t="shared" si="396"/>
        <v>Cumple</v>
      </c>
      <c r="D12615">
        <v>3447</v>
      </c>
      <c r="E12615" t="s">
        <v>12</v>
      </c>
      <c r="F12615">
        <v>22</v>
      </c>
      <c r="G12615">
        <v>15</v>
      </c>
      <c r="H12615">
        <f t="shared" si="395"/>
        <v>7</v>
      </c>
    </row>
    <row r="12616" spans="1:8" x14ac:dyDescent="0.2">
      <c r="A12616" t="s">
        <v>7</v>
      </c>
      <c r="B12616" t="s">
        <v>32</v>
      </c>
      <c r="C12616" t="str">
        <f t="shared" si="396"/>
        <v>Cumple</v>
      </c>
      <c r="D12616">
        <v>3682</v>
      </c>
      <c r="E12616" t="s">
        <v>10</v>
      </c>
      <c r="F12616">
        <v>22</v>
      </c>
      <c r="G12616">
        <v>15</v>
      </c>
      <c r="H12616">
        <f t="shared" si="395"/>
        <v>7</v>
      </c>
    </row>
    <row r="12617" spans="1:8" x14ac:dyDescent="0.2">
      <c r="A12617" t="s">
        <v>7</v>
      </c>
      <c r="B12617" t="s">
        <v>32</v>
      </c>
      <c r="C12617" t="str">
        <f t="shared" si="396"/>
        <v>Cumple</v>
      </c>
      <c r="D12617">
        <v>3937</v>
      </c>
      <c r="E12617" t="s">
        <v>11</v>
      </c>
      <c r="F12617">
        <v>22</v>
      </c>
      <c r="G12617">
        <v>15</v>
      </c>
      <c r="H12617">
        <f t="shared" si="395"/>
        <v>7</v>
      </c>
    </row>
    <row r="12618" spans="1:8" x14ac:dyDescent="0.2">
      <c r="A12618" t="s">
        <v>7</v>
      </c>
      <c r="B12618" t="s">
        <v>32</v>
      </c>
      <c r="C12618" t="str">
        <f t="shared" si="396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395"/>
        <v>2</v>
      </c>
    </row>
    <row r="12619" spans="1:8" x14ac:dyDescent="0.2">
      <c r="A12619" t="s">
        <v>7</v>
      </c>
      <c r="B12619" t="s">
        <v>32</v>
      </c>
      <c r="C12619" t="str">
        <f t="shared" si="396"/>
        <v>Cumple</v>
      </c>
      <c r="D12619">
        <v>9869</v>
      </c>
      <c r="E12619" t="s">
        <v>11</v>
      </c>
      <c r="F12619">
        <v>22</v>
      </c>
      <c r="G12619">
        <v>15</v>
      </c>
      <c r="H12619">
        <f t="shared" si="395"/>
        <v>7</v>
      </c>
    </row>
    <row r="12620" spans="1:8" x14ac:dyDescent="0.2">
      <c r="A12620" t="s">
        <v>7</v>
      </c>
      <c r="B12620" t="s">
        <v>32</v>
      </c>
      <c r="C12620" t="str">
        <f t="shared" si="396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395"/>
        <v>1</v>
      </c>
    </row>
    <row r="12621" spans="1:8" x14ac:dyDescent="0.2">
      <c r="A12621" t="s">
        <v>7</v>
      </c>
      <c r="B12621" t="s">
        <v>32</v>
      </c>
      <c r="C12621" t="str">
        <f t="shared" si="396"/>
        <v>Cumple</v>
      </c>
      <c r="D12621">
        <v>3159</v>
      </c>
      <c r="E12621" t="s">
        <v>11</v>
      </c>
      <c r="F12621">
        <v>21</v>
      </c>
      <c r="G12621">
        <v>15</v>
      </c>
      <c r="H12621">
        <f t="shared" si="395"/>
        <v>6</v>
      </c>
    </row>
    <row r="12622" spans="1:8" x14ac:dyDescent="0.2">
      <c r="A12622" t="s">
        <v>7</v>
      </c>
      <c r="B12622" t="s">
        <v>32</v>
      </c>
      <c r="C12622" t="str">
        <f t="shared" si="396"/>
        <v>Cumple</v>
      </c>
      <c r="D12622">
        <v>5162</v>
      </c>
      <c r="E12622" t="s">
        <v>12</v>
      </c>
      <c r="F12622">
        <v>21</v>
      </c>
      <c r="G12622">
        <v>15</v>
      </c>
      <c r="H12622">
        <f t="shared" si="395"/>
        <v>6</v>
      </c>
    </row>
    <row r="12623" spans="1:8" x14ac:dyDescent="0.2">
      <c r="A12623" t="s">
        <v>7</v>
      </c>
      <c r="B12623" t="s">
        <v>32</v>
      </c>
      <c r="C12623" t="str">
        <f t="shared" si="396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395"/>
        <v>1</v>
      </c>
    </row>
    <row r="12624" spans="1:8" x14ac:dyDescent="0.2">
      <c r="A12624" t="s">
        <v>7</v>
      </c>
      <c r="B12624" t="s">
        <v>32</v>
      </c>
      <c r="C12624" t="str">
        <f t="shared" si="396"/>
        <v>Cumple</v>
      </c>
      <c r="D12624">
        <v>1598</v>
      </c>
      <c r="E12624" t="s">
        <v>10</v>
      </c>
      <c r="F12624">
        <v>20</v>
      </c>
      <c r="G12624">
        <v>15</v>
      </c>
      <c r="H12624">
        <f t="shared" si="395"/>
        <v>5</v>
      </c>
    </row>
    <row r="12625" spans="1:8" x14ac:dyDescent="0.2">
      <c r="A12625" t="s">
        <v>7</v>
      </c>
      <c r="B12625" t="s">
        <v>32</v>
      </c>
      <c r="C12625" t="str">
        <f t="shared" si="396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395"/>
        <v>0</v>
      </c>
    </row>
    <row r="12626" spans="1:8" x14ac:dyDescent="0.2">
      <c r="A12626" t="s">
        <v>7</v>
      </c>
      <c r="B12626" t="s">
        <v>32</v>
      </c>
      <c r="C12626" t="str">
        <f t="shared" si="396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395"/>
        <v>0</v>
      </c>
    </row>
    <row r="12627" spans="1:8" x14ac:dyDescent="0.2">
      <c r="A12627" t="s">
        <v>7</v>
      </c>
      <c r="B12627" t="s">
        <v>32</v>
      </c>
      <c r="C12627" t="str">
        <f t="shared" si="396"/>
        <v>Cumple</v>
      </c>
      <c r="D12627">
        <v>3113</v>
      </c>
      <c r="E12627" t="s">
        <v>11</v>
      </c>
      <c r="F12627">
        <v>20</v>
      </c>
      <c r="G12627">
        <v>15</v>
      </c>
      <c r="H12627">
        <f t="shared" si="395"/>
        <v>5</v>
      </c>
    </row>
    <row r="12628" spans="1:8" x14ac:dyDescent="0.2">
      <c r="A12628" t="s">
        <v>7</v>
      </c>
      <c r="B12628" t="s">
        <v>32</v>
      </c>
      <c r="C12628" t="str">
        <f t="shared" si="396"/>
        <v>Cumple</v>
      </c>
      <c r="D12628">
        <v>3517</v>
      </c>
      <c r="E12628" t="s">
        <v>11</v>
      </c>
      <c r="F12628">
        <v>20</v>
      </c>
      <c r="G12628">
        <v>15</v>
      </c>
      <c r="H12628">
        <f t="shared" si="395"/>
        <v>5</v>
      </c>
    </row>
    <row r="12629" spans="1:8" x14ac:dyDescent="0.2">
      <c r="A12629" t="s">
        <v>7</v>
      </c>
      <c r="B12629" t="s">
        <v>32</v>
      </c>
      <c r="C12629" t="str">
        <f t="shared" si="396"/>
        <v>Cumple</v>
      </c>
      <c r="D12629">
        <v>127</v>
      </c>
      <c r="E12629" t="s">
        <v>11</v>
      </c>
      <c r="F12629">
        <v>19</v>
      </c>
      <c r="G12629">
        <v>15</v>
      </c>
      <c r="H12629">
        <f t="shared" si="395"/>
        <v>4</v>
      </c>
    </row>
    <row r="12630" spans="1:8" x14ac:dyDescent="0.2">
      <c r="A12630" t="s">
        <v>7</v>
      </c>
      <c r="B12630" t="s">
        <v>32</v>
      </c>
      <c r="C12630" t="str">
        <f t="shared" si="396"/>
        <v>Cumple</v>
      </c>
      <c r="D12630">
        <v>2597</v>
      </c>
      <c r="E12630" t="s">
        <v>10</v>
      </c>
      <c r="F12630">
        <v>19</v>
      </c>
      <c r="G12630">
        <v>15</v>
      </c>
      <c r="H12630">
        <f t="shared" si="395"/>
        <v>4</v>
      </c>
    </row>
    <row r="12631" spans="1:8" x14ac:dyDescent="0.2">
      <c r="A12631" t="s">
        <v>7</v>
      </c>
      <c r="B12631" t="s">
        <v>32</v>
      </c>
      <c r="C12631" t="str">
        <f t="shared" si="396"/>
        <v>Cumple</v>
      </c>
      <c r="D12631">
        <v>3016</v>
      </c>
      <c r="E12631" t="s">
        <v>11</v>
      </c>
      <c r="F12631">
        <v>19</v>
      </c>
      <c r="G12631">
        <v>15</v>
      </c>
      <c r="H12631">
        <f t="shared" si="395"/>
        <v>4</v>
      </c>
    </row>
    <row r="12632" spans="1:8" x14ac:dyDescent="0.2">
      <c r="A12632" t="s">
        <v>7</v>
      </c>
      <c r="B12632" t="s">
        <v>32</v>
      </c>
      <c r="C12632" t="str">
        <f t="shared" si="396"/>
        <v>Cumple</v>
      </c>
      <c r="D12632">
        <v>3132</v>
      </c>
      <c r="E12632" t="s">
        <v>11</v>
      </c>
      <c r="F12632">
        <v>19</v>
      </c>
      <c r="G12632">
        <v>15</v>
      </c>
      <c r="H12632">
        <f t="shared" si="395"/>
        <v>4</v>
      </c>
    </row>
    <row r="12633" spans="1:8" x14ac:dyDescent="0.2">
      <c r="A12633" t="s">
        <v>7</v>
      </c>
      <c r="B12633" t="s">
        <v>32</v>
      </c>
      <c r="C12633" t="str">
        <f t="shared" si="396"/>
        <v>Cumple</v>
      </c>
      <c r="D12633">
        <v>9905</v>
      </c>
      <c r="E12633" t="s">
        <v>11</v>
      </c>
      <c r="F12633">
        <v>19</v>
      </c>
      <c r="G12633">
        <v>15</v>
      </c>
      <c r="H12633">
        <f t="shared" si="395"/>
        <v>4</v>
      </c>
    </row>
    <row r="12634" spans="1:8" x14ac:dyDescent="0.2">
      <c r="A12634" t="s">
        <v>7</v>
      </c>
      <c r="B12634" t="s">
        <v>32</v>
      </c>
      <c r="C12634" t="str">
        <f t="shared" si="396"/>
        <v>Cumple</v>
      </c>
      <c r="D12634">
        <v>2545</v>
      </c>
      <c r="E12634" t="s">
        <v>11</v>
      </c>
      <c r="F12634">
        <v>18</v>
      </c>
      <c r="G12634">
        <v>15</v>
      </c>
      <c r="H12634">
        <f t="shared" si="395"/>
        <v>3</v>
      </c>
    </row>
    <row r="12635" spans="1:8" x14ac:dyDescent="0.2">
      <c r="A12635" t="s">
        <v>7</v>
      </c>
      <c r="B12635" t="s">
        <v>32</v>
      </c>
      <c r="C12635" t="str">
        <f t="shared" si="396"/>
        <v>Cumple</v>
      </c>
      <c r="D12635">
        <v>3908</v>
      </c>
      <c r="E12635" t="s">
        <v>11</v>
      </c>
      <c r="F12635">
        <v>18</v>
      </c>
      <c r="G12635">
        <v>15</v>
      </c>
      <c r="H12635">
        <f t="shared" si="395"/>
        <v>3</v>
      </c>
    </row>
    <row r="12636" spans="1:8" x14ac:dyDescent="0.2">
      <c r="A12636" t="s">
        <v>7</v>
      </c>
      <c r="B12636" t="s">
        <v>32</v>
      </c>
      <c r="C12636" t="str">
        <f t="shared" si="396"/>
        <v>Cumple</v>
      </c>
      <c r="D12636">
        <v>3504</v>
      </c>
      <c r="E12636" t="s">
        <v>11</v>
      </c>
      <c r="F12636">
        <v>17</v>
      </c>
      <c r="G12636">
        <v>15</v>
      </c>
      <c r="H12636">
        <f t="shared" si="395"/>
        <v>2</v>
      </c>
    </row>
    <row r="12637" spans="1:8" x14ac:dyDescent="0.2">
      <c r="A12637" t="s">
        <v>7</v>
      </c>
      <c r="B12637" t="s">
        <v>32</v>
      </c>
      <c r="C12637" t="str">
        <f t="shared" si="396"/>
        <v>Cumple</v>
      </c>
      <c r="D12637">
        <v>3540</v>
      </c>
      <c r="E12637" t="s">
        <v>11</v>
      </c>
      <c r="F12637">
        <v>17</v>
      </c>
      <c r="G12637">
        <v>15</v>
      </c>
      <c r="H12637">
        <f t="shared" si="395"/>
        <v>2</v>
      </c>
    </row>
    <row r="12638" spans="1:8" x14ac:dyDescent="0.2">
      <c r="A12638" t="s">
        <v>7</v>
      </c>
      <c r="B12638" t="s">
        <v>32</v>
      </c>
      <c r="C12638" t="str">
        <f t="shared" si="396"/>
        <v>No cumple</v>
      </c>
      <c r="D12638">
        <v>3591</v>
      </c>
      <c r="E12638" t="s">
        <v>12</v>
      </c>
      <c r="F12638">
        <v>17</v>
      </c>
      <c r="G12638">
        <v>20</v>
      </c>
      <c r="H12638">
        <f t="shared" si="395"/>
        <v>-3</v>
      </c>
    </row>
    <row r="12639" spans="1:8" x14ac:dyDescent="0.2">
      <c r="A12639" t="s">
        <v>7</v>
      </c>
      <c r="B12639" t="s">
        <v>32</v>
      </c>
      <c r="C12639" t="str">
        <f t="shared" si="396"/>
        <v>Cumple</v>
      </c>
      <c r="D12639">
        <v>3922</v>
      </c>
      <c r="E12639" t="s">
        <v>11</v>
      </c>
      <c r="F12639">
        <v>17</v>
      </c>
      <c r="G12639">
        <v>15</v>
      </c>
      <c r="H12639">
        <f t="shared" si="395"/>
        <v>2</v>
      </c>
    </row>
    <row r="12640" spans="1:8" x14ac:dyDescent="0.2">
      <c r="A12640" t="s">
        <v>7</v>
      </c>
      <c r="B12640" t="s">
        <v>32</v>
      </c>
      <c r="C12640" t="str">
        <f t="shared" si="396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395"/>
        <v>-4</v>
      </c>
    </row>
    <row r="12641" spans="1:8" x14ac:dyDescent="0.2">
      <c r="A12641" t="s">
        <v>7</v>
      </c>
      <c r="B12641" t="s">
        <v>32</v>
      </c>
      <c r="C12641" t="str">
        <f t="shared" si="396"/>
        <v>Cumple</v>
      </c>
      <c r="D12641">
        <v>3070</v>
      </c>
      <c r="E12641" t="s">
        <v>10</v>
      </c>
      <c r="F12641">
        <v>16</v>
      </c>
      <c r="G12641">
        <v>15</v>
      </c>
      <c r="H12641">
        <f t="shared" si="395"/>
        <v>1</v>
      </c>
    </row>
    <row r="12642" spans="1:8" x14ac:dyDescent="0.2">
      <c r="A12642" t="s">
        <v>7</v>
      </c>
      <c r="B12642" t="s">
        <v>32</v>
      </c>
      <c r="C12642" t="str">
        <f t="shared" si="396"/>
        <v>Cumple</v>
      </c>
      <c r="D12642">
        <v>3488</v>
      </c>
      <c r="E12642" t="s">
        <v>10</v>
      </c>
      <c r="F12642" s="9">
        <v>20</v>
      </c>
      <c r="G12642">
        <v>20</v>
      </c>
      <c r="H12642">
        <f t="shared" si="395"/>
        <v>0</v>
      </c>
    </row>
    <row r="12643" spans="1:8" x14ac:dyDescent="0.2">
      <c r="A12643" t="s">
        <v>7</v>
      </c>
      <c r="B12643" t="s">
        <v>32</v>
      </c>
      <c r="C12643" t="str">
        <f t="shared" si="396"/>
        <v>Cumple</v>
      </c>
      <c r="D12643">
        <v>3724</v>
      </c>
      <c r="E12643" t="s">
        <v>11</v>
      </c>
      <c r="F12643">
        <v>16</v>
      </c>
      <c r="G12643">
        <v>15</v>
      </c>
      <c r="H12643">
        <f t="shared" si="395"/>
        <v>1</v>
      </c>
    </row>
    <row r="12644" spans="1:8" x14ac:dyDescent="0.2">
      <c r="A12644" t="s">
        <v>7</v>
      </c>
      <c r="B12644" t="s">
        <v>32</v>
      </c>
      <c r="C12644" t="str">
        <f t="shared" si="396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395"/>
        <v>-5</v>
      </c>
    </row>
    <row r="12645" spans="1:8" x14ac:dyDescent="0.2">
      <c r="A12645" t="s">
        <v>7</v>
      </c>
      <c r="B12645" t="s">
        <v>32</v>
      </c>
      <c r="C12645" t="str">
        <f t="shared" si="396"/>
        <v>Cumple</v>
      </c>
      <c r="D12645">
        <v>3620</v>
      </c>
      <c r="E12645" t="s">
        <v>11</v>
      </c>
      <c r="F12645">
        <v>15</v>
      </c>
      <c r="G12645">
        <v>15</v>
      </c>
      <c r="H12645">
        <f t="shared" si="395"/>
        <v>0</v>
      </c>
    </row>
    <row r="12646" spans="1:8" x14ac:dyDescent="0.2">
      <c r="A12646" t="s">
        <v>7</v>
      </c>
      <c r="B12646" t="s">
        <v>32</v>
      </c>
      <c r="C12646" t="str">
        <f t="shared" si="396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395"/>
        <v>-6</v>
      </c>
    </row>
    <row r="12647" spans="1:8" x14ac:dyDescent="0.2">
      <c r="A12647" t="s">
        <v>7</v>
      </c>
      <c r="B12647" t="s">
        <v>32</v>
      </c>
      <c r="C12647" t="str">
        <f t="shared" si="396"/>
        <v>No cumple</v>
      </c>
      <c r="D12647">
        <v>9892</v>
      </c>
      <c r="E12647" t="s">
        <v>11</v>
      </c>
      <c r="F12647">
        <v>14</v>
      </c>
      <c r="G12647">
        <v>15</v>
      </c>
      <c r="H12647">
        <f t="shared" si="395"/>
        <v>-1</v>
      </c>
    </row>
    <row r="12648" spans="1:8" x14ac:dyDescent="0.2">
      <c r="A12648" t="s">
        <v>7</v>
      </c>
      <c r="B12648" t="s">
        <v>32</v>
      </c>
      <c r="C12648" t="str">
        <f t="shared" si="396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395"/>
        <v>-8</v>
      </c>
    </row>
    <row r="12649" spans="1:8" x14ac:dyDescent="0.2">
      <c r="A12649" t="s">
        <v>7</v>
      </c>
      <c r="B12649" t="s">
        <v>32</v>
      </c>
      <c r="C12649" t="str">
        <f t="shared" si="396"/>
        <v>No cumple</v>
      </c>
      <c r="D12649">
        <v>3309</v>
      </c>
      <c r="E12649" t="s">
        <v>11</v>
      </c>
      <c r="F12649">
        <v>12</v>
      </c>
      <c r="G12649">
        <v>15</v>
      </c>
      <c r="H12649">
        <f t="shared" si="395"/>
        <v>-3</v>
      </c>
    </row>
    <row r="12650" spans="1:8" x14ac:dyDescent="0.2">
      <c r="A12650" t="s">
        <v>7</v>
      </c>
      <c r="B12650" t="s">
        <v>32</v>
      </c>
      <c r="C12650" t="str">
        <f t="shared" si="396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395"/>
        <v>-8</v>
      </c>
    </row>
    <row r="12651" spans="1:8" x14ac:dyDescent="0.2">
      <c r="A12651" t="s">
        <v>7</v>
      </c>
      <c r="B12651" t="s">
        <v>32</v>
      </c>
      <c r="C12651" t="str">
        <f t="shared" si="396"/>
        <v>No cumple</v>
      </c>
      <c r="D12651">
        <v>3613</v>
      </c>
      <c r="E12651" t="s">
        <v>10</v>
      </c>
      <c r="F12651">
        <v>12</v>
      </c>
      <c r="G12651">
        <v>15</v>
      </c>
      <c r="H12651">
        <f t="shared" si="395"/>
        <v>-3</v>
      </c>
    </row>
    <row r="12652" spans="1:8" x14ac:dyDescent="0.2">
      <c r="A12652" t="s">
        <v>7</v>
      </c>
      <c r="B12652" t="s">
        <v>32</v>
      </c>
      <c r="C12652" t="str">
        <f t="shared" si="396"/>
        <v>Cumple</v>
      </c>
      <c r="D12652">
        <v>3685</v>
      </c>
      <c r="E12652" t="s">
        <v>11</v>
      </c>
      <c r="F12652" s="9">
        <v>20</v>
      </c>
      <c r="G12652">
        <v>20</v>
      </c>
      <c r="H12652">
        <f t="shared" si="395"/>
        <v>0</v>
      </c>
    </row>
    <row r="12653" spans="1:8" x14ac:dyDescent="0.2">
      <c r="A12653" t="s">
        <v>7</v>
      </c>
      <c r="B12653" t="s">
        <v>32</v>
      </c>
      <c r="C12653" t="str">
        <f t="shared" si="396"/>
        <v>No cumple</v>
      </c>
      <c r="D12653">
        <v>3788</v>
      </c>
      <c r="E12653" t="s">
        <v>11</v>
      </c>
      <c r="F12653">
        <v>12</v>
      </c>
      <c r="G12653">
        <v>15</v>
      </c>
      <c r="H12653">
        <f t="shared" si="395"/>
        <v>-3</v>
      </c>
    </row>
    <row r="12654" spans="1:8" x14ac:dyDescent="0.2">
      <c r="A12654" t="s">
        <v>7</v>
      </c>
      <c r="B12654" t="s">
        <v>32</v>
      </c>
      <c r="C12654" t="str">
        <f t="shared" si="396"/>
        <v>No cumple</v>
      </c>
      <c r="D12654">
        <v>3905</v>
      </c>
      <c r="E12654" t="s">
        <v>11</v>
      </c>
      <c r="F12654">
        <v>12</v>
      </c>
      <c r="G12654">
        <v>15</v>
      </c>
      <c r="H12654">
        <f t="shared" si="395"/>
        <v>-3</v>
      </c>
    </row>
    <row r="12655" spans="1:8" x14ac:dyDescent="0.2">
      <c r="A12655" t="s">
        <v>7</v>
      </c>
      <c r="B12655" t="s">
        <v>32</v>
      </c>
      <c r="C12655" t="str">
        <f t="shared" si="396"/>
        <v>No cumple</v>
      </c>
      <c r="D12655">
        <v>9948</v>
      </c>
      <c r="E12655" t="s">
        <v>12</v>
      </c>
      <c r="F12655">
        <v>12</v>
      </c>
      <c r="G12655">
        <v>20</v>
      </c>
      <c r="H12655">
        <f t="shared" si="395"/>
        <v>-8</v>
      </c>
    </row>
    <row r="12656" spans="1:8" x14ac:dyDescent="0.2">
      <c r="A12656" t="s">
        <v>7</v>
      </c>
      <c r="B12656" t="s">
        <v>32</v>
      </c>
      <c r="C12656" t="str">
        <f t="shared" si="396"/>
        <v>No cumple</v>
      </c>
      <c r="D12656">
        <v>3674</v>
      </c>
      <c r="E12656" t="s">
        <v>12</v>
      </c>
      <c r="F12656">
        <v>11</v>
      </c>
      <c r="G12656">
        <v>15</v>
      </c>
      <c r="H12656">
        <f t="shared" si="395"/>
        <v>-4</v>
      </c>
    </row>
    <row r="12657" spans="1:8" x14ac:dyDescent="0.2">
      <c r="A12657" t="s">
        <v>7</v>
      </c>
      <c r="B12657" t="s">
        <v>32</v>
      </c>
      <c r="C12657" t="str">
        <f t="shared" si="396"/>
        <v>No cumple</v>
      </c>
      <c r="D12657">
        <v>3729</v>
      </c>
      <c r="E12657" t="s">
        <v>11</v>
      </c>
      <c r="F12657">
        <v>11</v>
      </c>
      <c r="G12657">
        <v>15</v>
      </c>
      <c r="H12657">
        <f t="shared" si="395"/>
        <v>-4</v>
      </c>
    </row>
    <row r="12658" spans="1:8" x14ac:dyDescent="0.2">
      <c r="A12658" t="s">
        <v>7</v>
      </c>
      <c r="B12658" t="s">
        <v>32</v>
      </c>
      <c r="C12658" t="str">
        <f t="shared" si="396"/>
        <v>No cumple</v>
      </c>
      <c r="D12658">
        <v>3828</v>
      </c>
      <c r="E12658" t="s">
        <v>11</v>
      </c>
      <c r="F12658">
        <v>11</v>
      </c>
      <c r="G12658">
        <v>15</v>
      </c>
      <c r="H12658">
        <f t="shared" si="395"/>
        <v>-4</v>
      </c>
    </row>
    <row r="12659" spans="1:8" x14ac:dyDescent="0.2">
      <c r="A12659" t="s">
        <v>7</v>
      </c>
      <c r="B12659" t="s">
        <v>32</v>
      </c>
      <c r="C12659" t="str">
        <f t="shared" si="396"/>
        <v>No cumple</v>
      </c>
      <c r="D12659">
        <v>3952</v>
      </c>
      <c r="E12659" t="s">
        <v>11</v>
      </c>
      <c r="F12659">
        <v>11</v>
      </c>
      <c r="G12659">
        <v>15</v>
      </c>
      <c r="H12659">
        <f t="shared" si="395"/>
        <v>-4</v>
      </c>
    </row>
    <row r="12660" spans="1:8" x14ac:dyDescent="0.2">
      <c r="A12660" t="s">
        <v>7</v>
      </c>
      <c r="B12660" t="s">
        <v>32</v>
      </c>
      <c r="C12660" t="str">
        <f t="shared" si="396"/>
        <v>No cumple</v>
      </c>
      <c r="D12660">
        <v>9196</v>
      </c>
      <c r="E12660" t="s">
        <v>11</v>
      </c>
      <c r="F12660">
        <v>11</v>
      </c>
      <c r="G12660">
        <v>15</v>
      </c>
      <c r="H12660">
        <f t="shared" si="395"/>
        <v>-4</v>
      </c>
    </row>
    <row r="12661" spans="1:8" x14ac:dyDescent="0.2">
      <c r="A12661" t="s">
        <v>7</v>
      </c>
      <c r="B12661" t="s">
        <v>32</v>
      </c>
      <c r="C12661" t="str">
        <f t="shared" si="396"/>
        <v>No cumple</v>
      </c>
      <c r="D12661">
        <v>9377</v>
      </c>
      <c r="E12661" t="s">
        <v>11</v>
      </c>
      <c r="F12661">
        <v>11</v>
      </c>
      <c r="G12661">
        <v>15</v>
      </c>
      <c r="H12661">
        <f t="shared" si="395"/>
        <v>-4</v>
      </c>
    </row>
    <row r="12662" spans="1:8" x14ac:dyDescent="0.2">
      <c r="A12662" t="s">
        <v>7</v>
      </c>
      <c r="B12662" t="s">
        <v>32</v>
      </c>
      <c r="C12662" t="str">
        <f t="shared" si="396"/>
        <v>No cumple</v>
      </c>
      <c r="D12662">
        <v>957</v>
      </c>
      <c r="E12662" t="s">
        <v>12</v>
      </c>
      <c r="F12662">
        <v>10</v>
      </c>
      <c r="G12662">
        <v>15</v>
      </c>
      <c r="H12662">
        <f t="shared" si="395"/>
        <v>-5</v>
      </c>
    </row>
    <row r="12663" spans="1:8" x14ac:dyDescent="0.2">
      <c r="A12663" t="s">
        <v>7</v>
      </c>
      <c r="B12663" t="s">
        <v>32</v>
      </c>
      <c r="C12663" t="str">
        <f t="shared" si="396"/>
        <v>No cumple</v>
      </c>
      <c r="D12663">
        <v>3480</v>
      </c>
      <c r="E12663" t="s">
        <v>11</v>
      </c>
      <c r="F12663">
        <v>10</v>
      </c>
      <c r="G12663">
        <v>15</v>
      </c>
      <c r="H12663">
        <f t="shared" si="395"/>
        <v>-5</v>
      </c>
    </row>
    <row r="12664" spans="1:8" x14ac:dyDescent="0.2">
      <c r="A12664" t="s">
        <v>7</v>
      </c>
      <c r="B12664" t="s">
        <v>32</v>
      </c>
      <c r="C12664" t="str">
        <f t="shared" si="396"/>
        <v>No cumple</v>
      </c>
      <c r="D12664">
        <v>9612</v>
      </c>
      <c r="E12664" t="s">
        <v>12</v>
      </c>
      <c r="F12664">
        <v>10</v>
      </c>
      <c r="G12664">
        <v>15</v>
      </c>
      <c r="H12664">
        <f t="shared" si="395"/>
        <v>-5</v>
      </c>
    </row>
    <row r="12665" spans="1:8" x14ac:dyDescent="0.2">
      <c r="A12665" t="s">
        <v>7</v>
      </c>
      <c r="B12665" t="s">
        <v>32</v>
      </c>
      <c r="C12665" t="str">
        <f t="shared" si="396"/>
        <v>No cumple</v>
      </c>
      <c r="D12665">
        <v>1997</v>
      </c>
      <c r="E12665" t="s">
        <v>10</v>
      </c>
      <c r="F12665">
        <v>9</v>
      </c>
      <c r="G12665">
        <v>15</v>
      </c>
      <c r="H12665">
        <f t="shared" si="395"/>
        <v>-6</v>
      </c>
    </row>
    <row r="12666" spans="1:8" x14ac:dyDescent="0.2">
      <c r="A12666" t="s">
        <v>7</v>
      </c>
      <c r="B12666" t="s">
        <v>32</v>
      </c>
      <c r="C12666" t="str">
        <f t="shared" si="396"/>
        <v>No cumple</v>
      </c>
      <c r="D12666">
        <v>3637</v>
      </c>
      <c r="E12666" t="s">
        <v>12</v>
      </c>
      <c r="F12666">
        <v>9</v>
      </c>
      <c r="G12666">
        <v>15</v>
      </c>
      <c r="H12666">
        <f t="shared" si="395"/>
        <v>-6</v>
      </c>
    </row>
    <row r="12667" spans="1:8" x14ac:dyDescent="0.2">
      <c r="A12667" t="s">
        <v>7</v>
      </c>
      <c r="B12667" t="s">
        <v>32</v>
      </c>
      <c r="C12667" t="str">
        <f t="shared" si="396"/>
        <v>No cumple</v>
      </c>
      <c r="D12667">
        <v>3945</v>
      </c>
      <c r="E12667" t="s">
        <v>11</v>
      </c>
      <c r="F12667">
        <v>9</v>
      </c>
      <c r="G12667">
        <v>15</v>
      </c>
      <c r="H12667">
        <f t="shared" si="395"/>
        <v>-6</v>
      </c>
    </row>
    <row r="12668" spans="1:8" x14ac:dyDescent="0.2">
      <c r="A12668" t="s">
        <v>7</v>
      </c>
      <c r="B12668" t="s">
        <v>32</v>
      </c>
      <c r="C12668" t="str">
        <f t="shared" si="396"/>
        <v>No cumple</v>
      </c>
      <c r="D12668">
        <v>4025</v>
      </c>
      <c r="E12668" t="s">
        <v>11</v>
      </c>
      <c r="F12668">
        <v>9</v>
      </c>
      <c r="G12668">
        <v>15</v>
      </c>
      <c r="H12668">
        <f t="shared" si="395"/>
        <v>-6</v>
      </c>
    </row>
    <row r="12669" spans="1:8" x14ac:dyDescent="0.2">
      <c r="A12669" t="s">
        <v>7</v>
      </c>
      <c r="B12669" t="s">
        <v>32</v>
      </c>
      <c r="C12669" t="str">
        <f t="shared" si="396"/>
        <v>No cumple</v>
      </c>
      <c r="D12669">
        <v>9619</v>
      </c>
      <c r="E12669" t="s">
        <v>11</v>
      </c>
      <c r="F12669">
        <v>9</v>
      </c>
      <c r="G12669">
        <v>15</v>
      </c>
      <c r="H12669">
        <f t="shared" si="395"/>
        <v>-6</v>
      </c>
    </row>
    <row r="12670" spans="1:8" x14ac:dyDescent="0.2">
      <c r="A12670" t="s">
        <v>7</v>
      </c>
      <c r="B12670" t="s">
        <v>32</v>
      </c>
      <c r="C12670" t="str">
        <f t="shared" si="396"/>
        <v>No cumple</v>
      </c>
      <c r="D12670">
        <v>3160</v>
      </c>
      <c r="E12670" t="s">
        <v>11</v>
      </c>
      <c r="F12670">
        <v>8</v>
      </c>
      <c r="G12670">
        <v>15</v>
      </c>
      <c r="H12670">
        <f t="shared" si="395"/>
        <v>-7</v>
      </c>
    </row>
    <row r="12671" spans="1:8" x14ac:dyDescent="0.2">
      <c r="A12671" t="s">
        <v>7</v>
      </c>
      <c r="B12671" t="s">
        <v>32</v>
      </c>
      <c r="C12671" t="str">
        <f t="shared" si="396"/>
        <v>No cumple</v>
      </c>
      <c r="D12671">
        <v>3370</v>
      </c>
      <c r="E12671" t="s">
        <v>11</v>
      </c>
      <c r="F12671">
        <v>8</v>
      </c>
      <c r="G12671">
        <v>15</v>
      </c>
      <c r="H12671">
        <f t="shared" si="395"/>
        <v>-7</v>
      </c>
    </row>
    <row r="12672" spans="1:8" x14ac:dyDescent="0.2">
      <c r="A12672" t="s">
        <v>7</v>
      </c>
      <c r="B12672" t="s">
        <v>32</v>
      </c>
      <c r="C12672" t="str">
        <f t="shared" si="396"/>
        <v>No cumple</v>
      </c>
      <c r="D12672">
        <v>3806</v>
      </c>
      <c r="E12672" t="s">
        <v>11</v>
      </c>
      <c r="F12672">
        <v>8</v>
      </c>
      <c r="G12672">
        <v>15</v>
      </c>
      <c r="H12672">
        <f t="shared" si="395"/>
        <v>-7</v>
      </c>
    </row>
    <row r="12673" spans="1:8" x14ac:dyDescent="0.2">
      <c r="A12673" t="s">
        <v>7</v>
      </c>
      <c r="B12673" t="s">
        <v>32</v>
      </c>
      <c r="C12673" t="str">
        <f t="shared" si="396"/>
        <v>No cumple</v>
      </c>
      <c r="D12673">
        <v>3636</v>
      </c>
      <c r="E12673" t="s">
        <v>12</v>
      </c>
      <c r="F12673">
        <v>7</v>
      </c>
      <c r="G12673">
        <v>15</v>
      </c>
      <c r="H12673">
        <f t="shared" si="395"/>
        <v>-8</v>
      </c>
    </row>
    <row r="12674" spans="1:8" x14ac:dyDescent="0.2">
      <c r="A12674" t="s">
        <v>7</v>
      </c>
      <c r="B12674" t="s">
        <v>32</v>
      </c>
      <c r="C12674" t="str">
        <f t="shared" si="396"/>
        <v>No cumple</v>
      </c>
      <c r="D12674">
        <v>3671</v>
      </c>
      <c r="E12674" t="s">
        <v>12</v>
      </c>
      <c r="F12674">
        <v>7</v>
      </c>
      <c r="G12674">
        <v>15</v>
      </c>
      <c r="H12674">
        <f t="shared" si="395"/>
        <v>-8</v>
      </c>
    </row>
    <row r="12675" spans="1:8" x14ac:dyDescent="0.2">
      <c r="A12675" t="s">
        <v>7</v>
      </c>
      <c r="B12675" t="s">
        <v>32</v>
      </c>
      <c r="C12675" t="str">
        <f t="shared" si="396"/>
        <v>No cumple</v>
      </c>
      <c r="D12675">
        <v>1896</v>
      </c>
      <c r="E12675" t="s">
        <v>11</v>
      </c>
      <c r="F12675">
        <v>6</v>
      </c>
      <c r="G12675">
        <v>15</v>
      </c>
      <c r="H12675">
        <f t="shared" ref="H12675:H12738" si="397">F12675-G12675</f>
        <v>-9</v>
      </c>
    </row>
    <row r="12676" spans="1:8" x14ac:dyDescent="0.2">
      <c r="A12676" t="s">
        <v>7</v>
      </c>
      <c r="B12676" t="s">
        <v>32</v>
      </c>
      <c r="C12676" t="str">
        <f t="shared" si="396"/>
        <v>No cumple</v>
      </c>
      <c r="D12676">
        <v>9325</v>
      </c>
      <c r="E12676" t="s">
        <v>11</v>
      </c>
      <c r="F12676">
        <v>6</v>
      </c>
      <c r="G12676">
        <v>15</v>
      </c>
      <c r="H12676">
        <f t="shared" si="397"/>
        <v>-9</v>
      </c>
    </row>
    <row r="12677" spans="1:8" x14ac:dyDescent="0.2">
      <c r="A12677" t="s">
        <v>7</v>
      </c>
      <c r="B12677" t="s">
        <v>32</v>
      </c>
      <c r="C12677" t="str">
        <f t="shared" ref="C12677:C12740" si="398">IF(H12677&gt;=0,"Cumple","No cumple")</f>
        <v>No cumple</v>
      </c>
      <c r="D12677">
        <v>1583</v>
      </c>
      <c r="E12677" t="s">
        <v>11</v>
      </c>
      <c r="F12677">
        <v>5</v>
      </c>
      <c r="G12677">
        <v>15</v>
      </c>
      <c r="H12677">
        <f t="shared" si="397"/>
        <v>-10</v>
      </c>
    </row>
    <row r="12678" spans="1:8" x14ac:dyDescent="0.2">
      <c r="A12678" t="s">
        <v>7</v>
      </c>
      <c r="B12678" t="s">
        <v>32</v>
      </c>
      <c r="C12678" t="str">
        <f t="shared" si="398"/>
        <v>No cumple</v>
      </c>
      <c r="D12678">
        <v>1872</v>
      </c>
      <c r="E12678" t="s">
        <v>11</v>
      </c>
      <c r="F12678">
        <v>5</v>
      </c>
      <c r="G12678">
        <v>15</v>
      </c>
      <c r="H12678">
        <f t="shared" si="397"/>
        <v>-10</v>
      </c>
    </row>
    <row r="12679" spans="1:8" x14ac:dyDescent="0.2">
      <c r="A12679" t="s">
        <v>7</v>
      </c>
      <c r="B12679" t="s">
        <v>32</v>
      </c>
      <c r="C12679" t="str">
        <f t="shared" si="398"/>
        <v>No cumple</v>
      </c>
      <c r="D12679">
        <v>3883</v>
      </c>
      <c r="E12679" t="s">
        <v>11</v>
      </c>
      <c r="F12679">
        <v>5</v>
      </c>
      <c r="G12679">
        <v>15</v>
      </c>
      <c r="H12679">
        <f t="shared" si="397"/>
        <v>-10</v>
      </c>
    </row>
    <row r="12680" spans="1:8" x14ac:dyDescent="0.2">
      <c r="A12680" t="s">
        <v>7</v>
      </c>
      <c r="B12680" t="s">
        <v>32</v>
      </c>
      <c r="C12680" t="str">
        <f t="shared" si="398"/>
        <v>No cumple</v>
      </c>
      <c r="D12680">
        <v>3972</v>
      </c>
      <c r="E12680" t="s">
        <v>11</v>
      </c>
      <c r="F12680">
        <v>5</v>
      </c>
      <c r="G12680">
        <v>15</v>
      </c>
      <c r="H12680">
        <f t="shared" si="397"/>
        <v>-10</v>
      </c>
    </row>
    <row r="12681" spans="1:8" x14ac:dyDescent="0.2">
      <c r="A12681" t="s">
        <v>7</v>
      </c>
      <c r="B12681" t="s">
        <v>32</v>
      </c>
      <c r="C12681" t="str">
        <f t="shared" si="398"/>
        <v>No cumple</v>
      </c>
      <c r="D12681">
        <v>9026</v>
      </c>
      <c r="E12681" t="s">
        <v>10</v>
      </c>
      <c r="F12681">
        <v>5</v>
      </c>
      <c r="G12681">
        <v>15</v>
      </c>
      <c r="H12681">
        <f t="shared" si="397"/>
        <v>-10</v>
      </c>
    </row>
    <row r="12682" spans="1:8" x14ac:dyDescent="0.2">
      <c r="A12682" t="s">
        <v>7</v>
      </c>
      <c r="B12682" t="s">
        <v>32</v>
      </c>
      <c r="C12682" t="str">
        <f t="shared" si="398"/>
        <v>No cumple</v>
      </c>
      <c r="D12682">
        <v>9103</v>
      </c>
      <c r="E12682" t="s">
        <v>11</v>
      </c>
      <c r="F12682">
        <v>5</v>
      </c>
      <c r="G12682">
        <v>15</v>
      </c>
      <c r="H12682">
        <f t="shared" si="397"/>
        <v>-10</v>
      </c>
    </row>
    <row r="12683" spans="1:8" x14ac:dyDescent="0.2">
      <c r="A12683" t="s">
        <v>7</v>
      </c>
      <c r="B12683" t="s">
        <v>32</v>
      </c>
      <c r="C12683" t="str">
        <f t="shared" si="398"/>
        <v>No cumple</v>
      </c>
      <c r="D12683">
        <v>3233</v>
      </c>
      <c r="E12683" t="s">
        <v>11</v>
      </c>
      <c r="F12683">
        <v>4</v>
      </c>
      <c r="G12683">
        <v>15</v>
      </c>
      <c r="H12683">
        <f t="shared" si="397"/>
        <v>-11</v>
      </c>
    </row>
    <row r="12684" spans="1:8" x14ac:dyDescent="0.2">
      <c r="A12684" t="s">
        <v>7</v>
      </c>
      <c r="B12684" t="s">
        <v>32</v>
      </c>
      <c r="C12684" t="str">
        <f t="shared" si="398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397"/>
        <v>-16</v>
      </c>
    </row>
    <row r="12685" spans="1:8" x14ac:dyDescent="0.2">
      <c r="A12685" t="s">
        <v>7</v>
      </c>
      <c r="B12685" t="s">
        <v>32</v>
      </c>
      <c r="C12685" t="str">
        <f t="shared" si="398"/>
        <v>No cumple</v>
      </c>
      <c r="D12685">
        <v>9981</v>
      </c>
      <c r="E12685" t="s">
        <v>10</v>
      </c>
      <c r="F12685">
        <v>4</v>
      </c>
      <c r="G12685">
        <v>15</v>
      </c>
      <c r="H12685">
        <f t="shared" si="397"/>
        <v>-11</v>
      </c>
    </row>
    <row r="12686" spans="1:8" x14ac:dyDescent="0.2">
      <c r="A12686" t="s">
        <v>7</v>
      </c>
      <c r="B12686" t="s">
        <v>32</v>
      </c>
      <c r="C12686" t="str">
        <f t="shared" si="398"/>
        <v>No cumple</v>
      </c>
      <c r="D12686">
        <v>3130</v>
      </c>
      <c r="E12686" t="s">
        <v>11</v>
      </c>
      <c r="F12686">
        <v>3</v>
      </c>
      <c r="G12686">
        <v>15</v>
      </c>
      <c r="H12686">
        <f t="shared" si="397"/>
        <v>-12</v>
      </c>
    </row>
    <row r="12687" spans="1:8" x14ac:dyDescent="0.2">
      <c r="A12687" t="s">
        <v>7</v>
      </c>
      <c r="B12687" t="s">
        <v>32</v>
      </c>
      <c r="C12687" t="str">
        <f t="shared" si="398"/>
        <v>No cumple</v>
      </c>
      <c r="D12687">
        <v>3998</v>
      </c>
      <c r="E12687" t="s">
        <v>11</v>
      </c>
      <c r="F12687">
        <v>3</v>
      </c>
      <c r="G12687">
        <v>15</v>
      </c>
      <c r="H12687">
        <f t="shared" si="397"/>
        <v>-12</v>
      </c>
    </row>
    <row r="12688" spans="1:8" x14ac:dyDescent="0.2">
      <c r="A12688" t="s">
        <v>7</v>
      </c>
      <c r="B12688" t="s">
        <v>32</v>
      </c>
      <c r="C12688" t="str">
        <f t="shared" si="398"/>
        <v>No cumple</v>
      </c>
      <c r="D12688">
        <v>4026</v>
      </c>
      <c r="E12688" t="s">
        <v>11</v>
      </c>
      <c r="F12688">
        <v>3</v>
      </c>
      <c r="G12688">
        <v>15</v>
      </c>
      <c r="H12688">
        <f t="shared" si="397"/>
        <v>-12</v>
      </c>
    </row>
    <row r="12689" spans="1:8" x14ac:dyDescent="0.2">
      <c r="A12689" t="s">
        <v>7</v>
      </c>
      <c r="B12689" t="s">
        <v>32</v>
      </c>
      <c r="C12689" t="str">
        <f t="shared" si="398"/>
        <v>No cumple</v>
      </c>
      <c r="D12689">
        <v>2488</v>
      </c>
      <c r="E12689" t="s">
        <v>10</v>
      </c>
      <c r="F12689">
        <v>2</v>
      </c>
      <c r="G12689">
        <v>15</v>
      </c>
      <c r="H12689">
        <f t="shared" si="397"/>
        <v>-13</v>
      </c>
    </row>
    <row r="12690" spans="1:8" x14ac:dyDescent="0.2">
      <c r="A12690" t="s">
        <v>7</v>
      </c>
      <c r="B12690" t="s">
        <v>32</v>
      </c>
      <c r="C12690" t="str">
        <f t="shared" si="398"/>
        <v>No cumple</v>
      </c>
      <c r="D12690">
        <v>2867</v>
      </c>
      <c r="E12690" t="s">
        <v>12</v>
      </c>
      <c r="F12690">
        <v>2</v>
      </c>
      <c r="G12690">
        <v>15</v>
      </c>
      <c r="H12690">
        <f t="shared" si="397"/>
        <v>-13</v>
      </c>
    </row>
    <row r="12691" spans="1:8" x14ac:dyDescent="0.2">
      <c r="A12691" t="s">
        <v>7</v>
      </c>
      <c r="B12691" t="s">
        <v>32</v>
      </c>
      <c r="C12691" t="str">
        <f t="shared" si="398"/>
        <v>No cumple</v>
      </c>
      <c r="D12691">
        <v>3881</v>
      </c>
      <c r="E12691" t="s">
        <v>11</v>
      </c>
      <c r="F12691">
        <v>2</v>
      </c>
      <c r="G12691">
        <v>15</v>
      </c>
      <c r="H12691">
        <f t="shared" si="397"/>
        <v>-13</v>
      </c>
    </row>
    <row r="12692" spans="1:8" x14ac:dyDescent="0.2">
      <c r="A12692" t="s">
        <v>7</v>
      </c>
      <c r="B12692" t="s">
        <v>32</v>
      </c>
      <c r="C12692" t="str">
        <f t="shared" si="398"/>
        <v>No cumple</v>
      </c>
      <c r="D12692">
        <v>3725</v>
      </c>
      <c r="E12692" t="s">
        <v>11</v>
      </c>
      <c r="F12692">
        <v>2</v>
      </c>
      <c r="G12692">
        <v>15</v>
      </c>
      <c r="H12692">
        <f t="shared" si="397"/>
        <v>-13</v>
      </c>
    </row>
    <row r="12693" spans="1:8" x14ac:dyDescent="0.2">
      <c r="A12693" t="s">
        <v>7</v>
      </c>
      <c r="B12693" t="s">
        <v>32</v>
      </c>
      <c r="C12693" t="str">
        <f t="shared" si="398"/>
        <v>No cumple</v>
      </c>
      <c r="D12693">
        <v>2930</v>
      </c>
      <c r="E12693" t="s">
        <v>11</v>
      </c>
      <c r="F12693">
        <v>1</v>
      </c>
      <c r="G12693">
        <v>15</v>
      </c>
      <c r="H12693">
        <f t="shared" si="397"/>
        <v>-14</v>
      </c>
    </row>
    <row r="12694" spans="1:8" x14ac:dyDescent="0.2">
      <c r="A12694" t="s">
        <v>7</v>
      </c>
      <c r="B12694" t="s">
        <v>32</v>
      </c>
      <c r="C12694" t="str">
        <f t="shared" si="398"/>
        <v>No cumple</v>
      </c>
      <c r="D12694">
        <v>3997</v>
      </c>
      <c r="E12694" t="s">
        <v>11</v>
      </c>
      <c r="F12694">
        <v>1</v>
      </c>
      <c r="G12694">
        <v>15</v>
      </c>
      <c r="H12694">
        <f t="shared" si="397"/>
        <v>-14</v>
      </c>
    </row>
    <row r="12695" spans="1:8" x14ac:dyDescent="0.2">
      <c r="A12695" t="s">
        <v>7</v>
      </c>
      <c r="B12695" t="s">
        <v>32</v>
      </c>
      <c r="C12695" t="str">
        <f t="shared" si="398"/>
        <v>No cumple</v>
      </c>
      <c r="D12695">
        <v>9129</v>
      </c>
      <c r="E12695" t="s">
        <v>10</v>
      </c>
      <c r="F12695">
        <v>1</v>
      </c>
      <c r="G12695">
        <v>15</v>
      </c>
      <c r="H12695">
        <f t="shared" si="397"/>
        <v>-14</v>
      </c>
    </row>
    <row r="12696" spans="1:8" x14ac:dyDescent="0.2">
      <c r="A12696" t="s">
        <v>7</v>
      </c>
      <c r="B12696" t="s">
        <v>32</v>
      </c>
      <c r="C12696" t="str">
        <f t="shared" si="398"/>
        <v>No cumple</v>
      </c>
      <c r="D12696">
        <v>9354</v>
      </c>
      <c r="E12696" t="s">
        <v>11</v>
      </c>
      <c r="F12696">
        <v>1</v>
      </c>
      <c r="G12696">
        <v>15</v>
      </c>
      <c r="H12696">
        <f t="shared" si="397"/>
        <v>-14</v>
      </c>
    </row>
    <row r="12697" spans="1:8" x14ac:dyDescent="0.2">
      <c r="A12697" t="s">
        <v>7</v>
      </c>
      <c r="B12697" t="s">
        <v>32</v>
      </c>
      <c r="C12697" t="str">
        <f t="shared" si="398"/>
        <v>No cumple</v>
      </c>
      <c r="D12697">
        <v>9894</v>
      </c>
      <c r="E12697" t="s">
        <v>11</v>
      </c>
      <c r="F12697">
        <v>1</v>
      </c>
      <c r="G12697">
        <v>15</v>
      </c>
      <c r="H12697">
        <f t="shared" si="397"/>
        <v>-14</v>
      </c>
    </row>
    <row r="12698" spans="1:8" x14ac:dyDescent="0.2">
      <c r="A12698" t="s">
        <v>18</v>
      </c>
      <c r="B12698" t="s">
        <v>32</v>
      </c>
      <c r="C12698" t="str">
        <f t="shared" si="398"/>
        <v>No cumple</v>
      </c>
      <c r="D12698">
        <v>1717</v>
      </c>
      <c r="E12698" t="s">
        <v>11</v>
      </c>
      <c r="F12698">
        <v>0</v>
      </c>
      <c r="G12698">
        <v>15</v>
      </c>
      <c r="H12698">
        <f t="shared" si="397"/>
        <v>-15</v>
      </c>
    </row>
    <row r="12699" spans="1:8" x14ac:dyDescent="0.2">
      <c r="A12699" t="s">
        <v>7</v>
      </c>
      <c r="B12699" t="s">
        <v>32</v>
      </c>
      <c r="C12699" t="str">
        <f t="shared" si="398"/>
        <v>No cumple</v>
      </c>
      <c r="D12699">
        <v>1809</v>
      </c>
      <c r="E12699" t="s">
        <v>11</v>
      </c>
      <c r="F12699">
        <v>0</v>
      </c>
      <c r="G12699">
        <v>15</v>
      </c>
      <c r="H12699">
        <f t="shared" si="397"/>
        <v>-15</v>
      </c>
    </row>
    <row r="12700" spans="1:8" x14ac:dyDescent="0.2">
      <c r="A12700" t="s">
        <v>18</v>
      </c>
      <c r="B12700" t="s">
        <v>32</v>
      </c>
      <c r="C12700" t="str">
        <f t="shared" si="398"/>
        <v>No cumple</v>
      </c>
      <c r="D12700">
        <v>1843</v>
      </c>
      <c r="E12700" t="s">
        <v>11</v>
      </c>
      <c r="F12700">
        <v>0</v>
      </c>
      <c r="G12700">
        <v>15</v>
      </c>
      <c r="H12700">
        <f t="shared" si="397"/>
        <v>-15</v>
      </c>
    </row>
    <row r="12701" spans="1:8" x14ac:dyDescent="0.2">
      <c r="A12701" t="s">
        <v>18</v>
      </c>
      <c r="B12701" t="s">
        <v>32</v>
      </c>
      <c r="C12701" t="str">
        <f t="shared" si="398"/>
        <v>No cumple</v>
      </c>
      <c r="D12701">
        <v>2885</v>
      </c>
      <c r="E12701" t="s">
        <v>11</v>
      </c>
      <c r="F12701">
        <v>0</v>
      </c>
      <c r="G12701">
        <v>15</v>
      </c>
      <c r="H12701">
        <f t="shared" si="397"/>
        <v>-15</v>
      </c>
    </row>
    <row r="12702" spans="1:8" x14ac:dyDescent="0.2">
      <c r="A12702" t="s">
        <v>18</v>
      </c>
      <c r="B12702" t="s">
        <v>32</v>
      </c>
      <c r="C12702" t="str">
        <f t="shared" si="398"/>
        <v>No cumple</v>
      </c>
      <c r="D12702">
        <v>3003</v>
      </c>
      <c r="E12702" t="s">
        <v>11</v>
      </c>
      <c r="F12702">
        <v>0</v>
      </c>
      <c r="G12702">
        <v>15</v>
      </c>
      <c r="H12702">
        <f t="shared" si="397"/>
        <v>-15</v>
      </c>
    </row>
    <row r="12703" spans="1:8" x14ac:dyDescent="0.2">
      <c r="A12703" t="s">
        <v>18</v>
      </c>
      <c r="B12703" t="s">
        <v>32</v>
      </c>
      <c r="C12703" t="str">
        <f t="shared" si="398"/>
        <v>No cumple</v>
      </c>
      <c r="D12703">
        <v>3282</v>
      </c>
      <c r="E12703" t="s">
        <v>11</v>
      </c>
      <c r="F12703">
        <v>0</v>
      </c>
      <c r="G12703">
        <v>15</v>
      </c>
      <c r="H12703">
        <f t="shared" si="397"/>
        <v>-15</v>
      </c>
    </row>
    <row r="12704" spans="1:8" x14ac:dyDescent="0.2">
      <c r="A12704" t="s">
        <v>18</v>
      </c>
      <c r="B12704" t="s">
        <v>32</v>
      </c>
      <c r="C12704" t="str">
        <f t="shared" si="398"/>
        <v>No cumple</v>
      </c>
      <c r="D12704">
        <v>3335</v>
      </c>
      <c r="E12704" t="s">
        <v>11</v>
      </c>
      <c r="F12704">
        <v>0</v>
      </c>
      <c r="G12704">
        <v>15</v>
      </c>
      <c r="H12704">
        <f t="shared" si="397"/>
        <v>-15</v>
      </c>
    </row>
    <row r="12705" spans="1:8" x14ac:dyDescent="0.2">
      <c r="A12705" t="s">
        <v>18</v>
      </c>
      <c r="B12705" t="s">
        <v>32</v>
      </c>
      <c r="C12705" t="str">
        <f t="shared" si="398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397"/>
        <v>-20</v>
      </c>
    </row>
    <row r="12706" spans="1:8" x14ac:dyDescent="0.2">
      <c r="A12706" t="s">
        <v>18</v>
      </c>
      <c r="B12706" t="s">
        <v>32</v>
      </c>
      <c r="C12706" t="str">
        <f t="shared" si="398"/>
        <v>No cumple</v>
      </c>
      <c r="D12706">
        <v>3357</v>
      </c>
      <c r="E12706" t="s">
        <v>11</v>
      </c>
      <c r="F12706">
        <v>0</v>
      </c>
      <c r="G12706">
        <v>15</v>
      </c>
      <c r="H12706">
        <f t="shared" si="397"/>
        <v>-15</v>
      </c>
    </row>
    <row r="12707" spans="1:8" x14ac:dyDescent="0.2">
      <c r="A12707" t="s">
        <v>18</v>
      </c>
      <c r="B12707" t="s">
        <v>32</v>
      </c>
      <c r="C12707" t="str">
        <f t="shared" si="398"/>
        <v>No cumple</v>
      </c>
      <c r="D12707">
        <v>3426</v>
      </c>
      <c r="E12707" t="s">
        <v>11</v>
      </c>
      <c r="F12707">
        <v>0</v>
      </c>
      <c r="G12707">
        <v>15</v>
      </c>
      <c r="H12707">
        <f t="shared" si="397"/>
        <v>-15</v>
      </c>
    </row>
    <row r="12708" spans="1:8" x14ac:dyDescent="0.2">
      <c r="A12708" t="s">
        <v>18</v>
      </c>
      <c r="B12708" t="s">
        <v>32</v>
      </c>
      <c r="C12708" t="str">
        <f t="shared" si="398"/>
        <v>No cumple</v>
      </c>
      <c r="D12708">
        <v>3548</v>
      </c>
      <c r="E12708" t="s">
        <v>10</v>
      </c>
      <c r="F12708">
        <v>0</v>
      </c>
      <c r="G12708">
        <v>15</v>
      </c>
      <c r="H12708">
        <f t="shared" si="397"/>
        <v>-15</v>
      </c>
    </row>
    <row r="12709" spans="1:8" x14ac:dyDescent="0.2">
      <c r="A12709" t="s">
        <v>18</v>
      </c>
      <c r="B12709" t="s">
        <v>32</v>
      </c>
      <c r="C12709" t="str">
        <f t="shared" si="398"/>
        <v>No cumple</v>
      </c>
      <c r="D12709">
        <v>3569</v>
      </c>
      <c r="E12709" t="s">
        <v>11</v>
      </c>
      <c r="F12709">
        <v>0</v>
      </c>
      <c r="G12709">
        <v>15</v>
      </c>
      <c r="H12709">
        <f t="shared" si="397"/>
        <v>-15</v>
      </c>
    </row>
    <row r="12710" spans="1:8" x14ac:dyDescent="0.2">
      <c r="A12710" t="s">
        <v>18</v>
      </c>
      <c r="B12710" t="s">
        <v>32</v>
      </c>
      <c r="C12710" t="str">
        <f t="shared" si="398"/>
        <v>No cumple</v>
      </c>
      <c r="D12710">
        <v>3599</v>
      </c>
      <c r="E12710" t="s">
        <v>11</v>
      </c>
      <c r="F12710">
        <v>0</v>
      </c>
      <c r="G12710">
        <v>15</v>
      </c>
      <c r="H12710">
        <f t="shared" si="397"/>
        <v>-15</v>
      </c>
    </row>
    <row r="12711" spans="1:8" x14ac:dyDescent="0.2">
      <c r="A12711" t="s">
        <v>18</v>
      </c>
      <c r="B12711" t="s">
        <v>32</v>
      </c>
      <c r="C12711" t="str">
        <f t="shared" si="398"/>
        <v>No cumple</v>
      </c>
      <c r="D12711">
        <v>3606</v>
      </c>
      <c r="E12711" t="s">
        <v>12</v>
      </c>
      <c r="F12711">
        <v>0</v>
      </c>
      <c r="G12711">
        <v>15</v>
      </c>
      <c r="H12711">
        <f t="shared" si="397"/>
        <v>-15</v>
      </c>
    </row>
    <row r="12712" spans="1:8" x14ac:dyDescent="0.2">
      <c r="A12712" t="s">
        <v>18</v>
      </c>
      <c r="B12712" t="s">
        <v>32</v>
      </c>
      <c r="C12712" t="str">
        <f t="shared" si="398"/>
        <v>No cumple</v>
      </c>
      <c r="D12712">
        <v>3623</v>
      </c>
      <c r="E12712" t="s">
        <v>11</v>
      </c>
      <c r="F12712">
        <v>0</v>
      </c>
      <c r="G12712">
        <v>15</v>
      </c>
      <c r="H12712">
        <f t="shared" si="397"/>
        <v>-15</v>
      </c>
    </row>
    <row r="12713" spans="1:8" x14ac:dyDescent="0.2">
      <c r="A12713" t="s">
        <v>18</v>
      </c>
      <c r="B12713" t="s">
        <v>32</v>
      </c>
      <c r="C12713" t="str">
        <f t="shared" si="398"/>
        <v>No cumple</v>
      </c>
      <c r="D12713">
        <v>3634</v>
      </c>
      <c r="E12713" t="s">
        <v>12</v>
      </c>
      <c r="F12713">
        <v>0</v>
      </c>
      <c r="G12713">
        <v>15</v>
      </c>
      <c r="H12713">
        <f t="shared" si="397"/>
        <v>-15</v>
      </c>
    </row>
    <row r="12714" spans="1:8" x14ac:dyDescent="0.2">
      <c r="A12714" t="s">
        <v>18</v>
      </c>
      <c r="B12714" t="s">
        <v>32</v>
      </c>
      <c r="C12714" t="str">
        <f t="shared" si="398"/>
        <v>No cumple</v>
      </c>
      <c r="D12714">
        <v>3649</v>
      </c>
      <c r="E12714" t="s">
        <v>12</v>
      </c>
      <c r="F12714">
        <v>0</v>
      </c>
      <c r="G12714">
        <v>15</v>
      </c>
      <c r="H12714">
        <f t="shared" si="397"/>
        <v>-15</v>
      </c>
    </row>
    <row r="12715" spans="1:8" x14ac:dyDescent="0.2">
      <c r="A12715" t="s">
        <v>18</v>
      </c>
      <c r="B12715" t="s">
        <v>32</v>
      </c>
      <c r="C12715" t="str">
        <f t="shared" si="398"/>
        <v>No cumple</v>
      </c>
      <c r="D12715">
        <v>3673</v>
      </c>
      <c r="E12715" t="s">
        <v>11</v>
      </c>
      <c r="F12715">
        <v>0</v>
      </c>
      <c r="G12715">
        <v>15</v>
      </c>
      <c r="H12715">
        <f t="shared" si="397"/>
        <v>-15</v>
      </c>
    </row>
    <row r="12716" spans="1:8" x14ac:dyDescent="0.2">
      <c r="A12716" t="s">
        <v>18</v>
      </c>
      <c r="B12716" t="s">
        <v>32</v>
      </c>
      <c r="C12716" t="str">
        <f t="shared" si="398"/>
        <v>No cumple</v>
      </c>
      <c r="D12716">
        <v>3679</v>
      </c>
      <c r="E12716" t="s">
        <v>11</v>
      </c>
      <c r="F12716">
        <v>0</v>
      </c>
      <c r="G12716">
        <v>15</v>
      </c>
      <c r="H12716">
        <f t="shared" si="397"/>
        <v>-15</v>
      </c>
    </row>
    <row r="12717" spans="1:8" x14ac:dyDescent="0.2">
      <c r="A12717" t="s">
        <v>18</v>
      </c>
      <c r="B12717" t="s">
        <v>32</v>
      </c>
      <c r="C12717" t="str">
        <f t="shared" si="398"/>
        <v>No cumple</v>
      </c>
      <c r="D12717">
        <v>3726</v>
      </c>
      <c r="E12717" t="s">
        <v>11</v>
      </c>
      <c r="F12717">
        <v>0</v>
      </c>
      <c r="G12717">
        <v>15</v>
      </c>
      <c r="H12717">
        <f t="shared" si="397"/>
        <v>-15</v>
      </c>
    </row>
    <row r="12718" spans="1:8" x14ac:dyDescent="0.2">
      <c r="A12718" t="s">
        <v>18</v>
      </c>
      <c r="B12718" t="s">
        <v>32</v>
      </c>
      <c r="C12718" t="str">
        <f t="shared" si="398"/>
        <v>No cumple</v>
      </c>
      <c r="D12718">
        <v>3787</v>
      </c>
      <c r="E12718" t="s">
        <v>12</v>
      </c>
      <c r="F12718">
        <v>0</v>
      </c>
      <c r="G12718">
        <v>15</v>
      </c>
      <c r="H12718">
        <f t="shared" si="397"/>
        <v>-15</v>
      </c>
    </row>
    <row r="12719" spans="1:8" x14ac:dyDescent="0.2">
      <c r="A12719" t="s">
        <v>18</v>
      </c>
      <c r="B12719" t="s">
        <v>32</v>
      </c>
      <c r="C12719" t="str">
        <f t="shared" si="398"/>
        <v>No cumple</v>
      </c>
      <c r="D12719">
        <v>3849</v>
      </c>
      <c r="E12719" t="s">
        <v>11</v>
      </c>
      <c r="F12719">
        <v>0</v>
      </c>
      <c r="G12719">
        <v>15</v>
      </c>
      <c r="H12719">
        <f t="shared" si="397"/>
        <v>-15</v>
      </c>
    </row>
    <row r="12720" spans="1:8" x14ac:dyDescent="0.2">
      <c r="A12720" t="s">
        <v>18</v>
      </c>
      <c r="B12720" t="s">
        <v>32</v>
      </c>
      <c r="C12720" t="str">
        <f t="shared" si="398"/>
        <v>No cumple</v>
      </c>
      <c r="D12720">
        <v>3882</v>
      </c>
      <c r="E12720" t="s">
        <v>11</v>
      </c>
      <c r="F12720">
        <v>0</v>
      </c>
      <c r="G12720">
        <v>15</v>
      </c>
      <c r="H12720">
        <f t="shared" si="397"/>
        <v>-15</v>
      </c>
    </row>
    <row r="12721" spans="1:8" x14ac:dyDescent="0.2">
      <c r="A12721" t="s">
        <v>7</v>
      </c>
      <c r="B12721" t="s">
        <v>32</v>
      </c>
      <c r="C12721" t="str">
        <f t="shared" si="398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397"/>
        <v>-20</v>
      </c>
    </row>
    <row r="12722" spans="1:8" x14ac:dyDescent="0.2">
      <c r="A12722" t="s">
        <v>18</v>
      </c>
      <c r="B12722" t="s">
        <v>32</v>
      </c>
      <c r="C12722" t="str">
        <f t="shared" si="398"/>
        <v>No cumple</v>
      </c>
      <c r="D12722">
        <v>3923</v>
      </c>
      <c r="E12722" t="s">
        <v>11</v>
      </c>
      <c r="F12722">
        <v>0</v>
      </c>
      <c r="G12722">
        <v>15</v>
      </c>
      <c r="H12722">
        <f t="shared" si="397"/>
        <v>-15</v>
      </c>
    </row>
    <row r="12723" spans="1:8" x14ac:dyDescent="0.2">
      <c r="A12723" t="s">
        <v>18</v>
      </c>
      <c r="B12723" t="s">
        <v>32</v>
      </c>
      <c r="C12723" t="str">
        <f t="shared" si="398"/>
        <v>No cumple</v>
      </c>
      <c r="D12723">
        <v>3947</v>
      </c>
      <c r="E12723" t="s">
        <v>11</v>
      </c>
      <c r="F12723">
        <v>0</v>
      </c>
      <c r="G12723">
        <v>15</v>
      </c>
      <c r="H12723">
        <f t="shared" si="397"/>
        <v>-15</v>
      </c>
    </row>
    <row r="12724" spans="1:8" x14ac:dyDescent="0.2">
      <c r="A12724" t="s">
        <v>18</v>
      </c>
      <c r="B12724" t="s">
        <v>32</v>
      </c>
      <c r="C12724" t="str">
        <f t="shared" si="398"/>
        <v>No cumple</v>
      </c>
      <c r="D12724">
        <v>3954</v>
      </c>
      <c r="E12724" t="s">
        <v>11</v>
      </c>
      <c r="F12724">
        <v>0</v>
      </c>
      <c r="G12724">
        <v>15</v>
      </c>
      <c r="H12724">
        <f t="shared" si="397"/>
        <v>-15</v>
      </c>
    </row>
    <row r="12725" spans="1:8" x14ac:dyDescent="0.2">
      <c r="A12725" t="s">
        <v>18</v>
      </c>
      <c r="B12725" t="s">
        <v>32</v>
      </c>
      <c r="C12725" t="str">
        <f t="shared" si="398"/>
        <v>No cumple</v>
      </c>
      <c r="D12725">
        <v>3973</v>
      </c>
      <c r="E12725" t="s">
        <v>11</v>
      </c>
      <c r="F12725">
        <v>0</v>
      </c>
      <c r="G12725">
        <v>15</v>
      </c>
      <c r="H12725">
        <f t="shared" si="397"/>
        <v>-15</v>
      </c>
    </row>
    <row r="12726" spans="1:8" x14ac:dyDescent="0.2">
      <c r="A12726" t="s">
        <v>18</v>
      </c>
      <c r="B12726" t="s">
        <v>32</v>
      </c>
      <c r="C12726" t="str">
        <f t="shared" si="398"/>
        <v>No cumple</v>
      </c>
      <c r="D12726">
        <v>3982</v>
      </c>
      <c r="E12726" t="s">
        <v>11</v>
      </c>
      <c r="F12726">
        <v>0</v>
      </c>
      <c r="G12726">
        <v>15</v>
      </c>
      <c r="H12726">
        <f t="shared" si="397"/>
        <v>-15</v>
      </c>
    </row>
    <row r="12727" spans="1:8" x14ac:dyDescent="0.2">
      <c r="A12727" t="s">
        <v>18</v>
      </c>
      <c r="B12727" t="s">
        <v>32</v>
      </c>
      <c r="C12727" t="str">
        <f t="shared" si="398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397"/>
        <v>-20</v>
      </c>
    </row>
    <row r="12728" spans="1:8" x14ac:dyDescent="0.2">
      <c r="A12728" t="s">
        <v>18</v>
      </c>
      <c r="B12728" t="s">
        <v>32</v>
      </c>
      <c r="C12728" t="str">
        <f t="shared" si="398"/>
        <v>No cumple</v>
      </c>
      <c r="D12728">
        <v>9689</v>
      </c>
      <c r="E12728" t="s">
        <v>11</v>
      </c>
      <c r="F12728">
        <v>0</v>
      </c>
      <c r="G12728">
        <v>15</v>
      </c>
      <c r="H12728">
        <f t="shared" si="397"/>
        <v>-15</v>
      </c>
    </row>
    <row r="12729" spans="1:8" x14ac:dyDescent="0.2">
      <c r="A12729" t="s">
        <v>18</v>
      </c>
      <c r="B12729" t="s">
        <v>32</v>
      </c>
      <c r="C12729" t="str">
        <f t="shared" si="398"/>
        <v>No cumple</v>
      </c>
      <c r="D12729">
        <v>9800</v>
      </c>
      <c r="E12729" t="s">
        <v>11</v>
      </c>
      <c r="F12729">
        <v>0</v>
      </c>
      <c r="G12729">
        <v>15</v>
      </c>
      <c r="H12729">
        <f t="shared" si="397"/>
        <v>-15</v>
      </c>
    </row>
    <row r="12730" spans="1:8" x14ac:dyDescent="0.2">
      <c r="A12730" t="s">
        <v>19</v>
      </c>
      <c r="B12730" t="s">
        <v>32</v>
      </c>
      <c r="C12730" t="str">
        <f t="shared" si="398"/>
        <v>No cumple</v>
      </c>
      <c r="D12730">
        <v>9937</v>
      </c>
      <c r="E12730" t="s">
        <v>10</v>
      </c>
      <c r="F12730">
        <v>0</v>
      </c>
      <c r="G12730">
        <v>15</v>
      </c>
      <c r="H12730">
        <f t="shared" si="397"/>
        <v>-15</v>
      </c>
    </row>
    <row r="12731" spans="1:8" x14ac:dyDescent="0.2">
      <c r="A12731" t="s">
        <v>18</v>
      </c>
      <c r="B12731" t="s">
        <v>32</v>
      </c>
      <c r="C12731" t="str">
        <f t="shared" si="398"/>
        <v>No cumple</v>
      </c>
      <c r="D12731">
        <v>3242</v>
      </c>
      <c r="E12731" t="s">
        <v>11</v>
      </c>
      <c r="F12731">
        <v>0</v>
      </c>
      <c r="G12731">
        <v>15</v>
      </c>
      <c r="H12731">
        <f t="shared" si="397"/>
        <v>-15</v>
      </c>
    </row>
    <row r="12732" spans="1:8" x14ac:dyDescent="0.2">
      <c r="A12732" t="s">
        <v>18</v>
      </c>
      <c r="B12732" t="s">
        <v>32</v>
      </c>
      <c r="C12732" t="str">
        <f t="shared" si="398"/>
        <v>No cumple</v>
      </c>
      <c r="D12732">
        <v>474</v>
      </c>
      <c r="E12732" t="s">
        <v>11</v>
      </c>
      <c r="F12732">
        <v>0</v>
      </c>
      <c r="G12732">
        <v>15</v>
      </c>
      <c r="H12732">
        <f t="shared" si="397"/>
        <v>-15</v>
      </c>
    </row>
    <row r="12733" spans="1:8" x14ac:dyDescent="0.2">
      <c r="A12733" t="s">
        <v>18</v>
      </c>
      <c r="B12733" t="s">
        <v>32</v>
      </c>
      <c r="C12733" t="str">
        <f t="shared" si="398"/>
        <v>No cumple</v>
      </c>
      <c r="D12733">
        <v>4049</v>
      </c>
      <c r="E12733" t="s">
        <v>11</v>
      </c>
      <c r="F12733">
        <v>0</v>
      </c>
      <c r="G12733">
        <v>15</v>
      </c>
      <c r="H12733">
        <f t="shared" si="397"/>
        <v>-15</v>
      </c>
    </row>
    <row r="12734" spans="1:8" x14ac:dyDescent="0.2">
      <c r="A12734" t="s">
        <v>18</v>
      </c>
      <c r="B12734" t="s">
        <v>32</v>
      </c>
      <c r="C12734" t="str">
        <f t="shared" si="398"/>
        <v>No cumple</v>
      </c>
      <c r="D12734">
        <v>4050</v>
      </c>
      <c r="E12734" t="s">
        <v>11</v>
      </c>
      <c r="F12734">
        <v>0</v>
      </c>
      <c r="G12734">
        <v>15</v>
      </c>
      <c r="H12734">
        <f t="shared" si="397"/>
        <v>-15</v>
      </c>
    </row>
    <row r="12735" spans="1:8" x14ac:dyDescent="0.2">
      <c r="A12735" t="s">
        <v>7</v>
      </c>
      <c r="B12735" t="s">
        <v>32</v>
      </c>
      <c r="C12735" t="str">
        <f t="shared" si="398"/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si="397"/>
        <v>8</v>
      </c>
    </row>
    <row r="12736" spans="1:8" x14ac:dyDescent="0.2">
      <c r="A12736" t="s">
        <v>7</v>
      </c>
      <c r="B12736" t="s">
        <v>32</v>
      </c>
      <c r="C12736" t="str">
        <f t="shared" si="398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397"/>
        <v>8</v>
      </c>
    </row>
    <row r="12737" spans="1:8" x14ac:dyDescent="0.2">
      <c r="A12737" t="s">
        <v>7</v>
      </c>
      <c r="B12737" t="s">
        <v>32</v>
      </c>
      <c r="C12737" t="str">
        <f t="shared" si="398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397"/>
        <v>8</v>
      </c>
    </row>
    <row r="12738" spans="1:8" x14ac:dyDescent="0.2">
      <c r="A12738" t="s">
        <v>7</v>
      </c>
      <c r="B12738" t="s">
        <v>32</v>
      </c>
      <c r="C12738" t="str">
        <f t="shared" si="398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397"/>
        <v>7</v>
      </c>
    </row>
    <row r="12739" spans="1:8" x14ac:dyDescent="0.2">
      <c r="A12739" t="s">
        <v>7</v>
      </c>
      <c r="B12739" t="s">
        <v>32</v>
      </c>
      <c r="C12739" t="str">
        <f t="shared" si="398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ref="H12739:H12802" si="399">F12739-G12739</f>
        <v>7</v>
      </c>
    </row>
    <row r="12740" spans="1:8" x14ac:dyDescent="0.2">
      <c r="A12740" t="s">
        <v>7</v>
      </c>
      <c r="B12740" t="s">
        <v>32</v>
      </c>
      <c r="C12740" t="str">
        <f t="shared" si="398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399"/>
        <v>7</v>
      </c>
    </row>
    <row r="12741" spans="1:8" x14ac:dyDescent="0.2">
      <c r="A12741" t="s">
        <v>7</v>
      </c>
      <c r="B12741" t="s">
        <v>32</v>
      </c>
      <c r="C12741" t="str">
        <f t="shared" ref="C12741:C12804" si="400">IF(H12741&gt;=0,"Cumple","No cumple")</f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399"/>
        <v>6</v>
      </c>
    </row>
    <row r="12742" spans="1:8" x14ac:dyDescent="0.2">
      <c r="A12742" t="s">
        <v>7</v>
      </c>
      <c r="B12742" t="s">
        <v>32</v>
      </c>
      <c r="C12742" t="str">
        <f t="shared" si="400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399"/>
        <v>6</v>
      </c>
    </row>
    <row r="12743" spans="1:8" x14ac:dyDescent="0.2">
      <c r="A12743" t="s">
        <v>7</v>
      </c>
      <c r="B12743" t="s">
        <v>32</v>
      </c>
      <c r="C12743" t="str">
        <f t="shared" si="400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399"/>
        <v>6</v>
      </c>
    </row>
    <row r="12744" spans="1:8" x14ac:dyDescent="0.2">
      <c r="A12744" t="s">
        <v>7</v>
      </c>
      <c r="B12744" t="s">
        <v>32</v>
      </c>
      <c r="C12744" t="str">
        <f t="shared" si="400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399"/>
        <v>6</v>
      </c>
    </row>
    <row r="12745" spans="1:8" x14ac:dyDescent="0.2">
      <c r="A12745" t="s">
        <v>7</v>
      </c>
      <c r="B12745" t="s">
        <v>32</v>
      </c>
      <c r="C12745" t="str">
        <f t="shared" si="400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399"/>
        <v>6</v>
      </c>
    </row>
    <row r="12746" spans="1:8" x14ac:dyDescent="0.2">
      <c r="A12746" t="s">
        <v>7</v>
      </c>
      <c r="B12746" t="s">
        <v>32</v>
      </c>
      <c r="C12746" t="str">
        <f t="shared" si="400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399"/>
        <v>5</v>
      </c>
    </row>
    <row r="12747" spans="1:8" x14ac:dyDescent="0.2">
      <c r="A12747" t="s">
        <v>7</v>
      </c>
      <c r="B12747" t="s">
        <v>32</v>
      </c>
      <c r="C12747" t="str">
        <f t="shared" si="400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399"/>
        <v>5</v>
      </c>
    </row>
    <row r="12748" spans="1:8" x14ac:dyDescent="0.2">
      <c r="A12748" t="s">
        <v>7</v>
      </c>
      <c r="B12748" t="s">
        <v>32</v>
      </c>
      <c r="C12748" t="str">
        <f t="shared" si="400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399"/>
        <v>5</v>
      </c>
    </row>
    <row r="12749" spans="1:8" x14ac:dyDescent="0.2">
      <c r="A12749" t="s">
        <v>7</v>
      </c>
      <c r="B12749" t="s">
        <v>32</v>
      </c>
      <c r="C12749" t="str">
        <f t="shared" si="400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399"/>
        <v>5</v>
      </c>
    </row>
    <row r="12750" spans="1:8" x14ac:dyDescent="0.2">
      <c r="A12750" t="s">
        <v>7</v>
      </c>
      <c r="B12750" t="s">
        <v>32</v>
      </c>
      <c r="C12750" t="str">
        <f t="shared" si="400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399"/>
        <v>5</v>
      </c>
    </row>
    <row r="12751" spans="1:8" x14ac:dyDescent="0.2">
      <c r="A12751" t="s">
        <v>7</v>
      </c>
      <c r="B12751" t="s">
        <v>32</v>
      </c>
      <c r="C12751" t="str">
        <f t="shared" si="400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399"/>
        <v>5</v>
      </c>
    </row>
    <row r="12752" spans="1:8" x14ac:dyDescent="0.2">
      <c r="A12752" t="s">
        <v>7</v>
      </c>
      <c r="B12752" t="s">
        <v>32</v>
      </c>
      <c r="C12752" t="str">
        <f t="shared" si="400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399"/>
        <v>5</v>
      </c>
    </row>
    <row r="12753" spans="1:8" x14ac:dyDescent="0.2">
      <c r="A12753" t="s">
        <v>7</v>
      </c>
      <c r="B12753" t="s">
        <v>32</v>
      </c>
      <c r="C12753" t="str">
        <f t="shared" si="400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399"/>
        <v>4</v>
      </c>
    </row>
    <row r="12754" spans="1:8" x14ac:dyDescent="0.2">
      <c r="A12754" t="s">
        <v>7</v>
      </c>
      <c r="B12754" t="s">
        <v>32</v>
      </c>
      <c r="C12754" t="str">
        <f t="shared" si="400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399"/>
        <v>4</v>
      </c>
    </row>
    <row r="12755" spans="1:8" x14ac:dyDescent="0.2">
      <c r="A12755" t="s">
        <v>7</v>
      </c>
      <c r="B12755" t="s">
        <v>32</v>
      </c>
      <c r="C12755" t="str">
        <f t="shared" si="400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399"/>
        <v>4</v>
      </c>
    </row>
    <row r="12756" spans="1:8" x14ac:dyDescent="0.2">
      <c r="A12756" t="s">
        <v>7</v>
      </c>
      <c r="B12756" t="s">
        <v>32</v>
      </c>
      <c r="C12756" t="str">
        <f t="shared" si="400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399"/>
        <v>4</v>
      </c>
    </row>
    <row r="12757" spans="1:8" x14ac:dyDescent="0.2">
      <c r="A12757" t="s">
        <v>7</v>
      </c>
      <c r="B12757" t="s">
        <v>32</v>
      </c>
      <c r="C12757" t="str">
        <f t="shared" si="400"/>
        <v>Cumple</v>
      </c>
      <c r="D12757">
        <v>2976</v>
      </c>
      <c r="E12757" t="s">
        <v>13</v>
      </c>
      <c r="F12757">
        <v>10</v>
      </c>
      <c r="G12757">
        <v>3</v>
      </c>
      <c r="H12757">
        <f t="shared" si="399"/>
        <v>7</v>
      </c>
    </row>
    <row r="12758" spans="1:8" x14ac:dyDescent="0.2">
      <c r="A12758" t="s">
        <v>7</v>
      </c>
      <c r="B12758" t="s">
        <v>32</v>
      </c>
      <c r="C12758" t="str">
        <f t="shared" si="400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399"/>
        <v>4</v>
      </c>
    </row>
    <row r="12759" spans="1:8" x14ac:dyDescent="0.2">
      <c r="A12759" t="s">
        <v>7</v>
      </c>
      <c r="B12759" t="s">
        <v>32</v>
      </c>
      <c r="C12759" t="str">
        <f t="shared" si="400"/>
        <v>Cumple</v>
      </c>
      <c r="D12759">
        <v>3666</v>
      </c>
      <c r="E12759" t="s">
        <v>13</v>
      </c>
      <c r="F12759">
        <v>10</v>
      </c>
      <c r="G12759">
        <v>3</v>
      </c>
      <c r="H12759">
        <f t="shared" si="399"/>
        <v>7</v>
      </c>
    </row>
    <row r="12760" spans="1:8" x14ac:dyDescent="0.2">
      <c r="A12760" t="s">
        <v>7</v>
      </c>
      <c r="B12760" t="s">
        <v>32</v>
      </c>
      <c r="C12760" t="str">
        <f t="shared" si="400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399"/>
        <v>4</v>
      </c>
    </row>
    <row r="12761" spans="1:8" x14ac:dyDescent="0.2">
      <c r="A12761" t="s">
        <v>7</v>
      </c>
      <c r="B12761" t="s">
        <v>32</v>
      </c>
      <c r="C12761" t="str">
        <f t="shared" si="400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399"/>
        <v>4</v>
      </c>
    </row>
    <row r="12762" spans="1:8" x14ac:dyDescent="0.2">
      <c r="A12762" t="s">
        <v>7</v>
      </c>
      <c r="B12762" t="s">
        <v>32</v>
      </c>
      <c r="C12762" t="str">
        <f t="shared" si="400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399"/>
        <v>4</v>
      </c>
    </row>
    <row r="12763" spans="1:8" x14ac:dyDescent="0.2">
      <c r="A12763" t="s">
        <v>7</v>
      </c>
      <c r="B12763" t="s">
        <v>32</v>
      </c>
      <c r="C12763" t="str">
        <f t="shared" si="400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399"/>
        <v>4</v>
      </c>
    </row>
    <row r="12764" spans="1:8" x14ac:dyDescent="0.2">
      <c r="A12764" t="s">
        <v>7</v>
      </c>
      <c r="B12764" t="s">
        <v>32</v>
      </c>
      <c r="C12764" t="str">
        <f t="shared" si="400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399"/>
        <v>4</v>
      </c>
    </row>
    <row r="12765" spans="1:8" x14ac:dyDescent="0.2">
      <c r="A12765" t="s">
        <v>7</v>
      </c>
      <c r="B12765" t="s">
        <v>32</v>
      </c>
      <c r="C12765" t="str">
        <f t="shared" si="400"/>
        <v>Cumple</v>
      </c>
      <c r="D12765">
        <v>3939</v>
      </c>
      <c r="E12765" t="s">
        <v>13</v>
      </c>
      <c r="F12765">
        <v>10</v>
      </c>
      <c r="G12765">
        <v>3</v>
      </c>
      <c r="H12765">
        <f t="shared" si="399"/>
        <v>7</v>
      </c>
    </row>
    <row r="12766" spans="1:8" x14ac:dyDescent="0.2">
      <c r="A12766" t="s">
        <v>7</v>
      </c>
      <c r="B12766" t="s">
        <v>32</v>
      </c>
      <c r="C12766" t="str">
        <f t="shared" si="400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399"/>
        <v>4</v>
      </c>
    </row>
    <row r="12767" spans="1:8" x14ac:dyDescent="0.2">
      <c r="A12767" t="s">
        <v>7</v>
      </c>
      <c r="B12767" t="s">
        <v>32</v>
      </c>
      <c r="C12767" t="str">
        <f t="shared" si="400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399"/>
        <v>3</v>
      </c>
    </row>
    <row r="12768" spans="1:8" x14ac:dyDescent="0.2">
      <c r="A12768" t="s">
        <v>7</v>
      </c>
      <c r="B12768" t="s">
        <v>32</v>
      </c>
      <c r="C12768" t="str">
        <f t="shared" si="400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399"/>
        <v>3</v>
      </c>
    </row>
    <row r="12769" spans="1:8" x14ac:dyDescent="0.2">
      <c r="A12769" t="s">
        <v>7</v>
      </c>
      <c r="B12769" t="s">
        <v>32</v>
      </c>
      <c r="C12769" t="str">
        <f t="shared" si="400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399"/>
        <v>3</v>
      </c>
    </row>
    <row r="12770" spans="1:8" x14ac:dyDescent="0.2">
      <c r="A12770" t="s">
        <v>7</v>
      </c>
      <c r="B12770" t="s">
        <v>32</v>
      </c>
      <c r="C12770" t="str">
        <f t="shared" si="400"/>
        <v>Cumple</v>
      </c>
      <c r="D12770">
        <v>1524</v>
      </c>
      <c r="E12770" t="s">
        <v>13</v>
      </c>
      <c r="F12770">
        <v>9</v>
      </c>
      <c r="G12770">
        <v>3</v>
      </c>
      <c r="H12770">
        <f t="shared" si="399"/>
        <v>6</v>
      </c>
    </row>
    <row r="12771" spans="1:8" x14ac:dyDescent="0.2">
      <c r="A12771" t="s">
        <v>7</v>
      </c>
      <c r="B12771" t="s">
        <v>32</v>
      </c>
      <c r="C12771" t="str">
        <f t="shared" si="400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399"/>
        <v>3</v>
      </c>
    </row>
    <row r="12772" spans="1:8" x14ac:dyDescent="0.2">
      <c r="A12772" t="s">
        <v>7</v>
      </c>
      <c r="B12772" t="s">
        <v>32</v>
      </c>
      <c r="C12772" t="str">
        <f t="shared" si="400"/>
        <v>Cumple</v>
      </c>
      <c r="D12772">
        <v>1624</v>
      </c>
      <c r="E12772" t="s">
        <v>13</v>
      </c>
      <c r="F12772">
        <v>9</v>
      </c>
      <c r="G12772">
        <v>3</v>
      </c>
      <c r="H12772">
        <f t="shared" si="399"/>
        <v>6</v>
      </c>
    </row>
    <row r="12773" spans="1:8" x14ac:dyDescent="0.2">
      <c r="A12773" t="s">
        <v>7</v>
      </c>
      <c r="B12773" t="s">
        <v>32</v>
      </c>
      <c r="C12773" t="str">
        <f t="shared" si="400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399"/>
        <v>3</v>
      </c>
    </row>
    <row r="12774" spans="1:8" x14ac:dyDescent="0.2">
      <c r="A12774" t="s">
        <v>18</v>
      </c>
      <c r="B12774" t="s">
        <v>32</v>
      </c>
      <c r="C12774" t="str">
        <f t="shared" si="400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399"/>
        <v>3</v>
      </c>
    </row>
    <row r="12775" spans="1:8" x14ac:dyDescent="0.2">
      <c r="A12775" t="s">
        <v>7</v>
      </c>
      <c r="B12775" t="s">
        <v>32</v>
      </c>
      <c r="C12775" t="str">
        <f t="shared" si="400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399"/>
        <v>3</v>
      </c>
    </row>
    <row r="12776" spans="1:8" x14ac:dyDescent="0.2">
      <c r="A12776" t="s">
        <v>7</v>
      </c>
      <c r="B12776" t="s">
        <v>32</v>
      </c>
      <c r="C12776" t="str">
        <f t="shared" si="400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399"/>
        <v>3</v>
      </c>
    </row>
    <row r="12777" spans="1:8" x14ac:dyDescent="0.2">
      <c r="A12777" t="s">
        <v>7</v>
      </c>
      <c r="B12777" t="s">
        <v>32</v>
      </c>
      <c r="C12777" t="str">
        <f t="shared" si="400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399"/>
        <v>3</v>
      </c>
    </row>
    <row r="12778" spans="1:8" x14ac:dyDescent="0.2">
      <c r="A12778" t="s">
        <v>7</v>
      </c>
      <c r="B12778" t="s">
        <v>32</v>
      </c>
      <c r="C12778" t="str">
        <f t="shared" si="400"/>
        <v>Cumple</v>
      </c>
      <c r="D12778">
        <v>3840</v>
      </c>
      <c r="E12778" t="s">
        <v>13</v>
      </c>
      <c r="F12778">
        <v>9</v>
      </c>
      <c r="G12778">
        <v>3</v>
      </c>
      <c r="H12778">
        <f t="shared" si="399"/>
        <v>6</v>
      </c>
    </row>
    <row r="12779" spans="1:8" x14ac:dyDescent="0.2">
      <c r="A12779" t="s">
        <v>7</v>
      </c>
      <c r="B12779" t="s">
        <v>32</v>
      </c>
      <c r="C12779" t="str">
        <f t="shared" si="400"/>
        <v>Cumple</v>
      </c>
      <c r="D12779">
        <v>3927</v>
      </c>
      <c r="E12779" t="s">
        <v>13</v>
      </c>
      <c r="F12779">
        <v>9</v>
      </c>
      <c r="G12779">
        <v>3</v>
      </c>
      <c r="H12779">
        <f t="shared" si="399"/>
        <v>6</v>
      </c>
    </row>
    <row r="12780" spans="1:8" x14ac:dyDescent="0.2">
      <c r="A12780" t="s">
        <v>7</v>
      </c>
      <c r="B12780" t="s">
        <v>32</v>
      </c>
      <c r="C12780" t="str">
        <f t="shared" si="400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399"/>
        <v>3</v>
      </c>
    </row>
    <row r="12781" spans="1:8" x14ac:dyDescent="0.2">
      <c r="A12781" t="s">
        <v>7</v>
      </c>
      <c r="B12781" t="s">
        <v>32</v>
      </c>
      <c r="C12781" t="str">
        <f t="shared" si="400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399"/>
        <v>3</v>
      </c>
    </row>
    <row r="12782" spans="1:8" x14ac:dyDescent="0.2">
      <c r="A12782" t="s">
        <v>7</v>
      </c>
      <c r="B12782" t="s">
        <v>32</v>
      </c>
      <c r="C12782" t="str">
        <f t="shared" si="400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399"/>
        <v>6</v>
      </c>
    </row>
    <row r="12783" spans="1:8" x14ac:dyDescent="0.2">
      <c r="A12783" t="s">
        <v>7</v>
      </c>
      <c r="B12783" t="s">
        <v>32</v>
      </c>
      <c r="C12783" t="str">
        <f t="shared" si="400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399"/>
        <v>3</v>
      </c>
    </row>
    <row r="12784" spans="1:8" x14ac:dyDescent="0.2">
      <c r="A12784" t="s">
        <v>7</v>
      </c>
      <c r="B12784" t="s">
        <v>32</v>
      </c>
      <c r="C12784" t="str">
        <f t="shared" si="400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399"/>
        <v>3</v>
      </c>
    </row>
    <row r="12785" spans="1:8" x14ac:dyDescent="0.2">
      <c r="A12785" t="s">
        <v>7</v>
      </c>
      <c r="B12785" t="s">
        <v>32</v>
      </c>
      <c r="C12785" t="str">
        <f t="shared" si="400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399"/>
        <v>3</v>
      </c>
    </row>
    <row r="12786" spans="1:8" x14ac:dyDescent="0.2">
      <c r="A12786" t="s">
        <v>7</v>
      </c>
      <c r="B12786" t="s">
        <v>32</v>
      </c>
      <c r="C12786" t="str">
        <f t="shared" si="400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399"/>
        <v>2</v>
      </c>
    </row>
    <row r="12787" spans="1:8" x14ac:dyDescent="0.2">
      <c r="A12787" t="s">
        <v>7</v>
      </c>
      <c r="B12787" t="s">
        <v>32</v>
      </c>
      <c r="C12787" t="str">
        <f t="shared" si="400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399"/>
        <v>2</v>
      </c>
    </row>
    <row r="12788" spans="1:8" x14ac:dyDescent="0.2">
      <c r="A12788" t="s">
        <v>7</v>
      </c>
      <c r="B12788" t="s">
        <v>32</v>
      </c>
      <c r="C12788" t="str">
        <f t="shared" si="400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399"/>
        <v>2</v>
      </c>
    </row>
    <row r="12789" spans="1:8" x14ac:dyDescent="0.2">
      <c r="A12789" t="s">
        <v>7</v>
      </c>
      <c r="B12789" t="s">
        <v>32</v>
      </c>
      <c r="C12789" t="str">
        <f t="shared" si="400"/>
        <v>Cumple</v>
      </c>
      <c r="D12789">
        <v>760</v>
      </c>
      <c r="E12789" t="s">
        <v>13</v>
      </c>
      <c r="F12789">
        <v>8</v>
      </c>
      <c r="G12789">
        <v>3</v>
      </c>
      <c r="H12789">
        <f t="shared" si="399"/>
        <v>5</v>
      </c>
    </row>
    <row r="12790" spans="1:8" x14ac:dyDescent="0.2">
      <c r="A12790" t="s">
        <v>7</v>
      </c>
      <c r="B12790" t="s">
        <v>32</v>
      </c>
      <c r="C12790" t="str">
        <f t="shared" si="400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399"/>
        <v>2</v>
      </c>
    </row>
    <row r="12791" spans="1:8" x14ac:dyDescent="0.2">
      <c r="A12791" t="s">
        <v>7</v>
      </c>
      <c r="B12791" t="s">
        <v>32</v>
      </c>
      <c r="C12791" t="str">
        <f t="shared" si="400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399"/>
        <v>2</v>
      </c>
    </row>
    <row r="12792" spans="1:8" x14ac:dyDescent="0.2">
      <c r="A12792" t="s">
        <v>7</v>
      </c>
      <c r="B12792" t="s">
        <v>32</v>
      </c>
      <c r="C12792" t="str">
        <f t="shared" si="400"/>
        <v>Cumple</v>
      </c>
      <c r="D12792">
        <v>988</v>
      </c>
      <c r="E12792" t="s">
        <v>13</v>
      </c>
      <c r="F12792">
        <v>8</v>
      </c>
      <c r="G12792">
        <v>3</v>
      </c>
      <c r="H12792">
        <f t="shared" si="399"/>
        <v>5</v>
      </c>
    </row>
    <row r="12793" spans="1:8" x14ac:dyDescent="0.2">
      <c r="A12793" t="s">
        <v>7</v>
      </c>
      <c r="B12793" t="s">
        <v>32</v>
      </c>
      <c r="C12793" t="str">
        <f t="shared" si="400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399"/>
        <v>2</v>
      </c>
    </row>
    <row r="12794" spans="1:8" x14ac:dyDescent="0.2">
      <c r="A12794" t="s">
        <v>7</v>
      </c>
      <c r="B12794" t="s">
        <v>32</v>
      </c>
      <c r="C12794" t="str">
        <f t="shared" si="400"/>
        <v>Cumple</v>
      </c>
      <c r="D12794">
        <v>1466</v>
      </c>
      <c r="E12794" t="s">
        <v>13</v>
      </c>
      <c r="F12794">
        <v>8</v>
      </c>
      <c r="G12794">
        <v>3</v>
      </c>
      <c r="H12794">
        <f t="shared" si="399"/>
        <v>5</v>
      </c>
    </row>
    <row r="12795" spans="1:8" x14ac:dyDescent="0.2">
      <c r="A12795" t="s">
        <v>7</v>
      </c>
      <c r="B12795" t="s">
        <v>32</v>
      </c>
      <c r="C12795" t="str">
        <f t="shared" si="400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399"/>
        <v>2</v>
      </c>
    </row>
    <row r="12796" spans="1:8" x14ac:dyDescent="0.2">
      <c r="A12796" t="s">
        <v>7</v>
      </c>
      <c r="B12796" t="s">
        <v>32</v>
      </c>
      <c r="C12796" t="str">
        <f t="shared" si="400"/>
        <v>Cumple</v>
      </c>
      <c r="D12796">
        <v>3693</v>
      </c>
      <c r="E12796" t="s">
        <v>13</v>
      </c>
      <c r="F12796">
        <v>8</v>
      </c>
      <c r="G12796">
        <v>3</v>
      </c>
      <c r="H12796">
        <f t="shared" si="399"/>
        <v>5</v>
      </c>
    </row>
    <row r="12797" spans="1:8" x14ac:dyDescent="0.2">
      <c r="A12797" t="s">
        <v>7</v>
      </c>
      <c r="B12797" t="s">
        <v>32</v>
      </c>
      <c r="C12797" t="str">
        <f t="shared" si="400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399"/>
        <v>2</v>
      </c>
    </row>
    <row r="12798" spans="1:8" x14ac:dyDescent="0.2">
      <c r="A12798" t="s">
        <v>7</v>
      </c>
      <c r="B12798" t="s">
        <v>32</v>
      </c>
      <c r="C12798" t="str">
        <f t="shared" si="400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399"/>
        <v>2</v>
      </c>
    </row>
    <row r="12799" spans="1:8" x14ac:dyDescent="0.2">
      <c r="A12799" t="s">
        <v>7</v>
      </c>
      <c r="B12799" t="s">
        <v>32</v>
      </c>
      <c r="C12799" t="str">
        <f t="shared" si="400"/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si="399"/>
        <v>2</v>
      </c>
    </row>
    <row r="12800" spans="1:8" x14ac:dyDescent="0.2">
      <c r="A12800" t="s">
        <v>7</v>
      </c>
      <c r="B12800" t="s">
        <v>32</v>
      </c>
      <c r="C12800" t="str">
        <f t="shared" si="400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399"/>
        <v>2</v>
      </c>
    </row>
    <row r="12801" spans="1:8" x14ac:dyDescent="0.2">
      <c r="A12801" t="s">
        <v>7</v>
      </c>
      <c r="B12801" t="s">
        <v>32</v>
      </c>
      <c r="C12801" t="str">
        <f t="shared" si="400"/>
        <v>Cumple</v>
      </c>
      <c r="D12801">
        <v>3833</v>
      </c>
      <c r="E12801" t="s">
        <v>13</v>
      </c>
      <c r="F12801">
        <v>8</v>
      </c>
      <c r="G12801">
        <v>3</v>
      </c>
      <c r="H12801">
        <f t="shared" si="399"/>
        <v>5</v>
      </c>
    </row>
    <row r="12802" spans="1:8" x14ac:dyDescent="0.2">
      <c r="A12802" t="s">
        <v>7</v>
      </c>
      <c r="B12802" t="s">
        <v>32</v>
      </c>
      <c r="C12802" t="str">
        <f t="shared" si="400"/>
        <v>Cumple</v>
      </c>
      <c r="D12802">
        <v>3870</v>
      </c>
      <c r="E12802" t="s">
        <v>13</v>
      </c>
      <c r="F12802">
        <v>8</v>
      </c>
      <c r="G12802">
        <v>3</v>
      </c>
      <c r="H12802">
        <f t="shared" si="399"/>
        <v>5</v>
      </c>
    </row>
    <row r="12803" spans="1:8" x14ac:dyDescent="0.2">
      <c r="A12803" t="s">
        <v>7</v>
      </c>
      <c r="B12803" t="s">
        <v>32</v>
      </c>
      <c r="C12803" t="str">
        <f t="shared" si="400"/>
        <v>Cumple</v>
      </c>
      <c r="D12803">
        <v>3926</v>
      </c>
      <c r="E12803" t="s">
        <v>13</v>
      </c>
      <c r="F12803">
        <v>8</v>
      </c>
      <c r="G12803">
        <v>3</v>
      </c>
      <c r="H12803">
        <f t="shared" ref="H12803:H12866" si="401">F12803-G12803</f>
        <v>5</v>
      </c>
    </row>
    <row r="12804" spans="1:8" x14ac:dyDescent="0.2">
      <c r="A12804" t="s">
        <v>7</v>
      </c>
      <c r="B12804" t="s">
        <v>32</v>
      </c>
      <c r="C12804" t="str">
        <f t="shared" si="400"/>
        <v>Cumple</v>
      </c>
      <c r="D12804">
        <v>3956</v>
      </c>
      <c r="E12804" t="s">
        <v>13</v>
      </c>
      <c r="F12804">
        <v>8</v>
      </c>
      <c r="G12804">
        <v>3</v>
      </c>
      <c r="H12804">
        <f t="shared" si="401"/>
        <v>5</v>
      </c>
    </row>
    <row r="12805" spans="1:8" x14ac:dyDescent="0.2">
      <c r="A12805" t="s">
        <v>7</v>
      </c>
      <c r="B12805" t="s">
        <v>32</v>
      </c>
      <c r="C12805" t="str">
        <f t="shared" ref="C12805:C12868" si="402">IF(H12805&gt;=0,"Cumple","No cumple")</f>
        <v>Cumple</v>
      </c>
      <c r="D12805">
        <v>9720</v>
      </c>
      <c r="E12805" t="s">
        <v>13</v>
      </c>
      <c r="F12805">
        <v>8</v>
      </c>
      <c r="G12805">
        <v>3</v>
      </c>
      <c r="H12805">
        <f t="shared" si="401"/>
        <v>5</v>
      </c>
    </row>
    <row r="12806" spans="1:8" x14ac:dyDescent="0.2">
      <c r="A12806" t="s">
        <v>7</v>
      </c>
      <c r="B12806" t="s">
        <v>32</v>
      </c>
      <c r="C12806" t="str">
        <f t="shared" si="402"/>
        <v>Cumple</v>
      </c>
      <c r="D12806">
        <v>9743</v>
      </c>
      <c r="E12806" t="s">
        <v>13</v>
      </c>
      <c r="F12806">
        <v>8</v>
      </c>
      <c r="G12806">
        <v>3</v>
      </c>
      <c r="H12806">
        <f t="shared" si="401"/>
        <v>5</v>
      </c>
    </row>
    <row r="12807" spans="1:8" x14ac:dyDescent="0.2">
      <c r="A12807" t="s">
        <v>7</v>
      </c>
      <c r="B12807" t="s">
        <v>32</v>
      </c>
      <c r="C12807" t="str">
        <f t="shared" si="402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01"/>
        <v>1</v>
      </c>
    </row>
    <row r="12808" spans="1:8" x14ac:dyDescent="0.2">
      <c r="A12808" t="s">
        <v>7</v>
      </c>
      <c r="B12808" t="s">
        <v>32</v>
      </c>
      <c r="C12808" t="str">
        <f t="shared" si="402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01"/>
        <v>1</v>
      </c>
    </row>
    <row r="12809" spans="1:8" x14ac:dyDescent="0.2">
      <c r="A12809" t="s">
        <v>7</v>
      </c>
      <c r="B12809" t="s">
        <v>32</v>
      </c>
      <c r="C12809" t="str">
        <f t="shared" si="402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01"/>
        <v>1</v>
      </c>
    </row>
    <row r="12810" spans="1:8" x14ac:dyDescent="0.2">
      <c r="A12810" t="s">
        <v>7</v>
      </c>
      <c r="B12810" t="s">
        <v>32</v>
      </c>
      <c r="C12810" t="str">
        <f t="shared" si="402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01"/>
        <v>1</v>
      </c>
    </row>
    <row r="12811" spans="1:8" x14ac:dyDescent="0.2">
      <c r="A12811" t="s">
        <v>7</v>
      </c>
      <c r="B12811" t="s">
        <v>32</v>
      </c>
      <c r="C12811" t="str">
        <f t="shared" si="402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01"/>
        <v>1</v>
      </c>
    </row>
    <row r="12812" spans="1:8" x14ac:dyDescent="0.2">
      <c r="A12812" t="s">
        <v>7</v>
      </c>
      <c r="B12812" t="s">
        <v>32</v>
      </c>
      <c r="C12812" t="str">
        <f t="shared" si="402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01"/>
        <v>1</v>
      </c>
    </row>
    <row r="12813" spans="1:8" x14ac:dyDescent="0.2">
      <c r="A12813" t="s">
        <v>7</v>
      </c>
      <c r="B12813" t="s">
        <v>32</v>
      </c>
      <c r="C12813" t="str">
        <f t="shared" si="402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01"/>
        <v>1</v>
      </c>
    </row>
    <row r="12814" spans="1:8" x14ac:dyDescent="0.2">
      <c r="A12814" t="s">
        <v>7</v>
      </c>
      <c r="B12814" t="s">
        <v>32</v>
      </c>
      <c r="C12814" t="str">
        <f t="shared" si="402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01"/>
        <v>1</v>
      </c>
    </row>
    <row r="12815" spans="1:8" x14ac:dyDescent="0.2">
      <c r="A12815" t="s">
        <v>7</v>
      </c>
      <c r="B12815" t="s">
        <v>32</v>
      </c>
      <c r="C12815" t="str">
        <f t="shared" si="402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01"/>
        <v>1</v>
      </c>
    </row>
    <row r="12816" spans="1:8" x14ac:dyDescent="0.2">
      <c r="A12816" t="s">
        <v>7</v>
      </c>
      <c r="B12816" t="s">
        <v>32</v>
      </c>
      <c r="C12816" t="str">
        <f t="shared" si="402"/>
        <v>Cumple</v>
      </c>
      <c r="D12816">
        <v>1226</v>
      </c>
      <c r="E12816" t="s">
        <v>13</v>
      </c>
      <c r="F12816">
        <v>7</v>
      </c>
      <c r="G12816">
        <v>3</v>
      </c>
      <c r="H12816">
        <f t="shared" si="401"/>
        <v>4</v>
      </c>
    </row>
    <row r="12817" spans="1:8" x14ac:dyDescent="0.2">
      <c r="A12817" t="s">
        <v>7</v>
      </c>
      <c r="B12817" t="s">
        <v>32</v>
      </c>
      <c r="C12817" t="str">
        <f t="shared" si="402"/>
        <v>Cumple</v>
      </c>
      <c r="D12817">
        <v>1601</v>
      </c>
      <c r="E12817" t="s">
        <v>13</v>
      </c>
      <c r="F12817">
        <v>7</v>
      </c>
      <c r="G12817">
        <v>3</v>
      </c>
      <c r="H12817">
        <f t="shared" si="401"/>
        <v>4</v>
      </c>
    </row>
    <row r="12818" spans="1:8" x14ac:dyDescent="0.2">
      <c r="A12818" t="s">
        <v>7</v>
      </c>
      <c r="B12818" t="s">
        <v>32</v>
      </c>
      <c r="C12818" t="str">
        <f t="shared" si="402"/>
        <v>Cumple</v>
      </c>
      <c r="D12818">
        <v>1812</v>
      </c>
      <c r="E12818" t="s">
        <v>13</v>
      </c>
      <c r="F12818">
        <v>7</v>
      </c>
      <c r="G12818">
        <v>3</v>
      </c>
      <c r="H12818">
        <f t="shared" si="401"/>
        <v>4</v>
      </c>
    </row>
    <row r="12819" spans="1:8" x14ac:dyDescent="0.2">
      <c r="A12819" t="s">
        <v>7</v>
      </c>
      <c r="B12819" t="s">
        <v>32</v>
      </c>
      <c r="C12819" t="str">
        <f t="shared" si="402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01"/>
        <v>1</v>
      </c>
    </row>
    <row r="12820" spans="1:8" x14ac:dyDescent="0.2">
      <c r="A12820" t="s">
        <v>7</v>
      </c>
      <c r="B12820" t="s">
        <v>32</v>
      </c>
      <c r="C12820" t="str">
        <f t="shared" si="402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01"/>
        <v>1</v>
      </c>
    </row>
    <row r="12821" spans="1:8" x14ac:dyDescent="0.2">
      <c r="A12821" t="s">
        <v>7</v>
      </c>
      <c r="B12821" t="s">
        <v>32</v>
      </c>
      <c r="C12821" t="str">
        <f t="shared" si="402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01"/>
        <v>1</v>
      </c>
    </row>
    <row r="12822" spans="1:8" x14ac:dyDescent="0.2">
      <c r="A12822" t="s">
        <v>7</v>
      </c>
      <c r="B12822" t="s">
        <v>32</v>
      </c>
      <c r="C12822" t="str">
        <f t="shared" si="402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01"/>
        <v>1</v>
      </c>
    </row>
    <row r="12823" spans="1:8" x14ac:dyDescent="0.2">
      <c r="A12823" t="s">
        <v>7</v>
      </c>
      <c r="B12823" t="s">
        <v>32</v>
      </c>
      <c r="C12823" t="str">
        <f t="shared" si="402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01"/>
        <v>1</v>
      </c>
    </row>
    <row r="12824" spans="1:8" x14ac:dyDescent="0.2">
      <c r="A12824" t="s">
        <v>7</v>
      </c>
      <c r="B12824" t="s">
        <v>32</v>
      </c>
      <c r="C12824" t="str">
        <f t="shared" si="402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01"/>
        <v>1</v>
      </c>
    </row>
    <row r="12825" spans="1:8" x14ac:dyDescent="0.2">
      <c r="A12825" t="s">
        <v>7</v>
      </c>
      <c r="B12825" t="s">
        <v>32</v>
      </c>
      <c r="C12825" t="str">
        <f t="shared" si="402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01"/>
        <v>1</v>
      </c>
    </row>
    <row r="12826" spans="1:8" x14ac:dyDescent="0.2">
      <c r="A12826" t="s">
        <v>7</v>
      </c>
      <c r="B12826" t="s">
        <v>32</v>
      </c>
      <c r="C12826" t="str">
        <f t="shared" si="402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01"/>
        <v>1</v>
      </c>
    </row>
    <row r="12827" spans="1:8" x14ac:dyDescent="0.2">
      <c r="A12827" t="s">
        <v>7</v>
      </c>
      <c r="B12827" t="s">
        <v>32</v>
      </c>
      <c r="C12827" t="str">
        <f t="shared" si="402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01"/>
        <v>1</v>
      </c>
    </row>
    <row r="12828" spans="1:8" x14ac:dyDescent="0.2">
      <c r="A12828" t="s">
        <v>7</v>
      </c>
      <c r="B12828" t="s">
        <v>32</v>
      </c>
      <c r="C12828" t="str">
        <f t="shared" si="402"/>
        <v>Cumple</v>
      </c>
      <c r="D12828">
        <v>3863</v>
      </c>
      <c r="E12828" t="s">
        <v>13</v>
      </c>
      <c r="F12828">
        <v>7</v>
      </c>
      <c r="G12828">
        <v>3</v>
      </c>
      <c r="H12828">
        <f t="shared" si="401"/>
        <v>4</v>
      </c>
    </row>
    <row r="12829" spans="1:8" x14ac:dyDescent="0.2">
      <c r="A12829" t="s">
        <v>7</v>
      </c>
      <c r="B12829" t="s">
        <v>32</v>
      </c>
      <c r="C12829" t="str">
        <f t="shared" si="402"/>
        <v>Cumple</v>
      </c>
      <c r="D12829">
        <v>3866</v>
      </c>
      <c r="E12829" t="s">
        <v>13</v>
      </c>
      <c r="F12829">
        <v>7</v>
      </c>
      <c r="G12829">
        <v>3</v>
      </c>
      <c r="H12829">
        <f t="shared" si="401"/>
        <v>4</v>
      </c>
    </row>
    <row r="12830" spans="1:8" x14ac:dyDescent="0.2">
      <c r="A12830" t="s">
        <v>7</v>
      </c>
      <c r="B12830" t="s">
        <v>32</v>
      </c>
      <c r="C12830" t="str">
        <f t="shared" si="402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01"/>
        <v>1</v>
      </c>
    </row>
    <row r="12831" spans="1:8" x14ac:dyDescent="0.2">
      <c r="A12831" t="s">
        <v>7</v>
      </c>
      <c r="B12831" t="s">
        <v>32</v>
      </c>
      <c r="C12831" t="str">
        <f t="shared" si="402"/>
        <v>Cumple</v>
      </c>
      <c r="D12831">
        <v>9434</v>
      </c>
      <c r="E12831" t="s">
        <v>13</v>
      </c>
      <c r="F12831">
        <v>7</v>
      </c>
      <c r="G12831">
        <v>3</v>
      </c>
      <c r="H12831">
        <f t="shared" si="401"/>
        <v>4</v>
      </c>
    </row>
    <row r="12832" spans="1:8" x14ac:dyDescent="0.2">
      <c r="A12832" t="s">
        <v>7</v>
      </c>
      <c r="B12832" t="s">
        <v>32</v>
      </c>
      <c r="C12832" t="str">
        <f t="shared" si="402"/>
        <v>Cumple</v>
      </c>
      <c r="D12832">
        <v>9938</v>
      </c>
      <c r="E12832" t="s">
        <v>13</v>
      </c>
      <c r="F12832">
        <v>7</v>
      </c>
      <c r="G12832">
        <v>3</v>
      </c>
      <c r="H12832">
        <f t="shared" si="401"/>
        <v>4</v>
      </c>
    </row>
    <row r="12833" spans="1:8" x14ac:dyDescent="0.2">
      <c r="A12833" t="s">
        <v>7</v>
      </c>
      <c r="B12833" t="s">
        <v>32</v>
      </c>
      <c r="C12833" t="str">
        <f t="shared" si="402"/>
        <v>Cumple</v>
      </c>
      <c r="D12833">
        <v>9950</v>
      </c>
      <c r="E12833" t="s">
        <v>13</v>
      </c>
      <c r="F12833">
        <v>7</v>
      </c>
      <c r="G12833">
        <v>3</v>
      </c>
      <c r="H12833">
        <f t="shared" si="401"/>
        <v>4</v>
      </c>
    </row>
    <row r="12834" spans="1:8" x14ac:dyDescent="0.2">
      <c r="A12834" t="s">
        <v>7</v>
      </c>
      <c r="B12834" t="s">
        <v>32</v>
      </c>
      <c r="C12834" t="str">
        <f t="shared" si="402"/>
        <v>Cumple</v>
      </c>
      <c r="D12834">
        <v>205</v>
      </c>
      <c r="E12834" t="s">
        <v>13</v>
      </c>
      <c r="F12834">
        <v>6</v>
      </c>
      <c r="G12834">
        <v>3</v>
      </c>
      <c r="H12834">
        <f t="shared" si="401"/>
        <v>3</v>
      </c>
    </row>
    <row r="12835" spans="1:8" x14ac:dyDescent="0.2">
      <c r="A12835" t="s">
        <v>7</v>
      </c>
      <c r="B12835" t="s">
        <v>32</v>
      </c>
      <c r="C12835" t="str">
        <f t="shared" si="402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01"/>
        <v>0</v>
      </c>
    </row>
    <row r="12836" spans="1:8" x14ac:dyDescent="0.2">
      <c r="A12836" t="s">
        <v>7</v>
      </c>
      <c r="B12836" t="s">
        <v>32</v>
      </c>
      <c r="C12836" t="str">
        <f t="shared" si="402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01"/>
        <v>0</v>
      </c>
    </row>
    <row r="12837" spans="1:8" x14ac:dyDescent="0.2">
      <c r="A12837" t="s">
        <v>7</v>
      </c>
      <c r="B12837" t="s">
        <v>32</v>
      </c>
      <c r="C12837" t="str">
        <f t="shared" si="402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01"/>
        <v>0</v>
      </c>
    </row>
    <row r="12838" spans="1:8" x14ac:dyDescent="0.2">
      <c r="A12838" t="s">
        <v>7</v>
      </c>
      <c r="B12838" t="s">
        <v>32</v>
      </c>
      <c r="C12838" t="str">
        <f t="shared" si="402"/>
        <v>Cumple</v>
      </c>
      <c r="D12838">
        <v>292</v>
      </c>
      <c r="E12838" t="s">
        <v>13</v>
      </c>
      <c r="F12838">
        <v>6</v>
      </c>
      <c r="G12838">
        <v>3</v>
      </c>
      <c r="H12838">
        <f t="shared" si="401"/>
        <v>3</v>
      </c>
    </row>
    <row r="12839" spans="1:8" x14ac:dyDescent="0.2">
      <c r="A12839" t="s">
        <v>7</v>
      </c>
      <c r="B12839" t="s">
        <v>32</v>
      </c>
      <c r="C12839" t="str">
        <f t="shared" si="402"/>
        <v>Cumple</v>
      </c>
      <c r="D12839">
        <v>498</v>
      </c>
      <c r="E12839" t="s">
        <v>13</v>
      </c>
      <c r="F12839">
        <v>6</v>
      </c>
      <c r="G12839">
        <v>3</v>
      </c>
      <c r="H12839">
        <f t="shared" si="401"/>
        <v>3</v>
      </c>
    </row>
    <row r="12840" spans="1:8" x14ac:dyDescent="0.2">
      <c r="A12840" t="s">
        <v>7</v>
      </c>
      <c r="B12840" t="s">
        <v>32</v>
      </c>
      <c r="C12840" t="str">
        <f t="shared" si="402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01"/>
        <v>0</v>
      </c>
    </row>
    <row r="12841" spans="1:8" x14ac:dyDescent="0.2">
      <c r="A12841" t="s">
        <v>7</v>
      </c>
      <c r="B12841" t="s">
        <v>32</v>
      </c>
      <c r="C12841" t="str">
        <f t="shared" si="402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01"/>
        <v>0</v>
      </c>
    </row>
    <row r="12842" spans="1:8" x14ac:dyDescent="0.2">
      <c r="A12842" t="s">
        <v>7</v>
      </c>
      <c r="B12842" t="s">
        <v>32</v>
      </c>
      <c r="C12842" t="str">
        <f t="shared" si="402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01"/>
        <v>0</v>
      </c>
    </row>
    <row r="12843" spans="1:8" x14ac:dyDescent="0.2">
      <c r="A12843" t="s">
        <v>7</v>
      </c>
      <c r="B12843" t="s">
        <v>32</v>
      </c>
      <c r="C12843" t="str">
        <f t="shared" si="402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01"/>
        <v>0</v>
      </c>
    </row>
    <row r="12844" spans="1:8" x14ac:dyDescent="0.2">
      <c r="A12844" t="s">
        <v>7</v>
      </c>
      <c r="B12844" t="s">
        <v>32</v>
      </c>
      <c r="C12844" t="str">
        <f t="shared" si="402"/>
        <v>Cumple</v>
      </c>
      <c r="D12844">
        <v>1443</v>
      </c>
      <c r="E12844" t="s">
        <v>13</v>
      </c>
      <c r="F12844">
        <v>6</v>
      </c>
      <c r="G12844">
        <v>3</v>
      </c>
      <c r="H12844">
        <f t="shared" si="401"/>
        <v>3</v>
      </c>
    </row>
    <row r="12845" spans="1:8" x14ac:dyDescent="0.2">
      <c r="A12845" t="s">
        <v>7</v>
      </c>
      <c r="B12845" t="s">
        <v>32</v>
      </c>
      <c r="C12845" t="str">
        <f t="shared" si="402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01"/>
        <v>0</v>
      </c>
    </row>
    <row r="12846" spans="1:8" x14ac:dyDescent="0.2">
      <c r="A12846" t="s">
        <v>7</v>
      </c>
      <c r="B12846" t="s">
        <v>32</v>
      </c>
      <c r="C12846" t="str">
        <f t="shared" si="402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01"/>
        <v>0</v>
      </c>
    </row>
    <row r="12847" spans="1:8" x14ac:dyDescent="0.2">
      <c r="A12847" t="s">
        <v>7</v>
      </c>
      <c r="B12847" t="s">
        <v>32</v>
      </c>
      <c r="C12847" t="str">
        <f t="shared" si="402"/>
        <v>Cumple</v>
      </c>
      <c r="D12847">
        <v>1793</v>
      </c>
      <c r="E12847" t="s">
        <v>13</v>
      </c>
      <c r="F12847">
        <v>6</v>
      </c>
      <c r="G12847">
        <v>3</v>
      </c>
      <c r="H12847">
        <f t="shared" si="401"/>
        <v>3</v>
      </c>
    </row>
    <row r="12848" spans="1:8" x14ac:dyDescent="0.2">
      <c r="A12848" t="s">
        <v>7</v>
      </c>
      <c r="B12848" t="s">
        <v>32</v>
      </c>
      <c r="C12848" t="str">
        <f t="shared" si="402"/>
        <v>Cumple</v>
      </c>
      <c r="D12848">
        <v>2275</v>
      </c>
      <c r="E12848" t="s">
        <v>13</v>
      </c>
      <c r="F12848">
        <v>6</v>
      </c>
      <c r="G12848">
        <v>3</v>
      </c>
      <c r="H12848">
        <f t="shared" si="401"/>
        <v>3</v>
      </c>
    </row>
    <row r="12849" spans="1:8" x14ac:dyDescent="0.2">
      <c r="A12849" t="s">
        <v>7</v>
      </c>
      <c r="B12849" t="s">
        <v>32</v>
      </c>
      <c r="C12849" t="str">
        <f t="shared" si="402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01"/>
        <v>0</v>
      </c>
    </row>
    <row r="12850" spans="1:8" x14ac:dyDescent="0.2">
      <c r="A12850" t="s">
        <v>7</v>
      </c>
      <c r="B12850" t="s">
        <v>32</v>
      </c>
      <c r="C12850" t="str">
        <f t="shared" si="402"/>
        <v>Cumple</v>
      </c>
      <c r="D12850">
        <v>2862</v>
      </c>
      <c r="E12850" t="s">
        <v>13</v>
      </c>
      <c r="F12850">
        <v>6</v>
      </c>
      <c r="G12850">
        <v>3</v>
      </c>
      <c r="H12850">
        <f t="shared" si="401"/>
        <v>3</v>
      </c>
    </row>
    <row r="12851" spans="1:8" x14ac:dyDescent="0.2">
      <c r="A12851" t="s">
        <v>7</v>
      </c>
      <c r="B12851" t="s">
        <v>32</v>
      </c>
      <c r="C12851" t="str">
        <f t="shared" si="402"/>
        <v>Cumple</v>
      </c>
      <c r="D12851">
        <v>2963</v>
      </c>
      <c r="E12851" t="s">
        <v>13</v>
      </c>
      <c r="F12851">
        <v>6</v>
      </c>
      <c r="G12851">
        <v>3</v>
      </c>
      <c r="H12851">
        <f t="shared" si="401"/>
        <v>3</v>
      </c>
    </row>
    <row r="12852" spans="1:8" x14ac:dyDescent="0.2">
      <c r="A12852" t="s">
        <v>7</v>
      </c>
      <c r="B12852" t="s">
        <v>32</v>
      </c>
      <c r="C12852" t="str">
        <f t="shared" si="402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01"/>
        <v>0</v>
      </c>
    </row>
    <row r="12853" spans="1:8" x14ac:dyDescent="0.2">
      <c r="A12853" t="s">
        <v>7</v>
      </c>
      <c r="B12853" t="s">
        <v>32</v>
      </c>
      <c r="C12853" t="str">
        <f t="shared" si="402"/>
        <v>Cumple</v>
      </c>
      <c r="D12853">
        <v>3236</v>
      </c>
      <c r="E12853" t="s">
        <v>13</v>
      </c>
      <c r="F12853">
        <v>6</v>
      </c>
      <c r="G12853">
        <v>3</v>
      </c>
      <c r="H12853">
        <f t="shared" si="401"/>
        <v>3</v>
      </c>
    </row>
    <row r="12854" spans="1:8" x14ac:dyDescent="0.2">
      <c r="A12854" t="s">
        <v>7</v>
      </c>
      <c r="B12854" t="s">
        <v>32</v>
      </c>
      <c r="C12854" t="str">
        <f t="shared" si="402"/>
        <v>Cumple</v>
      </c>
      <c r="D12854">
        <v>3566</v>
      </c>
      <c r="E12854" t="s">
        <v>13</v>
      </c>
      <c r="F12854">
        <v>6</v>
      </c>
      <c r="G12854">
        <v>3</v>
      </c>
      <c r="H12854">
        <f t="shared" si="401"/>
        <v>3</v>
      </c>
    </row>
    <row r="12855" spans="1:8" x14ac:dyDescent="0.2">
      <c r="A12855" t="s">
        <v>7</v>
      </c>
      <c r="B12855" t="s">
        <v>32</v>
      </c>
      <c r="C12855" t="str">
        <f t="shared" si="402"/>
        <v>Cumple</v>
      </c>
      <c r="D12855">
        <v>3740</v>
      </c>
      <c r="E12855" t="s">
        <v>13</v>
      </c>
      <c r="F12855">
        <v>6</v>
      </c>
      <c r="G12855">
        <v>3</v>
      </c>
      <c r="H12855">
        <f t="shared" si="401"/>
        <v>3</v>
      </c>
    </row>
    <row r="12856" spans="1:8" x14ac:dyDescent="0.2">
      <c r="A12856" t="s">
        <v>7</v>
      </c>
      <c r="B12856" t="s">
        <v>32</v>
      </c>
      <c r="C12856" t="str">
        <f t="shared" si="402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01"/>
        <v>0</v>
      </c>
    </row>
    <row r="12857" spans="1:8" x14ac:dyDescent="0.2">
      <c r="A12857" t="s">
        <v>7</v>
      </c>
      <c r="B12857" t="s">
        <v>32</v>
      </c>
      <c r="C12857" t="str">
        <f t="shared" si="402"/>
        <v>Cumple</v>
      </c>
      <c r="D12857">
        <v>3838</v>
      </c>
      <c r="E12857" t="s">
        <v>13</v>
      </c>
      <c r="F12857">
        <v>6</v>
      </c>
      <c r="G12857">
        <v>3</v>
      </c>
      <c r="H12857">
        <f t="shared" si="401"/>
        <v>3</v>
      </c>
    </row>
    <row r="12858" spans="1:8" x14ac:dyDescent="0.2">
      <c r="A12858" t="s">
        <v>7</v>
      </c>
      <c r="B12858" t="s">
        <v>32</v>
      </c>
      <c r="C12858" t="str">
        <f t="shared" si="402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01"/>
        <v>0</v>
      </c>
    </row>
    <row r="12859" spans="1:8" x14ac:dyDescent="0.2">
      <c r="A12859" t="s">
        <v>7</v>
      </c>
      <c r="B12859" t="s">
        <v>32</v>
      </c>
      <c r="C12859" t="str">
        <f t="shared" si="402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01"/>
        <v>0</v>
      </c>
    </row>
    <row r="12860" spans="1:8" x14ac:dyDescent="0.2">
      <c r="A12860" t="s">
        <v>7</v>
      </c>
      <c r="B12860" t="s">
        <v>32</v>
      </c>
      <c r="C12860" t="str">
        <f t="shared" si="402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01"/>
        <v>0</v>
      </c>
    </row>
    <row r="12861" spans="1:8" x14ac:dyDescent="0.2">
      <c r="A12861" t="s">
        <v>7</v>
      </c>
      <c r="B12861" t="s">
        <v>32</v>
      </c>
      <c r="C12861" t="str">
        <f t="shared" si="402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01"/>
        <v>0</v>
      </c>
    </row>
    <row r="12862" spans="1:8" x14ac:dyDescent="0.2">
      <c r="A12862" t="s">
        <v>7</v>
      </c>
      <c r="B12862" t="s">
        <v>32</v>
      </c>
      <c r="C12862" t="str">
        <f t="shared" si="402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01"/>
        <v>0</v>
      </c>
    </row>
    <row r="12863" spans="1:8" x14ac:dyDescent="0.2">
      <c r="A12863" t="s">
        <v>7</v>
      </c>
      <c r="B12863" t="s">
        <v>32</v>
      </c>
      <c r="C12863" t="str">
        <f t="shared" si="402"/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si="401"/>
        <v>0</v>
      </c>
    </row>
    <row r="12864" spans="1:8" x14ac:dyDescent="0.2">
      <c r="A12864" t="s">
        <v>7</v>
      </c>
      <c r="B12864" t="s">
        <v>32</v>
      </c>
      <c r="C12864" t="str">
        <f t="shared" si="402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01"/>
        <v>0</v>
      </c>
    </row>
    <row r="12865" spans="1:8" x14ac:dyDescent="0.2">
      <c r="A12865" t="s">
        <v>7</v>
      </c>
      <c r="B12865" t="s">
        <v>32</v>
      </c>
      <c r="C12865" t="str">
        <f t="shared" si="402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01"/>
        <v>0</v>
      </c>
    </row>
    <row r="12866" spans="1:8" x14ac:dyDescent="0.2">
      <c r="A12866" t="s">
        <v>7</v>
      </c>
      <c r="B12866" t="s">
        <v>32</v>
      </c>
      <c r="C12866" t="str">
        <f t="shared" si="402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01"/>
        <v>0</v>
      </c>
    </row>
    <row r="12867" spans="1:8" x14ac:dyDescent="0.2">
      <c r="A12867" t="s">
        <v>7</v>
      </c>
      <c r="B12867" t="s">
        <v>32</v>
      </c>
      <c r="C12867" t="str">
        <f t="shared" si="402"/>
        <v>Cumple</v>
      </c>
      <c r="D12867">
        <v>207</v>
      </c>
      <c r="E12867" t="s">
        <v>13</v>
      </c>
      <c r="F12867">
        <v>5</v>
      </c>
      <c r="G12867">
        <v>3</v>
      </c>
      <c r="H12867">
        <f t="shared" ref="H12867:H12930" si="403">F12867-G12867</f>
        <v>2</v>
      </c>
    </row>
    <row r="12868" spans="1:8" x14ac:dyDescent="0.2">
      <c r="A12868" t="s">
        <v>7</v>
      </c>
      <c r="B12868" t="s">
        <v>32</v>
      </c>
      <c r="C12868" t="str">
        <f t="shared" si="402"/>
        <v>Cumple</v>
      </c>
      <c r="D12868">
        <v>210</v>
      </c>
      <c r="E12868" t="s">
        <v>13</v>
      </c>
      <c r="F12868">
        <v>5</v>
      </c>
      <c r="G12868">
        <v>3</v>
      </c>
      <c r="H12868">
        <f t="shared" si="403"/>
        <v>2</v>
      </c>
    </row>
    <row r="12869" spans="1:8" x14ac:dyDescent="0.2">
      <c r="A12869" t="s">
        <v>7</v>
      </c>
      <c r="B12869" t="s">
        <v>32</v>
      </c>
      <c r="C12869" t="str">
        <f t="shared" ref="C12869:C12932" si="404">IF(H12869&gt;=0,"Cumple","No cumple")</f>
        <v>Cumple</v>
      </c>
      <c r="D12869">
        <v>217</v>
      </c>
      <c r="E12869" t="s">
        <v>13</v>
      </c>
      <c r="F12869">
        <v>5</v>
      </c>
      <c r="G12869">
        <v>3</v>
      </c>
      <c r="H12869">
        <f t="shared" si="403"/>
        <v>2</v>
      </c>
    </row>
    <row r="12870" spans="1:8" x14ac:dyDescent="0.2">
      <c r="A12870" t="s">
        <v>7</v>
      </c>
      <c r="B12870" t="s">
        <v>32</v>
      </c>
      <c r="C12870" t="str">
        <f t="shared" si="404"/>
        <v>Cumple</v>
      </c>
      <c r="D12870">
        <v>221</v>
      </c>
      <c r="E12870" t="s">
        <v>13</v>
      </c>
      <c r="F12870">
        <v>5</v>
      </c>
      <c r="G12870">
        <v>3</v>
      </c>
      <c r="H12870">
        <f t="shared" si="403"/>
        <v>2</v>
      </c>
    </row>
    <row r="12871" spans="1:8" x14ac:dyDescent="0.2">
      <c r="A12871" t="s">
        <v>7</v>
      </c>
      <c r="B12871" t="s">
        <v>32</v>
      </c>
      <c r="C12871" t="str">
        <f t="shared" si="404"/>
        <v>Cumple</v>
      </c>
      <c r="D12871">
        <v>766</v>
      </c>
      <c r="E12871" t="s">
        <v>13</v>
      </c>
      <c r="F12871" s="9">
        <v>6</v>
      </c>
      <c r="G12871">
        <v>6</v>
      </c>
      <c r="H12871">
        <f t="shared" si="403"/>
        <v>0</v>
      </c>
    </row>
    <row r="12872" spans="1:8" x14ac:dyDescent="0.2">
      <c r="A12872" t="s">
        <v>7</v>
      </c>
      <c r="B12872" t="s">
        <v>32</v>
      </c>
      <c r="C12872" t="str">
        <f t="shared" si="404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03"/>
        <v>-1</v>
      </c>
    </row>
    <row r="12873" spans="1:8" x14ac:dyDescent="0.2">
      <c r="A12873" t="s">
        <v>7</v>
      </c>
      <c r="B12873" t="s">
        <v>32</v>
      </c>
      <c r="C12873" t="str">
        <f t="shared" si="404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03"/>
        <v>-1</v>
      </c>
    </row>
    <row r="12874" spans="1:8" x14ac:dyDescent="0.2">
      <c r="A12874" t="s">
        <v>7</v>
      </c>
      <c r="B12874" t="s">
        <v>32</v>
      </c>
      <c r="C12874" t="str">
        <f t="shared" si="404"/>
        <v>Cumple</v>
      </c>
      <c r="D12874">
        <v>1487</v>
      </c>
      <c r="E12874" t="s">
        <v>13</v>
      </c>
      <c r="F12874">
        <v>5</v>
      </c>
      <c r="G12874">
        <v>3</v>
      </c>
      <c r="H12874">
        <f t="shared" si="403"/>
        <v>2</v>
      </c>
    </row>
    <row r="12875" spans="1:8" x14ac:dyDescent="0.2">
      <c r="A12875" t="s">
        <v>7</v>
      </c>
      <c r="B12875" t="s">
        <v>32</v>
      </c>
      <c r="C12875" t="str">
        <f t="shared" si="404"/>
        <v>Cumple</v>
      </c>
      <c r="D12875">
        <v>1798</v>
      </c>
      <c r="E12875" t="s">
        <v>13</v>
      </c>
      <c r="F12875">
        <v>5</v>
      </c>
      <c r="G12875">
        <v>3</v>
      </c>
      <c r="H12875">
        <f t="shared" si="403"/>
        <v>2</v>
      </c>
    </row>
    <row r="12876" spans="1:8" x14ac:dyDescent="0.2">
      <c r="A12876" t="s">
        <v>7</v>
      </c>
      <c r="B12876" t="s">
        <v>32</v>
      </c>
      <c r="C12876" t="str">
        <f t="shared" si="404"/>
        <v>Cumple</v>
      </c>
      <c r="D12876">
        <v>1857</v>
      </c>
      <c r="E12876" t="s">
        <v>13</v>
      </c>
      <c r="F12876">
        <v>5</v>
      </c>
      <c r="G12876">
        <v>3</v>
      </c>
      <c r="H12876">
        <f t="shared" si="403"/>
        <v>2</v>
      </c>
    </row>
    <row r="12877" spans="1:8" x14ac:dyDescent="0.2">
      <c r="A12877" t="s">
        <v>7</v>
      </c>
      <c r="B12877" t="s">
        <v>32</v>
      </c>
      <c r="C12877" t="str">
        <f t="shared" si="404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03"/>
        <v>-1</v>
      </c>
    </row>
    <row r="12878" spans="1:8" x14ac:dyDescent="0.2">
      <c r="A12878" t="s">
        <v>7</v>
      </c>
      <c r="B12878" t="s">
        <v>32</v>
      </c>
      <c r="C12878" t="str">
        <f t="shared" si="404"/>
        <v>Cumple</v>
      </c>
      <c r="D12878">
        <v>2502</v>
      </c>
      <c r="E12878" t="s">
        <v>13</v>
      </c>
      <c r="F12878">
        <v>5</v>
      </c>
      <c r="G12878">
        <v>3</v>
      </c>
      <c r="H12878">
        <f t="shared" si="403"/>
        <v>2</v>
      </c>
    </row>
    <row r="12879" spans="1:8" x14ac:dyDescent="0.2">
      <c r="A12879" t="s">
        <v>7</v>
      </c>
      <c r="B12879" t="s">
        <v>32</v>
      </c>
      <c r="C12879" t="str">
        <f t="shared" si="404"/>
        <v>Cumple</v>
      </c>
      <c r="D12879">
        <v>2829</v>
      </c>
      <c r="E12879" t="s">
        <v>13</v>
      </c>
      <c r="F12879">
        <v>5</v>
      </c>
      <c r="G12879">
        <v>3</v>
      </c>
      <c r="H12879">
        <f t="shared" si="403"/>
        <v>2</v>
      </c>
    </row>
    <row r="12880" spans="1:8" x14ac:dyDescent="0.2">
      <c r="A12880" t="s">
        <v>7</v>
      </c>
      <c r="B12880" t="s">
        <v>32</v>
      </c>
      <c r="C12880" t="str">
        <f t="shared" si="404"/>
        <v>Cumple</v>
      </c>
      <c r="D12880">
        <v>2852</v>
      </c>
      <c r="E12880" t="s">
        <v>13</v>
      </c>
      <c r="F12880">
        <v>5</v>
      </c>
      <c r="G12880">
        <v>3</v>
      </c>
      <c r="H12880">
        <f t="shared" si="403"/>
        <v>2</v>
      </c>
    </row>
    <row r="12881" spans="1:8" x14ac:dyDescent="0.2">
      <c r="A12881" t="s">
        <v>7</v>
      </c>
      <c r="B12881" t="s">
        <v>32</v>
      </c>
      <c r="C12881" t="str">
        <f t="shared" si="404"/>
        <v>Cumple</v>
      </c>
      <c r="D12881">
        <v>3449</v>
      </c>
      <c r="E12881" t="s">
        <v>13</v>
      </c>
      <c r="F12881">
        <v>5</v>
      </c>
      <c r="G12881">
        <v>3</v>
      </c>
      <c r="H12881">
        <f t="shared" si="403"/>
        <v>2</v>
      </c>
    </row>
    <row r="12882" spans="1:8" x14ac:dyDescent="0.2">
      <c r="A12882" t="s">
        <v>7</v>
      </c>
      <c r="B12882" t="s">
        <v>32</v>
      </c>
      <c r="C12882" t="str">
        <f t="shared" si="404"/>
        <v>Cumple</v>
      </c>
      <c r="D12882">
        <v>3509</v>
      </c>
      <c r="E12882" t="s">
        <v>13</v>
      </c>
      <c r="F12882">
        <v>5</v>
      </c>
      <c r="G12882">
        <v>3</v>
      </c>
      <c r="H12882">
        <f t="shared" si="403"/>
        <v>2</v>
      </c>
    </row>
    <row r="12883" spans="1:8" x14ac:dyDescent="0.2">
      <c r="A12883" t="s">
        <v>7</v>
      </c>
      <c r="B12883" t="s">
        <v>32</v>
      </c>
      <c r="C12883" t="str">
        <f t="shared" si="404"/>
        <v>Cumple</v>
      </c>
      <c r="D12883">
        <v>3576</v>
      </c>
      <c r="E12883" t="s">
        <v>13</v>
      </c>
      <c r="F12883">
        <v>5</v>
      </c>
      <c r="G12883">
        <v>3</v>
      </c>
      <c r="H12883">
        <f t="shared" si="403"/>
        <v>2</v>
      </c>
    </row>
    <row r="12884" spans="1:8" x14ac:dyDescent="0.2">
      <c r="A12884" t="s">
        <v>7</v>
      </c>
      <c r="B12884" t="s">
        <v>32</v>
      </c>
      <c r="C12884" t="str">
        <f t="shared" si="404"/>
        <v>Cumple</v>
      </c>
      <c r="D12884">
        <v>3795</v>
      </c>
      <c r="E12884" t="s">
        <v>13</v>
      </c>
      <c r="F12884">
        <v>5</v>
      </c>
      <c r="G12884">
        <v>3</v>
      </c>
      <c r="H12884">
        <f t="shared" si="403"/>
        <v>2</v>
      </c>
    </row>
    <row r="12885" spans="1:8" x14ac:dyDescent="0.2">
      <c r="A12885" t="s">
        <v>7</v>
      </c>
      <c r="B12885" t="s">
        <v>32</v>
      </c>
      <c r="C12885" t="str">
        <f t="shared" si="404"/>
        <v>Cumple</v>
      </c>
      <c r="D12885">
        <v>3796</v>
      </c>
      <c r="E12885" t="s">
        <v>13</v>
      </c>
      <c r="F12885">
        <v>5</v>
      </c>
      <c r="G12885">
        <v>3</v>
      </c>
      <c r="H12885">
        <f t="shared" si="403"/>
        <v>2</v>
      </c>
    </row>
    <row r="12886" spans="1:8" x14ac:dyDescent="0.2">
      <c r="A12886" t="s">
        <v>7</v>
      </c>
      <c r="B12886" t="s">
        <v>32</v>
      </c>
      <c r="C12886" t="str">
        <f t="shared" si="404"/>
        <v>Cumple</v>
      </c>
      <c r="D12886">
        <v>3843</v>
      </c>
      <c r="E12886" t="s">
        <v>13</v>
      </c>
      <c r="F12886">
        <v>5</v>
      </c>
      <c r="G12886">
        <v>3</v>
      </c>
      <c r="H12886">
        <f t="shared" si="403"/>
        <v>2</v>
      </c>
    </row>
    <row r="12887" spans="1:8" x14ac:dyDescent="0.2">
      <c r="A12887" t="s">
        <v>7</v>
      </c>
      <c r="B12887" t="s">
        <v>32</v>
      </c>
      <c r="C12887" t="str">
        <f t="shared" si="404"/>
        <v>Cumple</v>
      </c>
      <c r="D12887">
        <v>3855</v>
      </c>
      <c r="E12887" t="s">
        <v>13</v>
      </c>
      <c r="F12887">
        <v>5</v>
      </c>
      <c r="G12887">
        <v>3</v>
      </c>
      <c r="H12887">
        <f t="shared" si="403"/>
        <v>2</v>
      </c>
    </row>
    <row r="12888" spans="1:8" x14ac:dyDescent="0.2">
      <c r="A12888" t="s">
        <v>7</v>
      </c>
      <c r="B12888" t="s">
        <v>32</v>
      </c>
      <c r="C12888" t="str">
        <f t="shared" si="404"/>
        <v>Cumple</v>
      </c>
      <c r="D12888">
        <v>3868</v>
      </c>
      <c r="E12888" t="s">
        <v>13</v>
      </c>
      <c r="F12888">
        <v>5</v>
      </c>
      <c r="G12888">
        <v>3</v>
      </c>
      <c r="H12888">
        <f t="shared" si="403"/>
        <v>2</v>
      </c>
    </row>
    <row r="12889" spans="1:8" x14ac:dyDescent="0.2">
      <c r="A12889" t="s">
        <v>7</v>
      </c>
      <c r="B12889" t="s">
        <v>32</v>
      </c>
      <c r="C12889" t="str">
        <f t="shared" si="404"/>
        <v>Cumple</v>
      </c>
      <c r="D12889">
        <v>3974</v>
      </c>
      <c r="E12889" t="s">
        <v>13</v>
      </c>
      <c r="F12889">
        <v>5</v>
      </c>
      <c r="G12889">
        <v>3</v>
      </c>
      <c r="H12889">
        <f t="shared" si="403"/>
        <v>2</v>
      </c>
    </row>
    <row r="12890" spans="1:8" x14ac:dyDescent="0.2">
      <c r="A12890" t="s">
        <v>7</v>
      </c>
      <c r="B12890" t="s">
        <v>32</v>
      </c>
      <c r="C12890" t="str">
        <f t="shared" si="404"/>
        <v>Cumple</v>
      </c>
      <c r="D12890">
        <v>9102</v>
      </c>
      <c r="E12890" t="s">
        <v>13</v>
      </c>
      <c r="F12890">
        <v>5</v>
      </c>
      <c r="G12890">
        <v>3</v>
      </c>
      <c r="H12890">
        <f t="shared" si="403"/>
        <v>2</v>
      </c>
    </row>
    <row r="12891" spans="1:8" x14ac:dyDescent="0.2">
      <c r="A12891" t="s">
        <v>7</v>
      </c>
      <c r="B12891" t="s">
        <v>32</v>
      </c>
      <c r="C12891" t="str">
        <f t="shared" si="404"/>
        <v>Cumple</v>
      </c>
      <c r="D12891">
        <v>9158</v>
      </c>
      <c r="E12891" t="s">
        <v>13</v>
      </c>
      <c r="F12891">
        <v>5</v>
      </c>
      <c r="G12891">
        <v>3</v>
      </c>
      <c r="H12891">
        <f t="shared" si="403"/>
        <v>2</v>
      </c>
    </row>
    <row r="12892" spans="1:8" x14ac:dyDescent="0.2">
      <c r="A12892" t="s">
        <v>7</v>
      </c>
      <c r="B12892" t="s">
        <v>32</v>
      </c>
      <c r="C12892" t="str">
        <f t="shared" si="404"/>
        <v>Cumple</v>
      </c>
      <c r="D12892">
        <v>9246</v>
      </c>
      <c r="E12892" t="s">
        <v>13</v>
      </c>
      <c r="F12892" s="9">
        <v>6</v>
      </c>
      <c r="G12892">
        <v>6</v>
      </c>
      <c r="H12892">
        <f t="shared" si="403"/>
        <v>0</v>
      </c>
    </row>
    <row r="12893" spans="1:8" x14ac:dyDescent="0.2">
      <c r="A12893" t="s">
        <v>7</v>
      </c>
      <c r="B12893" t="s">
        <v>32</v>
      </c>
      <c r="C12893" t="str">
        <f t="shared" si="404"/>
        <v>Cumple</v>
      </c>
      <c r="D12893">
        <v>3984</v>
      </c>
      <c r="E12893" t="s">
        <v>13</v>
      </c>
      <c r="F12893">
        <v>5</v>
      </c>
      <c r="G12893">
        <v>3</v>
      </c>
      <c r="H12893">
        <f t="shared" si="403"/>
        <v>2</v>
      </c>
    </row>
    <row r="12894" spans="1:8" x14ac:dyDescent="0.2">
      <c r="A12894" t="s">
        <v>7</v>
      </c>
      <c r="B12894" t="s">
        <v>32</v>
      </c>
      <c r="C12894" t="str">
        <f t="shared" si="404"/>
        <v>Cumple</v>
      </c>
      <c r="D12894">
        <v>3985</v>
      </c>
      <c r="E12894" t="s">
        <v>13</v>
      </c>
      <c r="F12894">
        <v>5</v>
      </c>
      <c r="G12894">
        <v>3</v>
      </c>
      <c r="H12894">
        <f t="shared" si="403"/>
        <v>2</v>
      </c>
    </row>
    <row r="12895" spans="1:8" x14ac:dyDescent="0.2">
      <c r="A12895" t="s">
        <v>7</v>
      </c>
      <c r="B12895" t="s">
        <v>32</v>
      </c>
      <c r="C12895" t="str">
        <f t="shared" si="404"/>
        <v>Cumple</v>
      </c>
      <c r="D12895">
        <v>4033</v>
      </c>
      <c r="E12895" t="s">
        <v>13</v>
      </c>
      <c r="F12895">
        <v>5</v>
      </c>
      <c r="G12895">
        <v>3</v>
      </c>
      <c r="H12895">
        <f t="shared" si="403"/>
        <v>2</v>
      </c>
    </row>
    <row r="12896" spans="1:8" x14ac:dyDescent="0.2">
      <c r="A12896" t="s">
        <v>7</v>
      </c>
      <c r="B12896" t="s">
        <v>32</v>
      </c>
      <c r="C12896" t="str">
        <f t="shared" si="404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03"/>
        <v>-1</v>
      </c>
    </row>
    <row r="12897" spans="1:8" x14ac:dyDescent="0.2">
      <c r="A12897" t="s">
        <v>7</v>
      </c>
      <c r="B12897" t="s">
        <v>32</v>
      </c>
      <c r="C12897" t="str">
        <f t="shared" si="404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03"/>
        <v>-1</v>
      </c>
    </row>
    <row r="12898" spans="1:8" x14ac:dyDescent="0.2">
      <c r="A12898" t="s">
        <v>7</v>
      </c>
      <c r="B12898" t="s">
        <v>32</v>
      </c>
      <c r="C12898" t="str">
        <f t="shared" si="404"/>
        <v>Cumple</v>
      </c>
      <c r="D12898">
        <v>224</v>
      </c>
      <c r="E12898" t="s">
        <v>13</v>
      </c>
      <c r="F12898">
        <v>4</v>
      </c>
      <c r="G12898">
        <v>3</v>
      </c>
      <c r="H12898">
        <f t="shared" si="403"/>
        <v>1</v>
      </c>
    </row>
    <row r="12899" spans="1:8" x14ac:dyDescent="0.2">
      <c r="A12899" t="s">
        <v>7</v>
      </c>
      <c r="B12899" t="s">
        <v>32</v>
      </c>
      <c r="C12899" t="str">
        <f t="shared" si="404"/>
        <v>Cumple</v>
      </c>
      <c r="D12899">
        <v>247</v>
      </c>
      <c r="E12899" t="s">
        <v>13</v>
      </c>
      <c r="F12899">
        <v>4</v>
      </c>
      <c r="G12899">
        <v>3</v>
      </c>
      <c r="H12899">
        <f t="shared" si="403"/>
        <v>1</v>
      </c>
    </row>
    <row r="12900" spans="1:8" x14ac:dyDescent="0.2">
      <c r="A12900" t="s">
        <v>7</v>
      </c>
      <c r="B12900" t="s">
        <v>32</v>
      </c>
      <c r="C12900" t="str">
        <f t="shared" si="404"/>
        <v>Cumple</v>
      </c>
      <c r="D12900">
        <v>677</v>
      </c>
      <c r="E12900" t="s">
        <v>13</v>
      </c>
      <c r="F12900">
        <v>4</v>
      </c>
      <c r="G12900">
        <v>3</v>
      </c>
      <c r="H12900">
        <f t="shared" si="403"/>
        <v>1</v>
      </c>
    </row>
    <row r="12901" spans="1:8" x14ac:dyDescent="0.2">
      <c r="A12901" t="s">
        <v>7</v>
      </c>
      <c r="B12901" t="s">
        <v>32</v>
      </c>
      <c r="C12901" t="str">
        <f t="shared" si="404"/>
        <v>Cumple</v>
      </c>
      <c r="D12901">
        <v>717</v>
      </c>
      <c r="E12901" t="s">
        <v>13</v>
      </c>
      <c r="F12901">
        <v>4</v>
      </c>
      <c r="G12901">
        <v>3</v>
      </c>
      <c r="H12901">
        <f t="shared" si="403"/>
        <v>1</v>
      </c>
    </row>
    <row r="12902" spans="1:8" x14ac:dyDescent="0.2">
      <c r="A12902" t="s">
        <v>7</v>
      </c>
      <c r="B12902" t="s">
        <v>32</v>
      </c>
      <c r="C12902" t="str">
        <f t="shared" si="404"/>
        <v>Cumple</v>
      </c>
      <c r="D12902">
        <v>790</v>
      </c>
      <c r="E12902" t="s">
        <v>13</v>
      </c>
      <c r="F12902">
        <v>4</v>
      </c>
      <c r="G12902">
        <v>3</v>
      </c>
      <c r="H12902">
        <f t="shared" si="403"/>
        <v>1</v>
      </c>
    </row>
    <row r="12903" spans="1:8" x14ac:dyDescent="0.2">
      <c r="A12903" t="s">
        <v>7</v>
      </c>
      <c r="B12903" t="s">
        <v>32</v>
      </c>
      <c r="C12903" t="str">
        <f t="shared" si="404"/>
        <v>Cumple</v>
      </c>
      <c r="D12903">
        <v>803</v>
      </c>
      <c r="E12903" t="s">
        <v>13</v>
      </c>
      <c r="F12903">
        <v>4</v>
      </c>
      <c r="G12903">
        <v>3</v>
      </c>
      <c r="H12903">
        <f t="shared" si="403"/>
        <v>1</v>
      </c>
    </row>
    <row r="12904" spans="1:8" x14ac:dyDescent="0.2">
      <c r="A12904" t="s">
        <v>7</v>
      </c>
      <c r="B12904" t="s">
        <v>32</v>
      </c>
      <c r="C12904" t="str">
        <f t="shared" si="404"/>
        <v>Cumple</v>
      </c>
      <c r="D12904">
        <v>859</v>
      </c>
      <c r="E12904" t="s">
        <v>13</v>
      </c>
      <c r="F12904">
        <v>4</v>
      </c>
      <c r="G12904">
        <v>3</v>
      </c>
      <c r="H12904">
        <f t="shared" si="403"/>
        <v>1</v>
      </c>
    </row>
    <row r="12905" spans="1:8" x14ac:dyDescent="0.2">
      <c r="A12905" t="s">
        <v>7</v>
      </c>
      <c r="B12905" t="s">
        <v>32</v>
      </c>
      <c r="C12905" t="str">
        <f t="shared" si="404"/>
        <v>Cumple</v>
      </c>
      <c r="D12905">
        <v>903</v>
      </c>
      <c r="E12905" t="s">
        <v>13</v>
      </c>
      <c r="F12905">
        <v>4</v>
      </c>
      <c r="G12905">
        <v>3</v>
      </c>
      <c r="H12905">
        <f t="shared" si="403"/>
        <v>1</v>
      </c>
    </row>
    <row r="12906" spans="1:8" x14ac:dyDescent="0.2">
      <c r="A12906" t="s">
        <v>7</v>
      </c>
      <c r="B12906" t="s">
        <v>32</v>
      </c>
      <c r="C12906" t="str">
        <f t="shared" si="404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03"/>
        <v>1</v>
      </c>
    </row>
    <row r="12907" spans="1:8" x14ac:dyDescent="0.2">
      <c r="A12907" t="s">
        <v>7</v>
      </c>
      <c r="B12907" t="s">
        <v>32</v>
      </c>
      <c r="C12907" t="str">
        <f t="shared" si="404"/>
        <v>Cumple</v>
      </c>
      <c r="D12907">
        <v>1410</v>
      </c>
      <c r="E12907" t="s">
        <v>13</v>
      </c>
      <c r="F12907">
        <v>4</v>
      </c>
      <c r="G12907">
        <v>3</v>
      </c>
      <c r="H12907">
        <f t="shared" si="403"/>
        <v>1</v>
      </c>
    </row>
    <row r="12908" spans="1:8" x14ac:dyDescent="0.2">
      <c r="A12908" t="s">
        <v>7</v>
      </c>
      <c r="B12908" t="s">
        <v>32</v>
      </c>
      <c r="C12908" t="str">
        <f t="shared" si="404"/>
        <v>Cumple</v>
      </c>
      <c r="D12908">
        <v>1434</v>
      </c>
      <c r="E12908" t="s">
        <v>13</v>
      </c>
      <c r="F12908">
        <v>4</v>
      </c>
      <c r="G12908">
        <v>3</v>
      </c>
      <c r="H12908">
        <f t="shared" si="403"/>
        <v>1</v>
      </c>
    </row>
    <row r="12909" spans="1:8" x14ac:dyDescent="0.2">
      <c r="A12909" t="s">
        <v>7</v>
      </c>
      <c r="B12909" t="s">
        <v>32</v>
      </c>
      <c r="C12909" t="str">
        <f t="shared" si="404"/>
        <v>Cumple</v>
      </c>
      <c r="D12909">
        <v>1458</v>
      </c>
      <c r="E12909" t="s">
        <v>13</v>
      </c>
      <c r="F12909">
        <v>4</v>
      </c>
      <c r="G12909">
        <v>3</v>
      </c>
      <c r="H12909">
        <f t="shared" si="403"/>
        <v>1</v>
      </c>
    </row>
    <row r="12910" spans="1:8" x14ac:dyDescent="0.2">
      <c r="A12910" t="s">
        <v>7</v>
      </c>
      <c r="B12910" t="s">
        <v>32</v>
      </c>
      <c r="C12910" t="str">
        <f t="shared" si="404"/>
        <v>Cumple</v>
      </c>
      <c r="D12910">
        <v>1553</v>
      </c>
      <c r="E12910" t="s">
        <v>13</v>
      </c>
      <c r="F12910">
        <v>4</v>
      </c>
      <c r="G12910">
        <v>3</v>
      </c>
      <c r="H12910">
        <f t="shared" si="403"/>
        <v>1</v>
      </c>
    </row>
    <row r="12911" spans="1:8" x14ac:dyDescent="0.2">
      <c r="A12911" t="s">
        <v>7</v>
      </c>
      <c r="B12911" t="s">
        <v>32</v>
      </c>
      <c r="C12911" t="str">
        <f t="shared" si="404"/>
        <v>Cumple</v>
      </c>
      <c r="D12911">
        <v>1584</v>
      </c>
      <c r="E12911" t="s">
        <v>13</v>
      </c>
      <c r="F12911">
        <v>4</v>
      </c>
      <c r="G12911">
        <v>3</v>
      </c>
      <c r="H12911">
        <f t="shared" si="403"/>
        <v>1</v>
      </c>
    </row>
    <row r="12912" spans="1:8" x14ac:dyDescent="0.2">
      <c r="A12912" t="s">
        <v>7</v>
      </c>
      <c r="B12912" t="s">
        <v>32</v>
      </c>
      <c r="C12912" t="str">
        <f t="shared" si="404"/>
        <v>Cumple</v>
      </c>
      <c r="D12912">
        <v>1594</v>
      </c>
      <c r="E12912" t="s">
        <v>13</v>
      </c>
      <c r="F12912">
        <v>4</v>
      </c>
      <c r="G12912">
        <v>3</v>
      </c>
      <c r="H12912">
        <f t="shared" si="403"/>
        <v>1</v>
      </c>
    </row>
    <row r="12913" spans="1:8" x14ac:dyDescent="0.2">
      <c r="A12913" t="s">
        <v>7</v>
      </c>
      <c r="B12913" t="s">
        <v>32</v>
      </c>
      <c r="C12913" t="str">
        <f t="shared" si="404"/>
        <v>Cumple</v>
      </c>
      <c r="D12913">
        <v>2356</v>
      </c>
      <c r="E12913" t="s">
        <v>13</v>
      </c>
      <c r="F12913">
        <v>4</v>
      </c>
      <c r="G12913">
        <v>3</v>
      </c>
      <c r="H12913">
        <f t="shared" si="403"/>
        <v>1</v>
      </c>
    </row>
    <row r="12914" spans="1:8" x14ac:dyDescent="0.2">
      <c r="A12914" t="s">
        <v>7</v>
      </c>
      <c r="B12914" t="s">
        <v>32</v>
      </c>
      <c r="C12914" t="str">
        <f t="shared" si="404"/>
        <v>Cumple</v>
      </c>
      <c r="D12914">
        <v>2722</v>
      </c>
      <c r="E12914" t="s">
        <v>13</v>
      </c>
      <c r="F12914">
        <v>4</v>
      </c>
      <c r="G12914">
        <v>3</v>
      </c>
      <c r="H12914">
        <f t="shared" si="403"/>
        <v>1</v>
      </c>
    </row>
    <row r="12915" spans="1:8" x14ac:dyDescent="0.2">
      <c r="A12915" t="s">
        <v>7</v>
      </c>
      <c r="B12915" t="s">
        <v>32</v>
      </c>
      <c r="C12915" t="str">
        <f t="shared" si="404"/>
        <v>Cumple</v>
      </c>
      <c r="D12915">
        <v>2848</v>
      </c>
      <c r="E12915" t="s">
        <v>13</v>
      </c>
      <c r="F12915">
        <v>4</v>
      </c>
      <c r="G12915">
        <v>3</v>
      </c>
      <c r="H12915">
        <f t="shared" si="403"/>
        <v>1</v>
      </c>
    </row>
    <row r="12916" spans="1:8" x14ac:dyDescent="0.2">
      <c r="A12916" t="s">
        <v>7</v>
      </c>
      <c r="B12916" t="s">
        <v>32</v>
      </c>
      <c r="C12916" t="str">
        <f t="shared" si="404"/>
        <v>Cumple</v>
      </c>
      <c r="D12916">
        <v>2850</v>
      </c>
      <c r="E12916" t="s">
        <v>13</v>
      </c>
      <c r="F12916">
        <v>4</v>
      </c>
      <c r="G12916">
        <v>3</v>
      </c>
      <c r="H12916">
        <f t="shared" si="403"/>
        <v>1</v>
      </c>
    </row>
    <row r="12917" spans="1:8" x14ac:dyDescent="0.2">
      <c r="A12917" t="s">
        <v>7</v>
      </c>
      <c r="B12917" t="s">
        <v>32</v>
      </c>
      <c r="C12917" t="str">
        <f t="shared" si="404"/>
        <v>Cumple</v>
      </c>
      <c r="D12917">
        <v>2946</v>
      </c>
      <c r="E12917" t="s">
        <v>13</v>
      </c>
      <c r="F12917">
        <v>4</v>
      </c>
      <c r="G12917">
        <v>3</v>
      </c>
      <c r="H12917">
        <f t="shared" si="403"/>
        <v>1</v>
      </c>
    </row>
    <row r="12918" spans="1:8" x14ac:dyDescent="0.2">
      <c r="A12918" t="s">
        <v>7</v>
      </c>
      <c r="B12918" t="s">
        <v>32</v>
      </c>
      <c r="C12918" t="str">
        <f t="shared" si="404"/>
        <v>Cumple</v>
      </c>
      <c r="D12918">
        <v>2970</v>
      </c>
      <c r="E12918" t="s">
        <v>13</v>
      </c>
      <c r="F12918">
        <v>4</v>
      </c>
      <c r="G12918">
        <v>3</v>
      </c>
      <c r="H12918">
        <f t="shared" si="403"/>
        <v>1</v>
      </c>
    </row>
    <row r="12919" spans="1:8" x14ac:dyDescent="0.2">
      <c r="A12919" t="s">
        <v>7</v>
      </c>
      <c r="B12919" t="s">
        <v>32</v>
      </c>
      <c r="C12919" t="str">
        <f t="shared" si="404"/>
        <v>Cumple</v>
      </c>
      <c r="D12919">
        <v>2972</v>
      </c>
      <c r="E12919" t="s">
        <v>13</v>
      </c>
      <c r="F12919">
        <v>4</v>
      </c>
      <c r="G12919">
        <v>3</v>
      </c>
      <c r="H12919">
        <f t="shared" si="403"/>
        <v>1</v>
      </c>
    </row>
    <row r="12920" spans="1:8" x14ac:dyDescent="0.2">
      <c r="A12920" t="s">
        <v>7</v>
      </c>
      <c r="B12920" t="s">
        <v>32</v>
      </c>
      <c r="C12920" t="str">
        <f t="shared" si="404"/>
        <v>Cumple</v>
      </c>
      <c r="D12920">
        <v>3180</v>
      </c>
      <c r="E12920" t="s">
        <v>13</v>
      </c>
      <c r="F12920">
        <v>4</v>
      </c>
      <c r="G12920">
        <v>3</v>
      </c>
      <c r="H12920">
        <f t="shared" si="403"/>
        <v>1</v>
      </c>
    </row>
    <row r="12921" spans="1:8" x14ac:dyDescent="0.2">
      <c r="A12921" t="s">
        <v>7</v>
      </c>
      <c r="B12921" t="s">
        <v>32</v>
      </c>
      <c r="C12921" t="str">
        <f t="shared" si="404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03"/>
        <v>-2</v>
      </c>
    </row>
    <row r="12922" spans="1:8" x14ac:dyDescent="0.2">
      <c r="A12922" t="s">
        <v>7</v>
      </c>
      <c r="B12922" t="s">
        <v>32</v>
      </c>
      <c r="C12922" t="str">
        <f t="shared" si="404"/>
        <v>Cumple</v>
      </c>
      <c r="D12922">
        <v>3746</v>
      </c>
      <c r="E12922" t="s">
        <v>13</v>
      </c>
      <c r="F12922">
        <v>4</v>
      </c>
      <c r="G12922">
        <v>3</v>
      </c>
      <c r="H12922">
        <f t="shared" si="403"/>
        <v>1</v>
      </c>
    </row>
    <row r="12923" spans="1:8" x14ac:dyDescent="0.2">
      <c r="A12923" t="s">
        <v>7</v>
      </c>
      <c r="B12923" t="s">
        <v>32</v>
      </c>
      <c r="C12923" t="str">
        <f t="shared" si="404"/>
        <v>Cumple</v>
      </c>
      <c r="D12923">
        <v>3809</v>
      </c>
      <c r="E12923" t="s">
        <v>13</v>
      </c>
      <c r="F12923">
        <v>4</v>
      </c>
      <c r="G12923">
        <v>3</v>
      </c>
      <c r="H12923">
        <f t="shared" si="403"/>
        <v>1</v>
      </c>
    </row>
    <row r="12924" spans="1:8" x14ac:dyDescent="0.2">
      <c r="A12924" t="s">
        <v>7</v>
      </c>
      <c r="B12924" t="s">
        <v>32</v>
      </c>
      <c r="C12924" t="str">
        <f t="shared" si="404"/>
        <v>Cumple</v>
      </c>
      <c r="D12924">
        <v>9020</v>
      </c>
      <c r="E12924" t="s">
        <v>13</v>
      </c>
      <c r="F12924">
        <v>4</v>
      </c>
      <c r="G12924">
        <v>3</v>
      </c>
      <c r="H12924">
        <f t="shared" si="403"/>
        <v>1</v>
      </c>
    </row>
    <row r="12925" spans="1:8" x14ac:dyDescent="0.2">
      <c r="A12925" t="s">
        <v>7</v>
      </c>
      <c r="B12925" t="s">
        <v>32</v>
      </c>
      <c r="C12925" t="str">
        <f t="shared" si="404"/>
        <v>Cumple</v>
      </c>
      <c r="D12925">
        <v>9301</v>
      </c>
      <c r="E12925" t="s">
        <v>13</v>
      </c>
      <c r="F12925">
        <v>4</v>
      </c>
      <c r="G12925">
        <v>3</v>
      </c>
      <c r="H12925">
        <f t="shared" si="403"/>
        <v>1</v>
      </c>
    </row>
    <row r="12926" spans="1:8" x14ac:dyDescent="0.2">
      <c r="A12926" t="s">
        <v>7</v>
      </c>
      <c r="B12926" t="s">
        <v>32</v>
      </c>
      <c r="C12926" t="str">
        <f t="shared" si="404"/>
        <v>Cumple</v>
      </c>
      <c r="D12926">
        <v>9382</v>
      </c>
      <c r="E12926" t="s">
        <v>13</v>
      </c>
      <c r="F12926">
        <v>4</v>
      </c>
      <c r="G12926">
        <v>3</v>
      </c>
      <c r="H12926">
        <f t="shared" si="403"/>
        <v>1</v>
      </c>
    </row>
    <row r="12927" spans="1:8" x14ac:dyDescent="0.2">
      <c r="A12927" t="s">
        <v>7</v>
      </c>
      <c r="B12927" t="s">
        <v>32</v>
      </c>
      <c r="C12927" t="str">
        <f t="shared" si="404"/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si="403"/>
        <v>-2</v>
      </c>
    </row>
    <row r="12928" spans="1:8" x14ac:dyDescent="0.2">
      <c r="A12928" t="s">
        <v>7</v>
      </c>
      <c r="B12928" t="s">
        <v>32</v>
      </c>
      <c r="C12928" t="str">
        <f t="shared" si="404"/>
        <v>Cumple</v>
      </c>
      <c r="D12928">
        <v>9921</v>
      </c>
      <c r="E12928" t="s">
        <v>13</v>
      </c>
      <c r="F12928">
        <v>4</v>
      </c>
      <c r="G12928">
        <v>3</v>
      </c>
      <c r="H12928">
        <f t="shared" si="403"/>
        <v>1</v>
      </c>
    </row>
    <row r="12929" spans="1:8" x14ac:dyDescent="0.2">
      <c r="A12929" t="s">
        <v>7</v>
      </c>
      <c r="B12929" t="s">
        <v>32</v>
      </c>
      <c r="C12929" t="str">
        <f t="shared" si="404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03"/>
        <v>-2</v>
      </c>
    </row>
    <row r="12930" spans="1:8" x14ac:dyDescent="0.2">
      <c r="A12930" t="s">
        <v>7</v>
      </c>
      <c r="B12930" t="s">
        <v>32</v>
      </c>
      <c r="C12930" t="str">
        <f t="shared" si="404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03"/>
        <v>1</v>
      </c>
    </row>
    <row r="12931" spans="1:8" x14ac:dyDescent="0.2">
      <c r="A12931" t="s">
        <v>7</v>
      </c>
      <c r="B12931" t="s">
        <v>32</v>
      </c>
      <c r="C12931" t="str">
        <f t="shared" si="404"/>
        <v>Cumple</v>
      </c>
      <c r="D12931">
        <v>9991</v>
      </c>
      <c r="E12931" t="s">
        <v>13</v>
      </c>
      <c r="F12931">
        <v>4</v>
      </c>
      <c r="G12931">
        <v>3</v>
      </c>
      <c r="H12931">
        <f t="shared" ref="H12931:H12994" si="405">F12931-G12931</f>
        <v>1</v>
      </c>
    </row>
    <row r="12932" spans="1:8" x14ac:dyDescent="0.2">
      <c r="A12932" t="s">
        <v>7</v>
      </c>
      <c r="B12932" t="s">
        <v>32</v>
      </c>
      <c r="C12932" t="str">
        <f t="shared" si="404"/>
        <v>Cumple</v>
      </c>
      <c r="D12932">
        <v>3986</v>
      </c>
      <c r="E12932" t="s">
        <v>13</v>
      </c>
      <c r="F12932">
        <v>4</v>
      </c>
      <c r="G12932">
        <v>3</v>
      </c>
      <c r="H12932">
        <f t="shared" si="405"/>
        <v>1</v>
      </c>
    </row>
    <row r="12933" spans="1:8" x14ac:dyDescent="0.2">
      <c r="A12933" t="s">
        <v>7</v>
      </c>
      <c r="B12933" t="s">
        <v>32</v>
      </c>
      <c r="C12933" t="str">
        <f t="shared" ref="C12933:C12996" si="406">IF(H12933&gt;=0,"Cumple","No cumple")</f>
        <v>Cumple</v>
      </c>
      <c r="D12933">
        <v>774</v>
      </c>
      <c r="E12933" t="s">
        <v>13</v>
      </c>
      <c r="F12933">
        <v>4</v>
      </c>
      <c r="G12933">
        <v>3</v>
      </c>
      <c r="H12933">
        <f t="shared" si="405"/>
        <v>1</v>
      </c>
    </row>
    <row r="12934" spans="1:8" x14ac:dyDescent="0.2">
      <c r="A12934" t="s">
        <v>7</v>
      </c>
      <c r="B12934" t="s">
        <v>32</v>
      </c>
      <c r="C12934" t="str">
        <f t="shared" si="406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05"/>
        <v>-3</v>
      </c>
    </row>
    <row r="12935" spans="1:8" x14ac:dyDescent="0.2">
      <c r="A12935" t="s">
        <v>7</v>
      </c>
      <c r="B12935" t="s">
        <v>32</v>
      </c>
      <c r="C12935" t="str">
        <f t="shared" si="406"/>
        <v>Cumple</v>
      </c>
      <c r="D12935">
        <v>917</v>
      </c>
      <c r="E12935" t="s">
        <v>13</v>
      </c>
      <c r="F12935">
        <v>3</v>
      </c>
      <c r="G12935">
        <v>3</v>
      </c>
      <c r="H12935">
        <f t="shared" si="405"/>
        <v>0</v>
      </c>
    </row>
    <row r="12936" spans="1:8" x14ac:dyDescent="0.2">
      <c r="A12936" t="s">
        <v>7</v>
      </c>
      <c r="B12936" t="s">
        <v>32</v>
      </c>
      <c r="C12936" t="str">
        <f t="shared" si="406"/>
        <v>Cumple</v>
      </c>
      <c r="D12936">
        <v>1423</v>
      </c>
      <c r="E12936" t="s">
        <v>13</v>
      </c>
      <c r="F12936">
        <v>3</v>
      </c>
      <c r="G12936">
        <v>3</v>
      </c>
      <c r="H12936">
        <f t="shared" si="405"/>
        <v>0</v>
      </c>
    </row>
    <row r="12937" spans="1:8" x14ac:dyDescent="0.2">
      <c r="A12937" t="s">
        <v>7</v>
      </c>
      <c r="B12937" t="s">
        <v>32</v>
      </c>
      <c r="C12937" t="str">
        <f t="shared" si="406"/>
        <v>Cumple</v>
      </c>
      <c r="D12937">
        <v>1453</v>
      </c>
      <c r="E12937" t="s">
        <v>13</v>
      </c>
      <c r="F12937">
        <v>3</v>
      </c>
      <c r="G12937">
        <v>3</v>
      </c>
      <c r="H12937">
        <f t="shared" si="405"/>
        <v>0</v>
      </c>
    </row>
    <row r="12938" spans="1:8" x14ac:dyDescent="0.2">
      <c r="A12938" t="s">
        <v>7</v>
      </c>
      <c r="B12938" t="s">
        <v>32</v>
      </c>
      <c r="C12938" t="str">
        <f t="shared" si="406"/>
        <v>Cumple</v>
      </c>
      <c r="D12938">
        <v>1698</v>
      </c>
      <c r="E12938" t="s">
        <v>13</v>
      </c>
      <c r="F12938">
        <v>3</v>
      </c>
      <c r="G12938">
        <v>3</v>
      </c>
      <c r="H12938">
        <f t="shared" si="405"/>
        <v>0</v>
      </c>
    </row>
    <row r="12939" spans="1:8" x14ac:dyDescent="0.2">
      <c r="A12939" t="s">
        <v>7</v>
      </c>
      <c r="B12939" t="s">
        <v>32</v>
      </c>
      <c r="C12939" t="str">
        <f t="shared" si="406"/>
        <v>Cumple</v>
      </c>
      <c r="D12939">
        <v>1773</v>
      </c>
      <c r="E12939" t="s">
        <v>13</v>
      </c>
      <c r="F12939">
        <v>3</v>
      </c>
      <c r="G12939">
        <v>3</v>
      </c>
      <c r="H12939">
        <f t="shared" si="405"/>
        <v>0</v>
      </c>
    </row>
    <row r="12940" spans="1:8" x14ac:dyDescent="0.2">
      <c r="A12940" t="s">
        <v>7</v>
      </c>
      <c r="B12940" t="s">
        <v>32</v>
      </c>
      <c r="C12940" t="str">
        <f t="shared" si="406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05"/>
        <v>-3</v>
      </c>
    </row>
    <row r="12941" spans="1:8" x14ac:dyDescent="0.2">
      <c r="A12941" t="s">
        <v>7</v>
      </c>
      <c r="B12941" t="s">
        <v>32</v>
      </c>
      <c r="C12941" t="str">
        <f t="shared" si="406"/>
        <v>Cumple</v>
      </c>
      <c r="D12941">
        <v>1828</v>
      </c>
      <c r="E12941" t="s">
        <v>13</v>
      </c>
      <c r="F12941">
        <v>3</v>
      </c>
      <c r="G12941">
        <v>3</v>
      </c>
      <c r="H12941">
        <f t="shared" si="405"/>
        <v>0</v>
      </c>
    </row>
    <row r="12942" spans="1:8" x14ac:dyDescent="0.2">
      <c r="A12942" t="s">
        <v>7</v>
      </c>
      <c r="B12942" t="s">
        <v>32</v>
      </c>
      <c r="C12942" t="str">
        <f t="shared" si="406"/>
        <v>Cumple</v>
      </c>
      <c r="D12942">
        <v>1878</v>
      </c>
      <c r="E12942" t="s">
        <v>13</v>
      </c>
      <c r="F12942">
        <v>3</v>
      </c>
      <c r="G12942">
        <v>3</v>
      </c>
      <c r="H12942">
        <f t="shared" si="405"/>
        <v>0</v>
      </c>
    </row>
    <row r="12943" spans="1:8" x14ac:dyDescent="0.2">
      <c r="A12943" t="s">
        <v>7</v>
      </c>
      <c r="B12943" t="s">
        <v>32</v>
      </c>
      <c r="C12943" t="str">
        <f t="shared" si="406"/>
        <v>Cumple</v>
      </c>
      <c r="D12943">
        <v>1879</v>
      </c>
      <c r="E12943" t="s">
        <v>13</v>
      </c>
      <c r="F12943">
        <v>3</v>
      </c>
      <c r="G12943">
        <v>3</v>
      </c>
      <c r="H12943">
        <f t="shared" si="405"/>
        <v>0</v>
      </c>
    </row>
    <row r="12944" spans="1:8" x14ac:dyDescent="0.2">
      <c r="A12944" t="s">
        <v>7</v>
      </c>
      <c r="B12944" t="s">
        <v>32</v>
      </c>
      <c r="C12944" t="str">
        <f t="shared" si="406"/>
        <v>Cumple</v>
      </c>
      <c r="D12944">
        <v>2653</v>
      </c>
      <c r="E12944" t="s">
        <v>13</v>
      </c>
      <c r="F12944">
        <v>3</v>
      </c>
      <c r="G12944">
        <v>3</v>
      </c>
      <c r="H12944">
        <f t="shared" si="405"/>
        <v>0</v>
      </c>
    </row>
    <row r="12945" spans="1:8" x14ac:dyDescent="0.2">
      <c r="A12945" t="s">
        <v>7</v>
      </c>
      <c r="B12945" t="s">
        <v>32</v>
      </c>
      <c r="C12945" t="str">
        <f t="shared" si="406"/>
        <v>Cumple</v>
      </c>
      <c r="D12945">
        <v>2703</v>
      </c>
      <c r="E12945" t="s">
        <v>13</v>
      </c>
      <c r="F12945">
        <v>3</v>
      </c>
      <c r="G12945">
        <v>3</v>
      </c>
      <c r="H12945">
        <f t="shared" si="405"/>
        <v>0</v>
      </c>
    </row>
    <row r="12946" spans="1:8" x14ac:dyDescent="0.2">
      <c r="A12946" t="s">
        <v>7</v>
      </c>
      <c r="B12946" t="s">
        <v>32</v>
      </c>
      <c r="C12946" t="str">
        <f t="shared" si="406"/>
        <v>Cumple</v>
      </c>
      <c r="D12946">
        <v>3541</v>
      </c>
      <c r="E12946" t="s">
        <v>13</v>
      </c>
      <c r="F12946">
        <v>3</v>
      </c>
      <c r="G12946">
        <v>3</v>
      </c>
      <c r="H12946">
        <f t="shared" si="405"/>
        <v>0</v>
      </c>
    </row>
    <row r="12947" spans="1:8" x14ac:dyDescent="0.2">
      <c r="A12947" t="s">
        <v>7</v>
      </c>
      <c r="B12947" t="s">
        <v>32</v>
      </c>
      <c r="C12947" t="str">
        <f t="shared" si="406"/>
        <v>Cumple</v>
      </c>
      <c r="D12947">
        <v>3562</v>
      </c>
      <c r="E12947" t="s">
        <v>13</v>
      </c>
      <c r="F12947">
        <v>3</v>
      </c>
      <c r="G12947">
        <v>3</v>
      </c>
      <c r="H12947">
        <f t="shared" si="405"/>
        <v>0</v>
      </c>
    </row>
    <row r="12948" spans="1:8" x14ac:dyDescent="0.2">
      <c r="A12948" t="s">
        <v>7</v>
      </c>
      <c r="B12948" t="s">
        <v>32</v>
      </c>
      <c r="C12948" t="str">
        <f t="shared" si="406"/>
        <v>Cumple</v>
      </c>
      <c r="D12948">
        <v>3565</v>
      </c>
      <c r="E12948" t="s">
        <v>13</v>
      </c>
      <c r="F12948">
        <v>3</v>
      </c>
      <c r="G12948">
        <v>3</v>
      </c>
      <c r="H12948">
        <f t="shared" si="405"/>
        <v>0</v>
      </c>
    </row>
    <row r="12949" spans="1:8" x14ac:dyDescent="0.2">
      <c r="A12949" t="s">
        <v>7</v>
      </c>
      <c r="B12949" t="s">
        <v>32</v>
      </c>
      <c r="C12949" t="str">
        <f t="shared" si="406"/>
        <v>Cumple</v>
      </c>
      <c r="D12949">
        <v>3643</v>
      </c>
      <c r="E12949" t="s">
        <v>13</v>
      </c>
      <c r="F12949">
        <v>3</v>
      </c>
      <c r="G12949">
        <v>3</v>
      </c>
      <c r="H12949">
        <f t="shared" si="405"/>
        <v>0</v>
      </c>
    </row>
    <row r="12950" spans="1:8" x14ac:dyDescent="0.2">
      <c r="A12950" t="s">
        <v>7</v>
      </c>
      <c r="B12950" t="s">
        <v>32</v>
      </c>
      <c r="C12950" t="str">
        <f t="shared" si="406"/>
        <v>Cumple</v>
      </c>
      <c r="D12950">
        <v>3735</v>
      </c>
      <c r="E12950" t="s">
        <v>13</v>
      </c>
      <c r="F12950">
        <v>3</v>
      </c>
      <c r="G12950">
        <v>3</v>
      </c>
      <c r="H12950">
        <f t="shared" si="405"/>
        <v>0</v>
      </c>
    </row>
    <row r="12951" spans="1:8" x14ac:dyDescent="0.2">
      <c r="A12951" t="s">
        <v>7</v>
      </c>
      <c r="B12951" t="s">
        <v>32</v>
      </c>
      <c r="C12951" t="str">
        <f t="shared" si="406"/>
        <v>Cumple</v>
      </c>
      <c r="D12951">
        <v>3741</v>
      </c>
      <c r="E12951" t="s">
        <v>13</v>
      </c>
      <c r="F12951">
        <v>3</v>
      </c>
      <c r="G12951">
        <v>3</v>
      </c>
      <c r="H12951">
        <f t="shared" si="405"/>
        <v>0</v>
      </c>
    </row>
    <row r="12952" spans="1:8" x14ac:dyDescent="0.2">
      <c r="A12952" t="s">
        <v>7</v>
      </c>
      <c r="B12952" t="s">
        <v>32</v>
      </c>
      <c r="C12952" t="str">
        <f t="shared" si="406"/>
        <v>Cumple</v>
      </c>
      <c r="D12952">
        <v>3887</v>
      </c>
      <c r="E12952" t="s">
        <v>13</v>
      </c>
      <c r="F12952">
        <v>3</v>
      </c>
      <c r="G12952">
        <v>3</v>
      </c>
      <c r="H12952">
        <f t="shared" si="405"/>
        <v>0</v>
      </c>
    </row>
    <row r="12953" spans="1:8" x14ac:dyDescent="0.2">
      <c r="A12953" t="s">
        <v>7</v>
      </c>
      <c r="B12953" t="s">
        <v>32</v>
      </c>
      <c r="C12953" t="str">
        <f t="shared" si="406"/>
        <v>Cumple</v>
      </c>
      <c r="D12953">
        <v>3893</v>
      </c>
      <c r="E12953" t="s">
        <v>13</v>
      </c>
      <c r="F12953">
        <v>3</v>
      </c>
      <c r="G12953">
        <v>3</v>
      </c>
      <c r="H12953">
        <f t="shared" si="405"/>
        <v>0</v>
      </c>
    </row>
    <row r="12954" spans="1:8" x14ac:dyDescent="0.2">
      <c r="A12954" t="s">
        <v>7</v>
      </c>
      <c r="B12954" t="s">
        <v>32</v>
      </c>
      <c r="C12954" t="str">
        <f t="shared" si="406"/>
        <v>Cumple</v>
      </c>
      <c r="D12954">
        <v>3913</v>
      </c>
      <c r="E12954" t="s">
        <v>13</v>
      </c>
      <c r="F12954">
        <v>3</v>
      </c>
      <c r="G12954">
        <v>3</v>
      </c>
      <c r="H12954">
        <f t="shared" si="405"/>
        <v>0</v>
      </c>
    </row>
    <row r="12955" spans="1:8" x14ac:dyDescent="0.2">
      <c r="A12955" t="s">
        <v>7</v>
      </c>
      <c r="B12955" t="s">
        <v>32</v>
      </c>
      <c r="C12955" t="str">
        <f t="shared" si="406"/>
        <v>Cumple</v>
      </c>
      <c r="D12955">
        <v>9333</v>
      </c>
      <c r="E12955" t="s">
        <v>13</v>
      </c>
      <c r="F12955">
        <v>3</v>
      </c>
      <c r="G12955">
        <v>3</v>
      </c>
      <c r="H12955">
        <f t="shared" si="405"/>
        <v>0</v>
      </c>
    </row>
    <row r="12956" spans="1:8" x14ac:dyDescent="0.2">
      <c r="A12956" t="s">
        <v>7</v>
      </c>
      <c r="B12956" t="s">
        <v>32</v>
      </c>
      <c r="C12956" t="str">
        <f t="shared" si="406"/>
        <v>Cumple</v>
      </c>
      <c r="D12956">
        <v>9656</v>
      </c>
      <c r="E12956" t="s">
        <v>13</v>
      </c>
      <c r="F12956">
        <v>3</v>
      </c>
      <c r="G12956">
        <v>3</v>
      </c>
      <c r="H12956">
        <f t="shared" si="405"/>
        <v>0</v>
      </c>
    </row>
    <row r="12957" spans="1:8" x14ac:dyDescent="0.2">
      <c r="A12957" t="s">
        <v>7</v>
      </c>
      <c r="B12957" t="s">
        <v>32</v>
      </c>
      <c r="C12957" t="str">
        <f t="shared" si="406"/>
        <v>Cumple</v>
      </c>
      <c r="D12957">
        <v>9665</v>
      </c>
      <c r="E12957" t="s">
        <v>13</v>
      </c>
      <c r="F12957">
        <v>3</v>
      </c>
      <c r="G12957">
        <v>3</v>
      </c>
      <c r="H12957">
        <f t="shared" si="405"/>
        <v>0</v>
      </c>
    </row>
    <row r="12958" spans="1:8" x14ac:dyDescent="0.2">
      <c r="A12958" t="s">
        <v>7</v>
      </c>
      <c r="B12958" t="s">
        <v>32</v>
      </c>
      <c r="C12958" t="str">
        <f t="shared" si="406"/>
        <v>Cumple</v>
      </c>
      <c r="D12958">
        <v>9837</v>
      </c>
      <c r="E12958" t="s">
        <v>13</v>
      </c>
      <c r="F12958">
        <v>3</v>
      </c>
      <c r="G12958">
        <v>3</v>
      </c>
      <c r="H12958">
        <f t="shared" si="405"/>
        <v>0</v>
      </c>
    </row>
    <row r="12959" spans="1:8" x14ac:dyDescent="0.2">
      <c r="A12959" t="s">
        <v>7</v>
      </c>
      <c r="B12959" t="s">
        <v>32</v>
      </c>
      <c r="C12959" t="str">
        <f t="shared" si="406"/>
        <v>Cumple</v>
      </c>
      <c r="D12959">
        <v>1451</v>
      </c>
      <c r="E12959" t="s">
        <v>13</v>
      </c>
      <c r="F12959">
        <v>3</v>
      </c>
      <c r="G12959" s="9">
        <v>3</v>
      </c>
      <c r="H12959">
        <f t="shared" si="405"/>
        <v>0</v>
      </c>
    </row>
    <row r="12960" spans="1:8" x14ac:dyDescent="0.2">
      <c r="A12960" t="s">
        <v>7</v>
      </c>
      <c r="B12960" t="s">
        <v>32</v>
      </c>
      <c r="C12960" t="str">
        <f t="shared" si="406"/>
        <v>Cumple</v>
      </c>
      <c r="D12960">
        <v>9381</v>
      </c>
      <c r="E12960" t="s">
        <v>13</v>
      </c>
      <c r="F12960">
        <v>3</v>
      </c>
      <c r="G12960">
        <v>3</v>
      </c>
      <c r="H12960">
        <f t="shared" si="405"/>
        <v>0</v>
      </c>
    </row>
    <row r="12961" spans="1:8" x14ac:dyDescent="0.2">
      <c r="A12961" t="s">
        <v>7</v>
      </c>
      <c r="B12961" t="s">
        <v>32</v>
      </c>
      <c r="C12961" t="str">
        <f t="shared" si="406"/>
        <v>Cumple</v>
      </c>
      <c r="D12961">
        <v>3770</v>
      </c>
      <c r="E12961" t="s">
        <v>13</v>
      </c>
      <c r="F12961">
        <v>3</v>
      </c>
      <c r="G12961">
        <v>3</v>
      </c>
      <c r="H12961">
        <f t="shared" si="405"/>
        <v>0</v>
      </c>
    </row>
    <row r="12962" spans="1:8" x14ac:dyDescent="0.2">
      <c r="A12962" t="s">
        <v>7</v>
      </c>
      <c r="B12962" t="s">
        <v>32</v>
      </c>
      <c r="C12962" t="str">
        <f t="shared" si="406"/>
        <v>Cumple</v>
      </c>
      <c r="D12962">
        <v>1209</v>
      </c>
      <c r="E12962" t="s">
        <v>13</v>
      </c>
      <c r="F12962">
        <v>3</v>
      </c>
      <c r="G12962">
        <v>3</v>
      </c>
      <c r="H12962">
        <f t="shared" si="405"/>
        <v>0</v>
      </c>
    </row>
    <row r="12963" spans="1:8" x14ac:dyDescent="0.2">
      <c r="A12963" t="s">
        <v>7</v>
      </c>
      <c r="B12963" t="s">
        <v>32</v>
      </c>
      <c r="C12963" t="str">
        <f t="shared" si="406"/>
        <v>No cumple</v>
      </c>
      <c r="D12963">
        <v>240</v>
      </c>
      <c r="E12963" t="s">
        <v>13</v>
      </c>
      <c r="F12963">
        <v>2</v>
      </c>
      <c r="G12963">
        <v>3</v>
      </c>
      <c r="H12963">
        <f t="shared" si="405"/>
        <v>-1</v>
      </c>
    </row>
    <row r="12964" spans="1:8" x14ac:dyDescent="0.2">
      <c r="A12964" t="s">
        <v>7</v>
      </c>
      <c r="B12964" t="s">
        <v>32</v>
      </c>
      <c r="C12964" t="str">
        <f t="shared" si="406"/>
        <v>No cumple</v>
      </c>
      <c r="D12964">
        <v>248</v>
      </c>
      <c r="E12964" t="s">
        <v>13</v>
      </c>
      <c r="F12964">
        <v>2</v>
      </c>
      <c r="G12964">
        <v>3</v>
      </c>
      <c r="H12964">
        <f t="shared" si="405"/>
        <v>-1</v>
      </c>
    </row>
    <row r="12965" spans="1:8" x14ac:dyDescent="0.2">
      <c r="A12965" t="s">
        <v>7</v>
      </c>
      <c r="B12965" t="s">
        <v>32</v>
      </c>
      <c r="C12965" t="str">
        <f t="shared" si="406"/>
        <v>No cumple</v>
      </c>
      <c r="D12965">
        <v>251</v>
      </c>
      <c r="E12965" t="s">
        <v>13</v>
      </c>
      <c r="F12965">
        <v>2</v>
      </c>
      <c r="G12965">
        <v>3</v>
      </c>
      <c r="H12965">
        <f t="shared" si="405"/>
        <v>-1</v>
      </c>
    </row>
    <row r="12966" spans="1:8" x14ac:dyDescent="0.2">
      <c r="A12966" t="s">
        <v>7</v>
      </c>
      <c r="B12966" t="s">
        <v>32</v>
      </c>
      <c r="C12966" t="str">
        <f t="shared" si="406"/>
        <v>No cumple</v>
      </c>
      <c r="D12966">
        <v>715</v>
      </c>
      <c r="E12966" t="s">
        <v>13</v>
      </c>
      <c r="F12966">
        <v>2</v>
      </c>
      <c r="G12966">
        <v>3</v>
      </c>
      <c r="H12966">
        <f t="shared" si="405"/>
        <v>-1</v>
      </c>
    </row>
    <row r="12967" spans="1:8" x14ac:dyDescent="0.2">
      <c r="A12967" t="s">
        <v>7</v>
      </c>
      <c r="B12967" t="s">
        <v>32</v>
      </c>
      <c r="C12967" t="str">
        <f t="shared" si="406"/>
        <v>No cumple</v>
      </c>
      <c r="D12967">
        <v>772</v>
      </c>
      <c r="E12967" t="s">
        <v>13</v>
      </c>
      <c r="F12967">
        <v>2</v>
      </c>
      <c r="G12967">
        <v>3</v>
      </c>
      <c r="H12967">
        <f t="shared" si="405"/>
        <v>-1</v>
      </c>
    </row>
    <row r="12968" spans="1:8" x14ac:dyDescent="0.2">
      <c r="A12968" t="s">
        <v>7</v>
      </c>
      <c r="B12968" t="s">
        <v>32</v>
      </c>
      <c r="C12968" t="str">
        <f t="shared" si="406"/>
        <v>No cumple</v>
      </c>
      <c r="D12968">
        <v>807</v>
      </c>
      <c r="E12968" t="s">
        <v>13</v>
      </c>
      <c r="F12968">
        <v>2</v>
      </c>
      <c r="G12968">
        <v>3</v>
      </c>
      <c r="H12968">
        <f t="shared" si="405"/>
        <v>-1</v>
      </c>
    </row>
    <row r="12969" spans="1:8" x14ac:dyDescent="0.2">
      <c r="A12969" t="s">
        <v>18</v>
      </c>
      <c r="B12969" t="s">
        <v>32</v>
      </c>
      <c r="C12969" t="str">
        <f t="shared" si="406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05"/>
        <v>-4</v>
      </c>
    </row>
    <row r="12970" spans="1:8" x14ac:dyDescent="0.2">
      <c r="A12970" t="s">
        <v>7</v>
      </c>
      <c r="B12970" t="s">
        <v>32</v>
      </c>
      <c r="C12970" t="str">
        <f t="shared" si="406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05"/>
        <v>-4</v>
      </c>
    </row>
    <row r="12971" spans="1:8" x14ac:dyDescent="0.2">
      <c r="A12971" t="s">
        <v>7</v>
      </c>
      <c r="B12971" t="s">
        <v>32</v>
      </c>
      <c r="C12971" t="str">
        <f t="shared" si="406"/>
        <v>No cumple</v>
      </c>
      <c r="D12971">
        <v>1615</v>
      </c>
      <c r="E12971" t="s">
        <v>13</v>
      </c>
      <c r="F12971">
        <v>2</v>
      </c>
      <c r="G12971">
        <v>3</v>
      </c>
      <c r="H12971">
        <f t="shared" si="405"/>
        <v>-1</v>
      </c>
    </row>
    <row r="12972" spans="1:8" x14ac:dyDescent="0.2">
      <c r="A12972" t="s">
        <v>7</v>
      </c>
      <c r="B12972" t="s">
        <v>32</v>
      </c>
      <c r="C12972" t="str">
        <f t="shared" si="406"/>
        <v>No cumple</v>
      </c>
      <c r="D12972">
        <v>2864</v>
      </c>
      <c r="E12972" t="s">
        <v>13</v>
      </c>
      <c r="F12972">
        <v>2</v>
      </c>
      <c r="G12972">
        <v>3</v>
      </c>
      <c r="H12972">
        <f t="shared" si="405"/>
        <v>-1</v>
      </c>
    </row>
    <row r="12973" spans="1:8" x14ac:dyDescent="0.2">
      <c r="A12973" t="s">
        <v>7</v>
      </c>
      <c r="B12973" t="s">
        <v>32</v>
      </c>
      <c r="C12973" t="str">
        <f t="shared" si="406"/>
        <v>No cumple</v>
      </c>
      <c r="D12973">
        <v>2973</v>
      </c>
      <c r="E12973" t="s">
        <v>13</v>
      </c>
      <c r="F12973">
        <v>2</v>
      </c>
      <c r="G12973">
        <v>3</v>
      </c>
      <c r="H12973">
        <f t="shared" si="405"/>
        <v>-1</v>
      </c>
    </row>
    <row r="12974" spans="1:8" x14ac:dyDescent="0.2">
      <c r="A12974" t="s">
        <v>7</v>
      </c>
      <c r="B12974" t="s">
        <v>32</v>
      </c>
      <c r="C12974" t="str">
        <f t="shared" si="406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05"/>
        <v>-4</v>
      </c>
    </row>
    <row r="12975" spans="1:8" x14ac:dyDescent="0.2">
      <c r="A12975" t="s">
        <v>7</v>
      </c>
      <c r="B12975" t="s">
        <v>32</v>
      </c>
      <c r="C12975" t="str">
        <f t="shared" si="406"/>
        <v>No cumple</v>
      </c>
      <c r="D12975">
        <v>3424</v>
      </c>
      <c r="E12975" t="s">
        <v>13</v>
      </c>
      <c r="F12975">
        <v>2</v>
      </c>
      <c r="G12975">
        <v>3</v>
      </c>
      <c r="H12975">
        <f t="shared" si="405"/>
        <v>-1</v>
      </c>
    </row>
    <row r="12976" spans="1:8" x14ac:dyDescent="0.2">
      <c r="A12976" t="s">
        <v>7</v>
      </c>
      <c r="B12976" t="s">
        <v>32</v>
      </c>
      <c r="C12976" t="str">
        <f t="shared" si="406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05"/>
        <v>-4</v>
      </c>
    </row>
    <row r="12977" spans="1:8" x14ac:dyDescent="0.2">
      <c r="A12977" t="s">
        <v>7</v>
      </c>
      <c r="B12977" t="s">
        <v>32</v>
      </c>
      <c r="C12977" t="str">
        <f t="shared" si="406"/>
        <v>No cumple</v>
      </c>
      <c r="D12977">
        <v>3733</v>
      </c>
      <c r="E12977" t="s">
        <v>13</v>
      </c>
      <c r="F12977">
        <v>2</v>
      </c>
      <c r="G12977">
        <v>3</v>
      </c>
      <c r="H12977">
        <f t="shared" si="405"/>
        <v>-1</v>
      </c>
    </row>
    <row r="12978" spans="1:8" x14ac:dyDescent="0.2">
      <c r="A12978" t="s">
        <v>7</v>
      </c>
      <c r="B12978" t="s">
        <v>32</v>
      </c>
      <c r="C12978" t="str">
        <f t="shared" si="406"/>
        <v>No cumple</v>
      </c>
      <c r="D12978">
        <v>3790</v>
      </c>
      <c r="E12978" t="s">
        <v>13</v>
      </c>
      <c r="F12978">
        <v>2</v>
      </c>
      <c r="G12978">
        <v>3</v>
      </c>
      <c r="H12978">
        <f t="shared" si="405"/>
        <v>-1</v>
      </c>
    </row>
    <row r="12979" spans="1:8" x14ac:dyDescent="0.2">
      <c r="A12979" t="s">
        <v>18</v>
      </c>
      <c r="B12979" t="s">
        <v>32</v>
      </c>
      <c r="C12979" t="str">
        <f t="shared" si="406"/>
        <v>No cumple</v>
      </c>
      <c r="D12979">
        <v>3865</v>
      </c>
      <c r="E12979" t="s">
        <v>13</v>
      </c>
      <c r="F12979">
        <v>2</v>
      </c>
      <c r="G12979">
        <v>3</v>
      </c>
      <c r="H12979">
        <f t="shared" si="405"/>
        <v>-1</v>
      </c>
    </row>
    <row r="12980" spans="1:8" x14ac:dyDescent="0.2">
      <c r="A12980" t="s">
        <v>7</v>
      </c>
      <c r="B12980" t="s">
        <v>32</v>
      </c>
      <c r="C12980" t="str">
        <f t="shared" si="406"/>
        <v>No cumple</v>
      </c>
      <c r="D12980">
        <v>9510</v>
      </c>
      <c r="E12980" t="s">
        <v>13</v>
      </c>
      <c r="F12980">
        <v>2</v>
      </c>
      <c r="G12980">
        <v>3</v>
      </c>
      <c r="H12980">
        <f t="shared" si="405"/>
        <v>-1</v>
      </c>
    </row>
    <row r="12981" spans="1:8" x14ac:dyDescent="0.2">
      <c r="A12981" t="s">
        <v>7</v>
      </c>
      <c r="B12981" t="s">
        <v>32</v>
      </c>
      <c r="C12981" t="str">
        <f t="shared" si="406"/>
        <v>No cumple</v>
      </c>
      <c r="D12981">
        <v>9637</v>
      </c>
      <c r="E12981" t="s">
        <v>13</v>
      </c>
      <c r="F12981">
        <v>2</v>
      </c>
      <c r="G12981">
        <v>3</v>
      </c>
      <c r="H12981">
        <f t="shared" si="405"/>
        <v>-1</v>
      </c>
    </row>
    <row r="12982" spans="1:8" x14ac:dyDescent="0.2">
      <c r="A12982" t="s">
        <v>7</v>
      </c>
      <c r="B12982" t="s">
        <v>32</v>
      </c>
      <c r="C12982" t="str">
        <f t="shared" si="406"/>
        <v>No cumple</v>
      </c>
      <c r="D12982">
        <v>9684</v>
      </c>
      <c r="E12982" t="s">
        <v>13</v>
      </c>
      <c r="F12982">
        <v>2</v>
      </c>
      <c r="G12982">
        <v>3</v>
      </c>
      <c r="H12982">
        <f t="shared" si="405"/>
        <v>-1</v>
      </c>
    </row>
    <row r="12983" spans="1:8" x14ac:dyDescent="0.2">
      <c r="A12983" t="s">
        <v>7</v>
      </c>
      <c r="B12983" t="s">
        <v>32</v>
      </c>
      <c r="C12983" t="str">
        <f t="shared" si="406"/>
        <v>No cumple</v>
      </c>
      <c r="D12983">
        <v>9744</v>
      </c>
      <c r="E12983" t="s">
        <v>13</v>
      </c>
      <c r="F12983">
        <v>2</v>
      </c>
      <c r="G12983">
        <v>3</v>
      </c>
      <c r="H12983">
        <f t="shared" si="405"/>
        <v>-1</v>
      </c>
    </row>
    <row r="12984" spans="1:8" x14ac:dyDescent="0.2">
      <c r="A12984" t="s">
        <v>7</v>
      </c>
      <c r="B12984" t="s">
        <v>32</v>
      </c>
      <c r="C12984" t="str">
        <f t="shared" si="406"/>
        <v>No cumple</v>
      </c>
      <c r="D12984">
        <v>9952</v>
      </c>
      <c r="E12984" t="s">
        <v>13</v>
      </c>
      <c r="F12984">
        <v>2</v>
      </c>
      <c r="G12984">
        <v>3</v>
      </c>
      <c r="H12984">
        <f t="shared" si="405"/>
        <v>-1</v>
      </c>
    </row>
    <row r="12985" spans="1:8" x14ac:dyDescent="0.2">
      <c r="A12985" t="s">
        <v>7</v>
      </c>
      <c r="B12985" t="s">
        <v>32</v>
      </c>
      <c r="C12985" t="str">
        <f t="shared" si="406"/>
        <v>Cumple</v>
      </c>
      <c r="D12985">
        <v>4042</v>
      </c>
      <c r="E12985" t="s">
        <v>13</v>
      </c>
      <c r="F12985" s="9">
        <v>3</v>
      </c>
      <c r="G12985">
        <v>3</v>
      </c>
      <c r="H12985">
        <f t="shared" si="405"/>
        <v>0</v>
      </c>
    </row>
    <row r="12986" spans="1:8" x14ac:dyDescent="0.2">
      <c r="A12986" t="s">
        <v>7</v>
      </c>
      <c r="B12986" t="s">
        <v>32</v>
      </c>
      <c r="C12986" t="str">
        <f t="shared" si="406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05"/>
        <v>-4</v>
      </c>
    </row>
    <row r="12987" spans="1:8" x14ac:dyDescent="0.2">
      <c r="A12987" t="s">
        <v>7</v>
      </c>
      <c r="B12987" t="s">
        <v>32</v>
      </c>
      <c r="C12987" t="str">
        <f t="shared" si="406"/>
        <v>No cumple</v>
      </c>
      <c r="D12987">
        <v>679</v>
      </c>
      <c r="E12987" t="s">
        <v>13</v>
      </c>
      <c r="F12987">
        <v>1</v>
      </c>
      <c r="G12987">
        <v>3</v>
      </c>
      <c r="H12987">
        <f t="shared" si="405"/>
        <v>-2</v>
      </c>
    </row>
    <row r="12988" spans="1:8" x14ac:dyDescent="0.2">
      <c r="A12988" t="s">
        <v>7</v>
      </c>
      <c r="B12988" t="s">
        <v>32</v>
      </c>
      <c r="C12988" t="str">
        <f t="shared" si="406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05"/>
        <v>-5</v>
      </c>
    </row>
    <row r="12989" spans="1:8" x14ac:dyDescent="0.2">
      <c r="A12989" t="s">
        <v>7</v>
      </c>
      <c r="B12989" t="s">
        <v>32</v>
      </c>
      <c r="C12989" t="str">
        <f t="shared" si="406"/>
        <v>No cumple</v>
      </c>
      <c r="D12989">
        <v>821</v>
      </c>
      <c r="E12989" t="s">
        <v>13</v>
      </c>
      <c r="F12989">
        <v>1</v>
      </c>
      <c r="G12989" s="9">
        <v>3</v>
      </c>
      <c r="H12989">
        <f t="shared" si="405"/>
        <v>-2</v>
      </c>
    </row>
    <row r="12990" spans="1:8" x14ac:dyDescent="0.2">
      <c r="A12990" t="s">
        <v>7</v>
      </c>
      <c r="B12990" t="s">
        <v>32</v>
      </c>
      <c r="C12990" t="str">
        <f t="shared" si="406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05"/>
        <v>-5</v>
      </c>
    </row>
    <row r="12991" spans="1:8" x14ac:dyDescent="0.2">
      <c r="A12991" t="s">
        <v>7</v>
      </c>
      <c r="B12991" t="s">
        <v>32</v>
      </c>
      <c r="C12991" t="str">
        <f t="shared" si="406"/>
        <v>No cumple</v>
      </c>
      <c r="D12991">
        <v>858</v>
      </c>
      <c r="E12991" t="s">
        <v>13</v>
      </c>
      <c r="F12991">
        <v>1</v>
      </c>
      <c r="G12991">
        <v>3</v>
      </c>
      <c r="H12991">
        <f t="shared" si="405"/>
        <v>-2</v>
      </c>
    </row>
    <row r="12992" spans="1:8" x14ac:dyDescent="0.2">
      <c r="A12992" t="s">
        <v>7</v>
      </c>
      <c r="B12992" t="s">
        <v>32</v>
      </c>
      <c r="C12992" t="str">
        <f t="shared" si="406"/>
        <v>No cumple</v>
      </c>
      <c r="D12992">
        <v>865</v>
      </c>
      <c r="E12992" t="s">
        <v>13</v>
      </c>
      <c r="F12992">
        <v>1</v>
      </c>
      <c r="G12992">
        <v>3</v>
      </c>
      <c r="H12992">
        <f t="shared" si="405"/>
        <v>-2</v>
      </c>
    </row>
    <row r="12993" spans="1:8" x14ac:dyDescent="0.2">
      <c r="A12993" t="s">
        <v>7</v>
      </c>
      <c r="B12993" t="s">
        <v>32</v>
      </c>
      <c r="C12993" t="str">
        <f t="shared" si="406"/>
        <v>No cumple</v>
      </c>
      <c r="D12993">
        <v>1411</v>
      </c>
      <c r="E12993" t="s">
        <v>13</v>
      </c>
      <c r="F12993">
        <v>1</v>
      </c>
      <c r="G12993">
        <v>3</v>
      </c>
      <c r="H12993">
        <f t="shared" si="405"/>
        <v>-2</v>
      </c>
    </row>
    <row r="12994" spans="1:8" x14ac:dyDescent="0.2">
      <c r="A12994" t="s">
        <v>7</v>
      </c>
      <c r="B12994" t="s">
        <v>32</v>
      </c>
      <c r="C12994" t="str">
        <f t="shared" si="406"/>
        <v>No cumple</v>
      </c>
      <c r="D12994">
        <v>1425</v>
      </c>
      <c r="E12994" t="s">
        <v>13</v>
      </c>
      <c r="F12994">
        <v>1</v>
      </c>
      <c r="G12994">
        <v>3</v>
      </c>
      <c r="H12994">
        <f t="shared" si="405"/>
        <v>-2</v>
      </c>
    </row>
    <row r="12995" spans="1:8" x14ac:dyDescent="0.2">
      <c r="A12995" t="s">
        <v>7</v>
      </c>
      <c r="B12995" t="s">
        <v>32</v>
      </c>
      <c r="C12995" t="str">
        <f t="shared" si="406"/>
        <v>No cumple</v>
      </c>
      <c r="D12995">
        <v>1437</v>
      </c>
      <c r="E12995" t="s">
        <v>13</v>
      </c>
      <c r="F12995">
        <v>1</v>
      </c>
      <c r="G12995">
        <v>3</v>
      </c>
      <c r="H12995">
        <f t="shared" ref="H12995:H13058" si="407">F12995-G12995</f>
        <v>-2</v>
      </c>
    </row>
    <row r="12996" spans="1:8" x14ac:dyDescent="0.2">
      <c r="A12996" t="s">
        <v>18</v>
      </c>
      <c r="B12996" t="s">
        <v>32</v>
      </c>
      <c r="C12996" t="str">
        <f t="shared" si="406"/>
        <v>No cumple</v>
      </c>
      <c r="D12996">
        <v>1441</v>
      </c>
      <c r="E12996" t="s">
        <v>13</v>
      </c>
      <c r="F12996">
        <v>1</v>
      </c>
      <c r="G12996">
        <v>3</v>
      </c>
      <c r="H12996">
        <f t="shared" si="407"/>
        <v>-2</v>
      </c>
    </row>
    <row r="12997" spans="1:8" x14ac:dyDescent="0.2">
      <c r="A12997" t="s">
        <v>7</v>
      </c>
      <c r="B12997" t="s">
        <v>32</v>
      </c>
      <c r="C12997" t="str">
        <f t="shared" ref="C12997:C13060" si="408">IF(H12997&gt;=0,"Cumple","No cumple")</f>
        <v>No cumple</v>
      </c>
      <c r="D12997">
        <v>2563</v>
      </c>
      <c r="E12997" t="s">
        <v>13</v>
      </c>
      <c r="F12997">
        <v>1</v>
      </c>
      <c r="G12997">
        <v>3</v>
      </c>
      <c r="H12997">
        <f t="shared" si="407"/>
        <v>-2</v>
      </c>
    </row>
    <row r="12998" spans="1:8" x14ac:dyDescent="0.2">
      <c r="A12998" t="s">
        <v>7</v>
      </c>
      <c r="B12998" t="s">
        <v>32</v>
      </c>
      <c r="C12998" t="str">
        <f t="shared" si="408"/>
        <v>No cumple</v>
      </c>
      <c r="D12998">
        <v>2960</v>
      </c>
      <c r="E12998" t="s">
        <v>13</v>
      </c>
      <c r="F12998">
        <v>1</v>
      </c>
      <c r="G12998">
        <v>3</v>
      </c>
      <c r="H12998">
        <f t="shared" si="407"/>
        <v>-2</v>
      </c>
    </row>
    <row r="12999" spans="1:8" x14ac:dyDescent="0.2">
      <c r="A12999" t="s">
        <v>7</v>
      </c>
      <c r="B12999" t="s">
        <v>32</v>
      </c>
      <c r="C12999" t="str">
        <f t="shared" si="408"/>
        <v>No cumple</v>
      </c>
      <c r="D12999">
        <v>2974</v>
      </c>
      <c r="E12999" t="s">
        <v>13</v>
      </c>
      <c r="F12999">
        <v>1</v>
      </c>
      <c r="G12999">
        <v>3</v>
      </c>
      <c r="H12999">
        <f t="shared" si="407"/>
        <v>-2</v>
      </c>
    </row>
    <row r="13000" spans="1:8" x14ac:dyDescent="0.2">
      <c r="A13000" t="s">
        <v>7</v>
      </c>
      <c r="B13000" t="s">
        <v>32</v>
      </c>
      <c r="C13000" t="str">
        <f t="shared" si="408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07"/>
        <v>-5</v>
      </c>
    </row>
    <row r="13001" spans="1:8" x14ac:dyDescent="0.2">
      <c r="A13001" t="s">
        <v>7</v>
      </c>
      <c r="B13001" t="s">
        <v>32</v>
      </c>
      <c r="C13001" t="str">
        <f t="shared" si="408"/>
        <v>No cumple</v>
      </c>
      <c r="D13001">
        <v>3294</v>
      </c>
      <c r="E13001" t="s">
        <v>13</v>
      </c>
      <c r="F13001">
        <v>1</v>
      </c>
      <c r="G13001">
        <v>3</v>
      </c>
      <c r="H13001">
        <f t="shared" si="407"/>
        <v>-2</v>
      </c>
    </row>
    <row r="13002" spans="1:8" x14ac:dyDescent="0.2">
      <c r="A13002" t="s">
        <v>7</v>
      </c>
      <c r="B13002" t="s">
        <v>32</v>
      </c>
      <c r="C13002" t="str">
        <f t="shared" si="408"/>
        <v>No cumple</v>
      </c>
      <c r="D13002">
        <v>3545</v>
      </c>
      <c r="E13002" t="s">
        <v>13</v>
      </c>
      <c r="F13002">
        <v>1</v>
      </c>
      <c r="G13002">
        <v>3</v>
      </c>
      <c r="H13002">
        <f t="shared" si="407"/>
        <v>-2</v>
      </c>
    </row>
    <row r="13003" spans="1:8" x14ac:dyDescent="0.2">
      <c r="A13003" t="s">
        <v>7</v>
      </c>
      <c r="B13003" t="s">
        <v>32</v>
      </c>
      <c r="C13003" t="str">
        <f t="shared" si="408"/>
        <v>No cumple</v>
      </c>
      <c r="D13003">
        <v>3677</v>
      </c>
      <c r="E13003" t="s">
        <v>13</v>
      </c>
      <c r="F13003">
        <v>1</v>
      </c>
      <c r="G13003">
        <v>3</v>
      </c>
      <c r="H13003">
        <f t="shared" si="407"/>
        <v>-2</v>
      </c>
    </row>
    <row r="13004" spans="1:8" x14ac:dyDescent="0.2">
      <c r="A13004" t="s">
        <v>7</v>
      </c>
      <c r="B13004" t="s">
        <v>32</v>
      </c>
      <c r="C13004" t="str">
        <f t="shared" si="408"/>
        <v>No cumple</v>
      </c>
      <c r="D13004">
        <v>3703</v>
      </c>
      <c r="E13004" t="s">
        <v>13</v>
      </c>
      <c r="F13004">
        <v>1</v>
      </c>
      <c r="G13004">
        <v>3</v>
      </c>
      <c r="H13004">
        <f t="shared" si="407"/>
        <v>-2</v>
      </c>
    </row>
    <row r="13005" spans="1:8" x14ac:dyDescent="0.2">
      <c r="A13005" t="s">
        <v>18</v>
      </c>
      <c r="B13005" t="s">
        <v>32</v>
      </c>
      <c r="C13005" t="str">
        <f t="shared" si="408"/>
        <v>No cumple</v>
      </c>
      <c r="D13005">
        <v>3819</v>
      </c>
      <c r="E13005" t="s">
        <v>13</v>
      </c>
      <c r="F13005">
        <v>1</v>
      </c>
      <c r="G13005">
        <v>3</v>
      </c>
      <c r="H13005">
        <f t="shared" si="407"/>
        <v>-2</v>
      </c>
    </row>
    <row r="13006" spans="1:8" x14ac:dyDescent="0.2">
      <c r="A13006" t="s">
        <v>7</v>
      </c>
      <c r="B13006" t="s">
        <v>32</v>
      </c>
      <c r="C13006" t="str">
        <f t="shared" si="408"/>
        <v>No cumple</v>
      </c>
      <c r="D13006">
        <v>3884</v>
      </c>
      <c r="E13006" t="s">
        <v>13</v>
      </c>
      <c r="F13006">
        <v>1</v>
      </c>
      <c r="G13006">
        <v>3</v>
      </c>
      <c r="H13006">
        <f t="shared" si="407"/>
        <v>-2</v>
      </c>
    </row>
    <row r="13007" spans="1:8" x14ac:dyDescent="0.2">
      <c r="A13007" t="s">
        <v>7</v>
      </c>
      <c r="B13007" t="s">
        <v>32</v>
      </c>
      <c r="C13007" t="str">
        <f t="shared" si="408"/>
        <v>No cumple</v>
      </c>
      <c r="D13007">
        <v>9035</v>
      </c>
      <c r="E13007" t="s">
        <v>13</v>
      </c>
      <c r="F13007">
        <v>1</v>
      </c>
      <c r="G13007">
        <v>3</v>
      </c>
      <c r="H13007">
        <f t="shared" si="407"/>
        <v>-2</v>
      </c>
    </row>
    <row r="13008" spans="1:8" x14ac:dyDescent="0.2">
      <c r="A13008" t="s">
        <v>7</v>
      </c>
      <c r="B13008" t="s">
        <v>32</v>
      </c>
      <c r="C13008" t="str">
        <f t="shared" si="408"/>
        <v>No cumple</v>
      </c>
      <c r="D13008">
        <v>9658</v>
      </c>
      <c r="E13008" t="s">
        <v>13</v>
      </c>
      <c r="F13008">
        <v>1</v>
      </c>
      <c r="G13008">
        <v>3</v>
      </c>
      <c r="H13008">
        <f t="shared" si="407"/>
        <v>-2</v>
      </c>
    </row>
    <row r="13009" spans="1:8" x14ac:dyDescent="0.2">
      <c r="A13009" t="s">
        <v>7</v>
      </c>
      <c r="B13009" t="s">
        <v>32</v>
      </c>
      <c r="C13009" t="str">
        <f t="shared" si="408"/>
        <v>No cumple</v>
      </c>
      <c r="D13009">
        <v>9767</v>
      </c>
      <c r="E13009" t="s">
        <v>13</v>
      </c>
      <c r="F13009">
        <v>1</v>
      </c>
      <c r="G13009">
        <v>3</v>
      </c>
      <c r="H13009">
        <f t="shared" si="407"/>
        <v>-2</v>
      </c>
    </row>
    <row r="13010" spans="1:8" x14ac:dyDescent="0.2">
      <c r="A13010" t="s">
        <v>7</v>
      </c>
      <c r="B13010" t="s">
        <v>32</v>
      </c>
      <c r="C13010" t="str">
        <f t="shared" si="408"/>
        <v>No cumple</v>
      </c>
      <c r="D13010">
        <v>9821</v>
      </c>
      <c r="E13010" t="s">
        <v>13</v>
      </c>
      <c r="F13010">
        <v>1</v>
      </c>
      <c r="G13010">
        <v>3</v>
      </c>
      <c r="H13010">
        <f t="shared" si="407"/>
        <v>-2</v>
      </c>
    </row>
    <row r="13011" spans="1:8" x14ac:dyDescent="0.2">
      <c r="A13011" t="s">
        <v>7</v>
      </c>
      <c r="B13011" t="s">
        <v>32</v>
      </c>
      <c r="C13011" t="str">
        <f t="shared" si="408"/>
        <v>No cumple</v>
      </c>
      <c r="D13011">
        <v>319</v>
      </c>
      <c r="E13011" t="s">
        <v>13</v>
      </c>
      <c r="F13011">
        <v>1</v>
      </c>
      <c r="G13011">
        <v>3</v>
      </c>
      <c r="H13011">
        <f t="shared" si="407"/>
        <v>-2</v>
      </c>
    </row>
    <row r="13012" spans="1:8" x14ac:dyDescent="0.2">
      <c r="A13012" t="s">
        <v>7</v>
      </c>
      <c r="B13012" t="s">
        <v>32</v>
      </c>
      <c r="C13012" t="str">
        <f t="shared" si="408"/>
        <v>No cumple</v>
      </c>
      <c r="D13012">
        <v>747</v>
      </c>
      <c r="E13012" t="s">
        <v>13</v>
      </c>
      <c r="F13012">
        <v>1</v>
      </c>
      <c r="G13012">
        <v>3</v>
      </c>
      <c r="H13012">
        <f t="shared" si="407"/>
        <v>-2</v>
      </c>
    </row>
    <row r="13013" spans="1:8" x14ac:dyDescent="0.2">
      <c r="A13013" t="s">
        <v>7</v>
      </c>
      <c r="B13013" t="s">
        <v>32</v>
      </c>
      <c r="C13013" t="str">
        <f t="shared" si="408"/>
        <v>No cumple</v>
      </c>
      <c r="D13013">
        <v>226</v>
      </c>
      <c r="E13013" t="s">
        <v>13</v>
      </c>
      <c r="F13013">
        <v>0</v>
      </c>
      <c r="G13013">
        <v>3</v>
      </c>
      <c r="H13013">
        <f t="shared" si="407"/>
        <v>-3</v>
      </c>
    </row>
    <row r="13014" spans="1:8" x14ac:dyDescent="0.2">
      <c r="A13014" t="s">
        <v>7</v>
      </c>
      <c r="B13014" t="s">
        <v>32</v>
      </c>
      <c r="C13014" t="str">
        <f t="shared" si="408"/>
        <v>No cumple</v>
      </c>
      <c r="D13014">
        <v>227</v>
      </c>
      <c r="E13014" t="s">
        <v>13</v>
      </c>
      <c r="F13014">
        <v>0</v>
      </c>
      <c r="G13014">
        <v>3</v>
      </c>
      <c r="H13014">
        <f t="shared" si="407"/>
        <v>-3</v>
      </c>
    </row>
    <row r="13015" spans="1:8" x14ac:dyDescent="0.2">
      <c r="A13015" t="s">
        <v>7</v>
      </c>
      <c r="B13015" t="s">
        <v>32</v>
      </c>
      <c r="C13015" t="str">
        <f t="shared" si="408"/>
        <v>No cumple</v>
      </c>
      <c r="D13015">
        <v>230</v>
      </c>
      <c r="E13015" t="s">
        <v>13</v>
      </c>
      <c r="F13015">
        <v>0</v>
      </c>
      <c r="G13015">
        <v>3</v>
      </c>
      <c r="H13015">
        <f t="shared" si="407"/>
        <v>-3</v>
      </c>
    </row>
    <row r="13016" spans="1:8" x14ac:dyDescent="0.2">
      <c r="A13016" t="s">
        <v>18</v>
      </c>
      <c r="B13016" t="s">
        <v>32</v>
      </c>
      <c r="C13016" t="str">
        <f t="shared" si="408"/>
        <v>No cumple</v>
      </c>
      <c r="D13016">
        <v>233</v>
      </c>
      <c r="E13016" t="s">
        <v>13</v>
      </c>
      <c r="F13016">
        <v>0</v>
      </c>
      <c r="G13016">
        <v>3</v>
      </c>
      <c r="H13016">
        <f t="shared" si="407"/>
        <v>-3</v>
      </c>
    </row>
    <row r="13017" spans="1:8" x14ac:dyDescent="0.2">
      <c r="A13017" t="s">
        <v>7</v>
      </c>
      <c r="B13017" t="s">
        <v>32</v>
      </c>
      <c r="C13017" t="str">
        <f t="shared" si="408"/>
        <v>No cumple</v>
      </c>
      <c r="D13017">
        <v>243</v>
      </c>
      <c r="E13017" t="s">
        <v>13</v>
      </c>
      <c r="F13017">
        <v>0</v>
      </c>
      <c r="G13017">
        <v>3</v>
      </c>
      <c r="H13017">
        <f t="shared" si="407"/>
        <v>-3</v>
      </c>
    </row>
    <row r="13018" spans="1:8" x14ac:dyDescent="0.2">
      <c r="A13018" t="s">
        <v>7</v>
      </c>
      <c r="B13018" t="s">
        <v>32</v>
      </c>
      <c r="C13018" t="str">
        <f t="shared" si="408"/>
        <v>No cumple</v>
      </c>
      <c r="D13018">
        <v>245</v>
      </c>
      <c r="E13018" t="s">
        <v>13</v>
      </c>
      <c r="F13018">
        <v>0</v>
      </c>
      <c r="G13018">
        <v>3</v>
      </c>
      <c r="H13018">
        <f t="shared" si="407"/>
        <v>-3</v>
      </c>
    </row>
    <row r="13019" spans="1:8" x14ac:dyDescent="0.2">
      <c r="A13019" t="s">
        <v>7</v>
      </c>
      <c r="B13019" t="s">
        <v>32</v>
      </c>
      <c r="C13019" t="str">
        <f t="shared" si="408"/>
        <v>No cumple</v>
      </c>
      <c r="D13019">
        <v>756</v>
      </c>
      <c r="E13019" t="s">
        <v>13</v>
      </c>
      <c r="F13019">
        <v>0</v>
      </c>
      <c r="G13019">
        <v>3</v>
      </c>
      <c r="H13019">
        <f t="shared" si="407"/>
        <v>-3</v>
      </c>
    </row>
    <row r="13020" spans="1:8" x14ac:dyDescent="0.2">
      <c r="A13020" t="s">
        <v>18</v>
      </c>
      <c r="B13020" t="s">
        <v>32</v>
      </c>
      <c r="C13020" t="str">
        <f t="shared" si="408"/>
        <v>No cumple</v>
      </c>
      <c r="D13020">
        <v>781</v>
      </c>
      <c r="E13020" t="s">
        <v>13</v>
      </c>
      <c r="F13020">
        <v>0</v>
      </c>
      <c r="G13020">
        <v>3</v>
      </c>
      <c r="H13020">
        <f t="shared" si="407"/>
        <v>-3</v>
      </c>
    </row>
    <row r="13021" spans="1:8" x14ac:dyDescent="0.2">
      <c r="A13021" t="s">
        <v>18</v>
      </c>
      <c r="B13021" t="s">
        <v>32</v>
      </c>
      <c r="C13021" t="str">
        <f t="shared" si="408"/>
        <v>No cumple</v>
      </c>
      <c r="D13021">
        <v>794</v>
      </c>
      <c r="E13021" t="s">
        <v>13</v>
      </c>
      <c r="F13021">
        <v>0</v>
      </c>
      <c r="G13021">
        <v>3</v>
      </c>
      <c r="H13021">
        <f t="shared" si="407"/>
        <v>-3</v>
      </c>
    </row>
    <row r="13022" spans="1:8" x14ac:dyDescent="0.2">
      <c r="A13022" t="s">
        <v>7</v>
      </c>
      <c r="B13022" t="s">
        <v>32</v>
      </c>
      <c r="C13022" t="str">
        <f t="shared" si="408"/>
        <v>No cumple</v>
      </c>
      <c r="D13022">
        <v>836</v>
      </c>
      <c r="E13022" t="s">
        <v>13</v>
      </c>
      <c r="F13022">
        <v>0</v>
      </c>
      <c r="G13022">
        <v>3</v>
      </c>
      <c r="H13022">
        <f t="shared" si="407"/>
        <v>-3</v>
      </c>
    </row>
    <row r="13023" spans="1:8" x14ac:dyDescent="0.2">
      <c r="A13023" t="s">
        <v>7</v>
      </c>
      <c r="B13023" t="s">
        <v>32</v>
      </c>
      <c r="C13023" t="str">
        <f t="shared" si="408"/>
        <v>No cumple</v>
      </c>
      <c r="D13023">
        <v>847</v>
      </c>
      <c r="E13023" t="s">
        <v>13</v>
      </c>
      <c r="F13023">
        <v>0</v>
      </c>
      <c r="G13023">
        <v>3</v>
      </c>
      <c r="H13023">
        <f t="shared" si="407"/>
        <v>-3</v>
      </c>
    </row>
    <row r="13024" spans="1:8" x14ac:dyDescent="0.2">
      <c r="A13024" t="s">
        <v>7</v>
      </c>
      <c r="B13024" t="s">
        <v>32</v>
      </c>
      <c r="C13024" t="str">
        <f t="shared" si="408"/>
        <v>No cumple</v>
      </c>
      <c r="D13024">
        <v>902</v>
      </c>
      <c r="E13024" t="s">
        <v>13</v>
      </c>
      <c r="F13024">
        <v>0</v>
      </c>
      <c r="G13024">
        <v>3</v>
      </c>
      <c r="H13024">
        <f t="shared" si="407"/>
        <v>-3</v>
      </c>
    </row>
    <row r="13025" spans="1:8" x14ac:dyDescent="0.2">
      <c r="A13025" t="s">
        <v>7</v>
      </c>
      <c r="B13025" t="s">
        <v>32</v>
      </c>
      <c r="C13025" t="str">
        <f t="shared" si="408"/>
        <v>No cumple</v>
      </c>
      <c r="D13025">
        <v>926</v>
      </c>
      <c r="E13025" t="s">
        <v>13</v>
      </c>
      <c r="F13025">
        <v>0</v>
      </c>
      <c r="G13025">
        <v>3</v>
      </c>
      <c r="H13025">
        <f t="shared" si="407"/>
        <v>-3</v>
      </c>
    </row>
    <row r="13026" spans="1:8" x14ac:dyDescent="0.2">
      <c r="A13026" t="s">
        <v>18</v>
      </c>
      <c r="B13026" t="s">
        <v>32</v>
      </c>
      <c r="C13026" t="str">
        <f t="shared" si="408"/>
        <v>No cumple</v>
      </c>
      <c r="D13026">
        <v>991</v>
      </c>
      <c r="E13026" t="s">
        <v>13</v>
      </c>
      <c r="F13026">
        <v>0</v>
      </c>
      <c r="G13026">
        <v>3</v>
      </c>
      <c r="H13026">
        <f t="shared" si="407"/>
        <v>-3</v>
      </c>
    </row>
    <row r="13027" spans="1:8" x14ac:dyDescent="0.2">
      <c r="A13027" t="s">
        <v>7</v>
      </c>
      <c r="B13027" t="s">
        <v>32</v>
      </c>
      <c r="C13027" t="str">
        <f t="shared" si="408"/>
        <v>No cumple</v>
      </c>
      <c r="D13027">
        <v>1297</v>
      </c>
      <c r="E13027" t="s">
        <v>13</v>
      </c>
      <c r="F13027">
        <v>0</v>
      </c>
      <c r="G13027">
        <v>3</v>
      </c>
      <c r="H13027">
        <f t="shared" si="407"/>
        <v>-3</v>
      </c>
    </row>
    <row r="13028" spans="1:8" x14ac:dyDescent="0.2">
      <c r="A13028" t="s">
        <v>18</v>
      </c>
      <c r="B13028" t="s">
        <v>32</v>
      </c>
      <c r="C13028" t="str">
        <f t="shared" si="408"/>
        <v>No cumple</v>
      </c>
      <c r="D13028">
        <v>1448</v>
      </c>
      <c r="E13028" t="s">
        <v>13</v>
      </c>
      <c r="F13028">
        <v>0</v>
      </c>
      <c r="G13028">
        <v>3</v>
      </c>
      <c r="H13028">
        <f t="shared" si="407"/>
        <v>-3</v>
      </c>
    </row>
    <row r="13029" spans="1:8" x14ac:dyDescent="0.2">
      <c r="A13029" t="s">
        <v>7</v>
      </c>
      <c r="B13029" t="s">
        <v>32</v>
      </c>
      <c r="C13029" t="str">
        <f t="shared" si="408"/>
        <v>No cumple</v>
      </c>
      <c r="D13029">
        <v>1470</v>
      </c>
      <c r="E13029" t="s">
        <v>13</v>
      </c>
      <c r="F13029">
        <v>0</v>
      </c>
      <c r="G13029">
        <v>3</v>
      </c>
      <c r="H13029">
        <f t="shared" si="407"/>
        <v>-3</v>
      </c>
    </row>
    <row r="13030" spans="1:8" x14ac:dyDescent="0.2">
      <c r="A13030" t="s">
        <v>7</v>
      </c>
      <c r="B13030" t="s">
        <v>32</v>
      </c>
      <c r="C13030" t="str">
        <f t="shared" si="408"/>
        <v>No cumple</v>
      </c>
      <c r="D13030">
        <v>1472</v>
      </c>
      <c r="E13030" t="s">
        <v>13</v>
      </c>
      <c r="F13030">
        <v>0</v>
      </c>
      <c r="G13030">
        <v>3</v>
      </c>
      <c r="H13030">
        <f t="shared" si="407"/>
        <v>-3</v>
      </c>
    </row>
    <row r="13031" spans="1:8" x14ac:dyDescent="0.2">
      <c r="A13031" t="s">
        <v>19</v>
      </c>
      <c r="B13031" t="s">
        <v>32</v>
      </c>
      <c r="C13031" t="str">
        <f t="shared" si="408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07"/>
        <v>-6</v>
      </c>
    </row>
    <row r="13032" spans="1:8" x14ac:dyDescent="0.2">
      <c r="A13032" t="s">
        <v>7</v>
      </c>
      <c r="B13032" t="s">
        <v>32</v>
      </c>
      <c r="C13032" t="str">
        <f t="shared" si="408"/>
        <v>No cumple</v>
      </c>
      <c r="D13032">
        <v>1502</v>
      </c>
      <c r="E13032" t="s">
        <v>13</v>
      </c>
      <c r="F13032">
        <v>0</v>
      </c>
      <c r="G13032">
        <v>3</v>
      </c>
      <c r="H13032">
        <f t="shared" si="407"/>
        <v>-3</v>
      </c>
    </row>
    <row r="13033" spans="1:8" x14ac:dyDescent="0.2">
      <c r="A13033" t="s">
        <v>19</v>
      </c>
      <c r="B13033" t="s">
        <v>32</v>
      </c>
      <c r="C13033" t="str">
        <f t="shared" si="408"/>
        <v>No cumple</v>
      </c>
      <c r="D13033">
        <v>1567</v>
      </c>
      <c r="E13033" t="s">
        <v>13</v>
      </c>
      <c r="F13033">
        <v>0</v>
      </c>
      <c r="G13033">
        <v>3</v>
      </c>
      <c r="H13033">
        <f t="shared" si="407"/>
        <v>-3</v>
      </c>
    </row>
    <row r="13034" spans="1:8" x14ac:dyDescent="0.2">
      <c r="A13034" t="s">
        <v>18</v>
      </c>
      <c r="B13034" t="s">
        <v>32</v>
      </c>
      <c r="C13034" t="str">
        <f t="shared" si="408"/>
        <v>Cumple</v>
      </c>
      <c r="D13034">
        <v>1595</v>
      </c>
      <c r="E13034" t="s">
        <v>13</v>
      </c>
      <c r="F13034" s="9">
        <v>6</v>
      </c>
      <c r="G13034">
        <v>6</v>
      </c>
      <c r="H13034">
        <f t="shared" si="407"/>
        <v>0</v>
      </c>
    </row>
    <row r="13035" spans="1:8" x14ac:dyDescent="0.2">
      <c r="A13035" t="s">
        <v>7</v>
      </c>
      <c r="B13035" t="s">
        <v>32</v>
      </c>
      <c r="C13035" t="str">
        <f t="shared" si="408"/>
        <v>No cumple</v>
      </c>
      <c r="D13035">
        <v>1603</v>
      </c>
      <c r="E13035" t="s">
        <v>13</v>
      </c>
      <c r="F13035">
        <v>0</v>
      </c>
      <c r="G13035">
        <v>3</v>
      </c>
      <c r="H13035">
        <f t="shared" si="407"/>
        <v>-3</v>
      </c>
    </row>
    <row r="13036" spans="1:8" x14ac:dyDescent="0.2">
      <c r="A13036" t="s">
        <v>7</v>
      </c>
      <c r="B13036" t="s">
        <v>32</v>
      </c>
      <c r="C13036" t="str">
        <f t="shared" si="408"/>
        <v>No cumple</v>
      </c>
      <c r="D13036">
        <v>1673</v>
      </c>
      <c r="E13036" t="s">
        <v>13</v>
      </c>
      <c r="F13036">
        <v>0</v>
      </c>
      <c r="G13036">
        <v>3</v>
      </c>
      <c r="H13036">
        <f t="shared" si="407"/>
        <v>-3</v>
      </c>
    </row>
    <row r="13037" spans="1:8" x14ac:dyDescent="0.2">
      <c r="A13037" t="s">
        <v>7</v>
      </c>
      <c r="B13037" t="s">
        <v>32</v>
      </c>
      <c r="C13037" t="str">
        <f t="shared" si="408"/>
        <v>No cumple</v>
      </c>
      <c r="D13037">
        <v>1675</v>
      </c>
      <c r="E13037" t="s">
        <v>13</v>
      </c>
      <c r="F13037">
        <v>0</v>
      </c>
      <c r="G13037">
        <v>3</v>
      </c>
      <c r="H13037">
        <f t="shared" si="407"/>
        <v>-3</v>
      </c>
    </row>
    <row r="13038" spans="1:8" x14ac:dyDescent="0.2">
      <c r="A13038" t="s">
        <v>7</v>
      </c>
      <c r="B13038" t="s">
        <v>32</v>
      </c>
      <c r="C13038" t="str">
        <f t="shared" si="408"/>
        <v>No cumple</v>
      </c>
      <c r="D13038">
        <v>1792</v>
      </c>
      <c r="E13038" t="s">
        <v>13</v>
      </c>
      <c r="F13038">
        <v>0</v>
      </c>
      <c r="G13038">
        <v>3</v>
      </c>
      <c r="H13038">
        <f t="shared" si="407"/>
        <v>-3</v>
      </c>
    </row>
    <row r="13039" spans="1:8" x14ac:dyDescent="0.2">
      <c r="A13039" t="s">
        <v>7</v>
      </c>
      <c r="B13039" t="s">
        <v>32</v>
      </c>
      <c r="C13039" t="str">
        <f t="shared" si="408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07"/>
        <v>-6</v>
      </c>
    </row>
    <row r="13040" spans="1:8" x14ac:dyDescent="0.2">
      <c r="A13040" t="s">
        <v>18</v>
      </c>
      <c r="B13040" t="s">
        <v>32</v>
      </c>
      <c r="C13040" t="str">
        <f t="shared" si="408"/>
        <v>No cumple</v>
      </c>
      <c r="D13040">
        <v>2212</v>
      </c>
      <c r="E13040" t="s">
        <v>13</v>
      </c>
      <c r="F13040">
        <v>0</v>
      </c>
      <c r="G13040">
        <v>3</v>
      </c>
      <c r="H13040">
        <f t="shared" si="407"/>
        <v>-3</v>
      </c>
    </row>
    <row r="13041" spans="1:8" x14ac:dyDescent="0.2">
      <c r="A13041" t="s">
        <v>7</v>
      </c>
      <c r="B13041" t="s">
        <v>32</v>
      </c>
      <c r="C13041" t="str">
        <f t="shared" si="408"/>
        <v>No cumple</v>
      </c>
      <c r="D13041">
        <v>2549</v>
      </c>
      <c r="E13041" t="s">
        <v>13</v>
      </c>
      <c r="F13041">
        <v>0</v>
      </c>
      <c r="G13041">
        <v>3</v>
      </c>
      <c r="H13041">
        <f t="shared" si="407"/>
        <v>-3</v>
      </c>
    </row>
    <row r="13042" spans="1:8" x14ac:dyDescent="0.2">
      <c r="A13042" t="s">
        <v>7</v>
      </c>
      <c r="B13042" t="s">
        <v>32</v>
      </c>
      <c r="C13042" t="str">
        <f t="shared" si="408"/>
        <v>No cumple</v>
      </c>
      <c r="D13042">
        <v>2857</v>
      </c>
      <c r="E13042" t="s">
        <v>13</v>
      </c>
      <c r="F13042">
        <v>0</v>
      </c>
      <c r="G13042">
        <v>3</v>
      </c>
      <c r="H13042">
        <f t="shared" si="407"/>
        <v>-3</v>
      </c>
    </row>
    <row r="13043" spans="1:8" x14ac:dyDescent="0.2">
      <c r="A13043" t="s">
        <v>7</v>
      </c>
      <c r="B13043" t="s">
        <v>32</v>
      </c>
      <c r="C13043" t="str">
        <f t="shared" si="408"/>
        <v>No cumple</v>
      </c>
      <c r="D13043">
        <v>2941</v>
      </c>
      <c r="E13043" t="s">
        <v>13</v>
      </c>
      <c r="F13043">
        <v>0</v>
      </c>
      <c r="G13043">
        <v>3</v>
      </c>
      <c r="H13043">
        <f t="shared" si="407"/>
        <v>-3</v>
      </c>
    </row>
    <row r="13044" spans="1:8" x14ac:dyDescent="0.2">
      <c r="A13044" t="s">
        <v>7</v>
      </c>
      <c r="B13044" t="s">
        <v>32</v>
      </c>
      <c r="C13044" t="str">
        <f t="shared" si="408"/>
        <v>No cumple</v>
      </c>
      <c r="D13044">
        <v>2942</v>
      </c>
      <c r="E13044" t="s">
        <v>13</v>
      </c>
      <c r="F13044">
        <v>0</v>
      </c>
      <c r="G13044">
        <v>3</v>
      </c>
      <c r="H13044">
        <f t="shared" si="407"/>
        <v>-3</v>
      </c>
    </row>
    <row r="13045" spans="1:8" x14ac:dyDescent="0.2">
      <c r="A13045" t="s">
        <v>7</v>
      </c>
      <c r="B13045" t="s">
        <v>32</v>
      </c>
      <c r="C13045" t="str">
        <f t="shared" si="408"/>
        <v>No cumple</v>
      </c>
      <c r="D13045">
        <v>2943</v>
      </c>
      <c r="E13045" t="s">
        <v>13</v>
      </c>
      <c r="F13045">
        <v>0</v>
      </c>
      <c r="G13045">
        <v>3</v>
      </c>
      <c r="H13045">
        <f t="shared" si="407"/>
        <v>-3</v>
      </c>
    </row>
    <row r="13046" spans="1:8" x14ac:dyDescent="0.2">
      <c r="A13046" t="s">
        <v>7</v>
      </c>
      <c r="B13046" t="s">
        <v>32</v>
      </c>
      <c r="C13046" t="str">
        <f t="shared" si="408"/>
        <v>No cumple</v>
      </c>
      <c r="D13046">
        <v>2944</v>
      </c>
      <c r="E13046" t="s">
        <v>13</v>
      </c>
      <c r="F13046">
        <v>0</v>
      </c>
      <c r="G13046">
        <v>3</v>
      </c>
      <c r="H13046">
        <f t="shared" si="407"/>
        <v>-3</v>
      </c>
    </row>
    <row r="13047" spans="1:8" x14ac:dyDescent="0.2">
      <c r="A13047" t="s">
        <v>7</v>
      </c>
      <c r="B13047" t="s">
        <v>32</v>
      </c>
      <c r="C13047" t="str">
        <f t="shared" si="408"/>
        <v>No cumple</v>
      </c>
      <c r="D13047">
        <v>2945</v>
      </c>
      <c r="E13047" t="s">
        <v>13</v>
      </c>
      <c r="F13047">
        <v>0</v>
      </c>
      <c r="G13047">
        <v>3</v>
      </c>
      <c r="H13047">
        <f t="shared" si="407"/>
        <v>-3</v>
      </c>
    </row>
    <row r="13048" spans="1:8" x14ac:dyDescent="0.2">
      <c r="A13048" t="s">
        <v>7</v>
      </c>
      <c r="B13048" t="s">
        <v>32</v>
      </c>
      <c r="C13048" t="str">
        <f t="shared" si="408"/>
        <v>No cumple</v>
      </c>
      <c r="D13048">
        <v>2947</v>
      </c>
      <c r="E13048" t="s">
        <v>13</v>
      </c>
      <c r="F13048">
        <v>0</v>
      </c>
      <c r="G13048">
        <v>3</v>
      </c>
      <c r="H13048">
        <f t="shared" si="407"/>
        <v>-3</v>
      </c>
    </row>
    <row r="13049" spans="1:8" x14ac:dyDescent="0.2">
      <c r="A13049" t="s">
        <v>7</v>
      </c>
      <c r="B13049" t="s">
        <v>32</v>
      </c>
      <c r="C13049" t="str">
        <f t="shared" si="408"/>
        <v>No cumple</v>
      </c>
      <c r="D13049">
        <v>2948</v>
      </c>
      <c r="E13049" t="s">
        <v>13</v>
      </c>
      <c r="F13049">
        <v>0</v>
      </c>
      <c r="G13049">
        <v>3</v>
      </c>
      <c r="H13049">
        <f t="shared" si="407"/>
        <v>-3</v>
      </c>
    </row>
    <row r="13050" spans="1:8" x14ac:dyDescent="0.2">
      <c r="A13050" t="s">
        <v>7</v>
      </c>
      <c r="B13050" t="s">
        <v>32</v>
      </c>
      <c r="C13050" t="str">
        <f t="shared" si="408"/>
        <v>No cumple</v>
      </c>
      <c r="D13050">
        <v>2949</v>
      </c>
      <c r="E13050" t="s">
        <v>13</v>
      </c>
      <c r="F13050">
        <v>0</v>
      </c>
      <c r="G13050">
        <v>3</v>
      </c>
      <c r="H13050">
        <f t="shared" si="407"/>
        <v>-3</v>
      </c>
    </row>
    <row r="13051" spans="1:8" x14ac:dyDescent="0.2">
      <c r="A13051" t="s">
        <v>7</v>
      </c>
      <c r="B13051" t="s">
        <v>32</v>
      </c>
      <c r="C13051" t="str">
        <f t="shared" si="408"/>
        <v>No cumple</v>
      </c>
      <c r="D13051">
        <v>2950</v>
      </c>
      <c r="E13051" t="s">
        <v>13</v>
      </c>
      <c r="F13051">
        <v>0</v>
      </c>
      <c r="G13051">
        <v>3</v>
      </c>
      <c r="H13051">
        <f t="shared" si="407"/>
        <v>-3</v>
      </c>
    </row>
    <row r="13052" spans="1:8" x14ac:dyDescent="0.2">
      <c r="A13052" t="s">
        <v>7</v>
      </c>
      <c r="B13052" t="s">
        <v>32</v>
      </c>
      <c r="C13052" t="str">
        <f t="shared" si="408"/>
        <v>No cumple</v>
      </c>
      <c r="D13052">
        <v>2951</v>
      </c>
      <c r="E13052" t="s">
        <v>13</v>
      </c>
      <c r="F13052">
        <v>0</v>
      </c>
      <c r="G13052">
        <v>3</v>
      </c>
      <c r="H13052">
        <f t="shared" si="407"/>
        <v>-3</v>
      </c>
    </row>
    <row r="13053" spans="1:8" x14ac:dyDescent="0.2">
      <c r="A13053" t="s">
        <v>7</v>
      </c>
      <c r="B13053" t="s">
        <v>32</v>
      </c>
      <c r="C13053" t="str">
        <f t="shared" si="408"/>
        <v>No cumple</v>
      </c>
      <c r="D13053">
        <v>2952</v>
      </c>
      <c r="E13053" t="s">
        <v>13</v>
      </c>
      <c r="F13053">
        <v>0</v>
      </c>
      <c r="G13053">
        <v>3</v>
      </c>
      <c r="H13053">
        <f t="shared" si="407"/>
        <v>-3</v>
      </c>
    </row>
    <row r="13054" spans="1:8" x14ac:dyDescent="0.2">
      <c r="A13054" t="s">
        <v>7</v>
      </c>
      <c r="B13054" t="s">
        <v>32</v>
      </c>
      <c r="C13054" t="str">
        <f t="shared" si="408"/>
        <v>No cumple</v>
      </c>
      <c r="D13054">
        <v>2954</v>
      </c>
      <c r="E13054" t="s">
        <v>13</v>
      </c>
      <c r="F13054">
        <v>0</v>
      </c>
      <c r="G13054">
        <v>3</v>
      </c>
      <c r="H13054">
        <f t="shared" si="407"/>
        <v>-3</v>
      </c>
    </row>
    <row r="13055" spans="1:8" x14ac:dyDescent="0.2">
      <c r="A13055" t="s">
        <v>7</v>
      </c>
      <c r="B13055" t="s">
        <v>32</v>
      </c>
      <c r="C13055" t="str">
        <f t="shared" si="408"/>
        <v>No cumple</v>
      </c>
      <c r="D13055">
        <v>2955</v>
      </c>
      <c r="E13055" t="s">
        <v>13</v>
      </c>
      <c r="F13055">
        <v>0</v>
      </c>
      <c r="G13055">
        <v>3</v>
      </c>
      <c r="H13055">
        <f t="shared" si="407"/>
        <v>-3</v>
      </c>
    </row>
    <row r="13056" spans="1:8" x14ac:dyDescent="0.2">
      <c r="A13056" t="s">
        <v>7</v>
      </c>
      <c r="B13056" t="s">
        <v>32</v>
      </c>
      <c r="C13056" t="str">
        <f t="shared" si="408"/>
        <v>No cumple</v>
      </c>
      <c r="D13056">
        <v>2956</v>
      </c>
      <c r="E13056" t="s">
        <v>13</v>
      </c>
      <c r="F13056">
        <v>0</v>
      </c>
      <c r="G13056">
        <v>3</v>
      </c>
      <c r="H13056">
        <f t="shared" si="407"/>
        <v>-3</v>
      </c>
    </row>
    <row r="13057" spans="1:8" x14ac:dyDescent="0.2">
      <c r="A13057" t="s">
        <v>7</v>
      </c>
      <c r="B13057" t="s">
        <v>32</v>
      </c>
      <c r="C13057" t="str">
        <f t="shared" si="408"/>
        <v>No cumple</v>
      </c>
      <c r="D13057">
        <v>2958</v>
      </c>
      <c r="E13057" t="s">
        <v>13</v>
      </c>
      <c r="F13057">
        <v>0</v>
      </c>
      <c r="G13057">
        <v>3</v>
      </c>
      <c r="H13057">
        <f t="shared" si="407"/>
        <v>-3</v>
      </c>
    </row>
    <row r="13058" spans="1:8" x14ac:dyDescent="0.2">
      <c r="A13058" t="s">
        <v>7</v>
      </c>
      <c r="B13058" t="s">
        <v>32</v>
      </c>
      <c r="C13058" t="str">
        <f t="shared" si="408"/>
        <v>No cumple</v>
      </c>
      <c r="D13058">
        <v>2965</v>
      </c>
      <c r="E13058" t="s">
        <v>13</v>
      </c>
      <c r="F13058">
        <v>0</v>
      </c>
      <c r="G13058">
        <v>3</v>
      </c>
      <c r="H13058">
        <f t="shared" si="407"/>
        <v>-3</v>
      </c>
    </row>
    <row r="13059" spans="1:8" x14ac:dyDescent="0.2">
      <c r="A13059" t="s">
        <v>7</v>
      </c>
      <c r="B13059" t="s">
        <v>32</v>
      </c>
      <c r="C13059" t="str">
        <f t="shared" si="408"/>
        <v>No cumple</v>
      </c>
      <c r="D13059">
        <v>2969</v>
      </c>
      <c r="E13059" t="s">
        <v>13</v>
      </c>
      <c r="F13059">
        <v>0</v>
      </c>
      <c r="G13059">
        <v>3</v>
      </c>
      <c r="H13059">
        <f t="shared" ref="H13059:H13122" si="409">F13059-G13059</f>
        <v>-3</v>
      </c>
    </row>
    <row r="13060" spans="1:8" x14ac:dyDescent="0.2">
      <c r="A13060" t="s">
        <v>7</v>
      </c>
      <c r="B13060" t="s">
        <v>32</v>
      </c>
      <c r="C13060" t="str">
        <f t="shared" si="408"/>
        <v>No cumple</v>
      </c>
      <c r="D13060">
        <v>2971</v>
      </c>
      <c r="E13060" t="s">
        <v>13</v>
      </c>
      <c r="F13060">
        <v>0</v>
      </c>
      <c r="G13060">
        <v>3</v>
      </c>
      <c r="H13060">
        <f t="shared" si="409"/>
        <v>-3</v>
      </c>
    </row>
    <row r="13061" spans="1:8" x14ac:dyDescent="0.2">
      <c r="A13061" t="s">
        <v>7</v>
      </c>
      <c r="B13061" t="s">
        <v>32</v>
      </c>
      <c r="C13061" t="str">
        <f t="shared" ref="C13061:C13124" si="410">IF(H13061&gt;=0,"Cumple","No cumple")</f>
        <v>No cumple</v>
      </c>
      <c r="D13061">
        <v>2975</v>
      </c>
      <c r="E13061" t="s">
        <v>13</v>
      </c>
      <c r="F13061">
        <v>0</v>
      </c>
      <c r="G13061">
        <v>3</v>
      </c>
      <c r="H13061">
        <f t="shared" si="409"/>
        <v>-3</v>
      </c>
    </row>
    <row r="13062" spans="1:8" x14ac:dyDescent="0.2">
      <c r="A13062" t="s">
        <v>7</v>
      </c>
      <c r="B13062" t="s">
        <v>32</v>
      </c>
      <c r="C13062" t="str">
        <f t="shared" si="410"/>
        <v>No cumple</v>
      </c>
      <c r="D13062">
        <v>2977</v>
      </c>
      <c r="E13062" t="s">
        <v>13</v>
      </c>
      <c r="F13062">
        <v>0</v>
      </c>
      <c r="G13062">
        <v>3</v>
      </c>
      <c r="H13062">
        <f t="shared" si="409"/>
        <v>-3</v>
      </c>
    </row>
    <row r="13063" spans="1:8" x14ac:dyDescent="0.2">
      <c r="A13063" t="s">
        <v>7</v>
      </c>
      <c r="B13063" t="s">
        <v>32</v>
      </c>
      <c r="C13063" t="str">
        <f t="shared" si="410"/>
        <v>No cumple</v>
      </c>
      <c r="D13063">
        <v>2978</v>
      </c>
      <c r="E13063" t="s">
        <v>13</v>
      </c>
      <c r="F13063">
        <v>0</v>
      </c>
      <c r="G13063">
        <v>3</v>
      </c>
      <c r="H13063">
        <f t="shared" si="409"/>
        <v>-3</v>
      </c>
    </row>
    <row r="13064" spans="1:8" x14ac:dyDescent="0.2">
      <c r="A13064" t="s">
        <v>7</v>
      </c>
      <c r="B13064" t="s">
        <v>32</v>
      </c>
      <c r="C13064" t="str">
        <f t="shared" si="410"/>
        <v>No cumple</v>
      </c>
      <c r="D13064">
        <v>2979</v>
      </c>
      <c r="E13064" t="s">
        <v>13</v>
      </c>
      <c r="F13064">
        <v>0</v>
      </c>
      <c r="G13064">
        <v>3</v>
      </c>
      <c r="H13064">
        <f t="shared" si="409"/>
        <v>-3</v>
      </c>
    </row>
    <row r="13065" spans="1:8" x14ac:dyDescent="0.2">
      <c r="A13065" t="s">
        <v>7</v>
      </c>
      <c r="B13065" t="s">
        <v>32</v>
      </c>
      <c r="C13065" t="str">
        <f t="shared" si="410"/>
        <v>No cumple</v>
      </c>
      <c r="D13065">
        <v>2980</v>
      </c>
      <c r="E13065" t="s">
        <v>13</v>
      </c>
      <c r="F13065">
        <v>0</v>
      </c>
      <c r="G13065">
        <v>3</v>
      </c>
      <c r="H13065">
        <f t="shared" si="409"/>
        <v>-3</v>
      </c>
    </row>
    <row r="13066" spans="1:8" x14ac:dyDescent="0.2">
      <c r="A13066" t="s">
        <v>7</v>
      </c>
      <c r="B13066" t="s">
        <v>32</v>
      </c>
      <c r="C13066" t="str">
        <f t="shared" si="410"/>
        <v>No cumple</v>
      </c>
      <c r="D13066">
        <v>2981</v>
      </c>
      <c r="E13066" t="s">
        <v>13</v>
      </c>
      <c r="F13066">
        <v>0</v>
      </c>
      <c r="G13066">
        <v>3</v>
      </c>
      <c r="H13066">
        <f t="shared" si="409"/>
        <v>-3</v>
      </c>
    </row>
    <row r="13067" spans="1:8" x14ac:dyDescent="0.2">
      <c r="A13067" t="s">
        <v>18</v>
      </c>
      <c r="B13067" t="s">
        <v>32</v>
      </c>
      <c r="C13067" t="str">
        <f t="shared" si="410"/>
        <v>No cumple</v>
      </c>
      <c r="D13067">
        <v>3198</v>
      </c>
      <c r="E13067" t="s">
        <v>13</v>
      </c>
      <c r="F13067">
        <v>0</v>
      </c>
      <c r="G13067">
        <v>3</v>
      </c>
      <c r="H13067">
        <f t="shared" si="409"/>
        <v>-3</v>
      </c>
    </row>
    <row r="13068" spans="1:8" x14ac:dyDescent="0.2">
      <c r="A13068" t="s">
        <v>18</v>
      </c>
      <c r="B13068" t="s">
        <v>32</v>
      </c>
      <c r="C13068" t="str">
        <f t="shared" si="410"/>
        <v>No cumple</v>
      </c>
      <c r="D13068">
        <v>3428</v>
      </c>
      <c r="E13068" t="s">
        <v>13</v>
      </c>
      <c r="F13068">
        <v>0</v>
      </c>
      <c r="G13068">
        <v>3</v>
      </c>
      <c r="H13068">
        <f t="shared" si="409"/>
        <v>-3</v>
      </c>
    </row>
    <row r="13069" spans="1:8" x14ac:dyDescent="0.2">
      <c r="A13069" t="s">
        <v>19</v>
      </c>
      <c r="B13069" t="s">
        <v>32</v>
      </c>
      <c r="C13069" t="str">
        <f t="shared" si="410"/>
        <v>No cumple</v>
      </c>
      <c r="D13069">
        <v>3529</v>
      </c>
      <c r="E13069" t="s">
        <v>13</v>
      </c>
      <c r="F13069">
        <v>0</v>
      </c>
      <c r="G13069">
        <v>3</v>
      </c>
      <c r="H13069">
        <f t="shared" si="409"/>
        <v>-3</v>
      </c>
    </row>
    <row r="13070" spans="1:8" x14ac:dyDescent="0.2">
      <c r="A13070" t="s">
        <v>7</v>
      </c>
      <c r="B13070" t="s">
        <v>32</v>
      </c>
      <c r="C13070" t="str">
        <f t="shared" si="410"/>
        <v>No cumple</v>
      </c>
      <c r="D13070">
        <v>3543</v>
      </c>
      <c r="E13070" t="s">
        <v>13</v>
      </c>
      <c r="F13070">
        <v>0</v>
      </c>
      <c r="G13070">
        <v>3</v>
      </c>
      <c r="H13070">
        <f t="shared" si="409"/>
        <v>-3</v>
      </c>
    </row>
    <row r="13071" spans="1:8" x14ac:dyDescent="0.2">
      <c r="A13071" t="s">
        <v>7</v>
      </c>
      <c r="B13071" t="s">
        <v>32</v>
      </c>
      <c r="C13071" t="str">
        <f t="shared" si="410"/>
        <v>No cumple</v>
      </c>
      <c r="D13071">
        <v>3594</v>
      </c>
      <c r="E13071" t="s">
        <v>13</v>
      </c>
      <c r="F13071">
        <v>0</v>
      </c>
      <c r="G13071">
        <v>3</v>
      </c>
      <c r="H13071">
        <f t="shared" si="409"/>
        <v>-3</v>
      </c>
    </row>
    <row r="13072" spans="1:8" x14ac:dyDescent="0.2">
      <c r="A13072" t="s">
        <v>7</v>
      </c>
      <c r="B13072" t="s">
        <v>32</v>
      </c>
      <c r="C13072" t="str">
        <f t="shared" si="410"/>
        <v>No cumple</v>
      </c>
      <c r="D13072">
        <v>3731</v>
      </c>
      <c r="E13072" t="s">
        <v>13</v>
      </c>
      <c r="F13072">
        <v>0</v>
      </c>
      <c r="G13072">
        <v>3</v>
      </c>
      <c r="H13072">
        <f t="shared" si="409"/>
        <v>-3</v>
      </c>
    </row>
    <row r="13073" spans="1:8" x14ac:dyDescent="0.2">
      <c r="A13073" t="s">
        <v>7</v>
      </c>
      <c r="B13073" t="s">
        <v>32</v>
      </c>
      <c r="C13073" t="str">
        <f t="shared" si="410"/>
        <v>No cumple</v>
      </c>
      <c r="D13073">
        <v>3742</v>
      </c>
      <c r="E13073" t="s">
        <v>13</v>
      </c>
      <c r="F13073">
        <v>0</v>
      </c>
      <c r="G13073">
        <v>3</v>
      </c>
      <c r="H13073">
        <f t="shared" si="409"/>
        <v>-3</v>
      </c>
    </row>
    <row r="13074" spans="1:8" x14ac:dyDescent="0.2">
      <c r="A13074" t="s">
        <v>19</v>
      </c>
      <c r="B13074" t="s">
        <v>32</v>
      </c>
      <c r="C13074" t="str">
        <f t="shared" si="410"/>
        <v>No cumple</v>
      </c>
      <c r="D13074">
        <v>3831</v>
      </c>
      <c r="E13074" t="s">
        <v>13</v>
      </c>
      <c r="F13074">
        <v>0</v>
      </c>
      <c r="G13074">
        <v>3</v>
      </c>
      <c r="H13074">
        <f t="shared" si="409"/>
        <v>-3</v>
      </c>
    </row>
    <row r="13075" spans="1:8" x14ac:dyDescent="0.2">
      <c r="A13075" t="s">
        <v>18</v>
      </c>
      <c r="B13075" t="s">
        <v>32</v>
      </c>
      <c r="C13075" t="str">
        <f t="shared" si="410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09"/>
        <v>-6</v>
      </c>
    </row>
    <row r="13076" spans="1:8" x14ac:dyDescent="0.2">
      <c r="A13076" t="s">
        <v>19</v>
      </c>
      <c r="B13076" t="s">
        <v>32</v>
      </c>
      <c r="C13076" t="str">
        <f t="shared" si="410"/>
        <v>No cumple</v>
      </c>
      <c r="D13076">
        <v>3914</v>
      </c>
      <c r="E13076" t="s">
        <v>13</v>
      </c>
      <c r="F13076">
        <v>0</v>
      </c>
      <c r="G13076">
        <v>3</v>
      </c>
      <c r="H13076">
        <f t="shared" si="409"/>
        <v>-3</v>
      </c>
    </row>
    <row r="13077" spans="1:8" x14ac:dyDescent="0.2">
      <c r="A13077" t="s">
        <v>18</v>
      </c>
      <c r="B13077" t="s">
        <v>32</v>
      </c>
      <c r="C13077" t="str">
        <f t="shared" si="410"/>
        <v>No cumple</v>
      </c>
      <c r="D13077">
        <v>3958</v>
      </c>
      <c r="E13077" t="s">
        <v>13</v>
      </c>
      <c r="F13077">
        <v>0</v>
      </c>
      <c r="G13077">
        <v>3</v>
      </c>
      <c r="H13077">
        <f t="shared" si="409"/>
        <v>-3</v>
      </c>
    </row>
    <row r="13078" spans="1:8" x14ac:dyDescent="0.2">
      <c r="A13078" t="s">
        <v>7</v>
      </c>
      <c r="B13078" t="s">
        <v>32</v>
      </c>
      <c r="C13078" t="str">
        <f t="shared" si="410"/>
        <v>No cumple</v>
      </c>
      <c r="D13078">
        <v>7028</v>
      </c>
      <c r="E13078" t="s">
        <v>13</v>
      </c>
      <c r="F13078">
        <v>0</v>
      </c>
      <c r="G13078">
        <v>3</v>
      </c>
      <c r="H13078">
        <f t="shared" si="409"/>
        <v>-3</v>
      </c>
    </row>
    <row r="13079" spans="1:8" x14ac:dyDescent="0.2">
      <c r="A13079" t="s">
        <v>18</v>
      </c>
      <c r="B13079" t="s">
        <v>32</v>
      </c>
      <c r="C13079" t="str">
        <f t="shared" si="410"/>
        <v>Cumple</v>
      </c>
      <c r="D13079">
        <v>7597</v>
      </c>
      <c r="E13079" t="s">
        <v>13</v>
      </c>
      <c r="F13079" s="9">
        <v>6</v>
      </c>
      <c r="G13079">
        <v>6</v>
      </c>
      <c r="H13079">
        <f t="shared" si="409"/>
        <v>0</v>
      </c>
    </row>
    <row r="13080" spans="1:8" x14ac:dyDescent="0.2">
      <c r="A13080" t="s">
        <v>7</v>
      </c>
      <c r="B13080" t="s">
        <v>32</v>
      </c>
      <c r="C13080" t="str">
        <f t="shared" si="410"/>
        <v>No cumple</v>
      </c>
      <c r="D13080">
        <v>9004</v>
      </c>
      <c r="E13080" t="s">
        <v>13</v>
      </c>
      <c r="F13080">
        <v>0</v>
      </c>
      <c r="G13080">
        <v>3</v>
      </c>
      <c r="H13080">
        <f t="shared" si="409"/>
        <v>-3</v>
      </c>
    </row>
    <row r="13081" spans="1:8" x14ac:dyDescent="0.2">
      <c r="A13081" t="s">
        <v>18</v>
      </c>
      <c r="B13081" t="s">
        <v>32</v>
      </c>
      <c r="C13081" t="str">
        <f t="shared" si="410"/>
        <v>No cumple</v>
      </c>
      <c r="D13081">
        <v>9820</v>
      </c>
      <c r="E13081" t="s">
        <v>13</v>
      </c>
      <c r="F13081">
        <v>0</v>
      </c>
      <c r="G13081">
        <v>3</v>
      </c>
      <c r="H13081">
        <f t="shared" si="409"/>
        <v>-3</v>
      </c>
    </row>
    <row r="13082" spans="1:8" x14ac:dyDescent="0.2">
      <c r="A13082" t="s">
        <v>7</v>
      </c>
      <c r="B13082" t="s">
        <v>32</v>
      </c>
      <c r="C13082" t="str">
        <f t="shared" si="410"/>
        <v>No cumple</v>
      </c>
      <c r="D13082">
        <v>9834</v>
      </c>
      <c r="E13082" t="s">
        <v>13</v>
      </c>
      <c r="F13082">
        <v>0</v>
      </c>
      <c r="G13082">
        <v>3</v>
      </c>
      <c r="H13082">
        <f t="shared" si="409"/>
        <v>-3</v>
      </c>
    </row>
    <row r="13083" spans="1:8" x14ac:dyDescent="0.2">
      <c r="A13083" t="s">
        <v>7</v>
      </c>
      <c r="B13083" t="s">
        <v>32</v>
      </c>
      <c r="C13083" t="str">
        <f t="shared" si="410"/>
        <v>No cumple</v>
      </c>
      <c r="D13083">
        <v>9298</v>
      </c>
      <c r="E13083" t="s">
        <v>13</v>
      </c>
      <c r="F13083">
        <v>0</v>
      </c>
      <c r="G13083">
        <v>3</v>
      </c>
      <c r="H13083">
        <f t="shared" si="409"/>
        <v>-3</v>
      </c>
    </row>
    <row r="13084" spans="1:8" x14ac:dyDescent="0.2">
      <c r="A13084" t="s">
        <v>18</v>
      </c>
      <c r="B13084" t="s">
        <v>32</v>
      </c>
      <c r="C13084" t="str">
        <f t="shared" si="410"/>
        <v>No cumple</v>
      </c>
      <c r="D13084">
        <v>4030</v>
      </c>
      <c r="E13084" t="s">
        <v>13</v>
      </c>
      <c r="F13084">
        <v>0</v>
      </c>
      <c r="G13084">
        <v>3</v>
      </c>
      <c r="H13084">
        <f t="shared" si="409"/>
        <v>-3</v>
      </c>
    </row>
    <row r="13085" spans="1:8" x14ac:dyDescent="0.2">
      <c r="A13085" t="s">
        <v>18</v>
      </c>
      <c r="B13085" t="s">
        <v>32</v>
      </c>
      <c r="C13085" t="str">
        <f t="shared" si="410"/>
        <v>No cumple</v>
      </c>
      <c r="D13085">
        <v>3793</v>
      </c>
      <c r="E13085" t="s">
        <v>13</v>
      </c>
      <c r="F13085">
        <v>0</v>
      </c>
      <c r="G13085">
        <v>3</v>
      </c>
      <c r="H13085">
        <f t="shared" si="409"/>
        <v>-3</v>
      </c>
    </row>
    <row r="13086" spans="1:8" x14ac:dyDescent="0.2">
      <c r="A13086" t="s">
        <v>18</v>
      </c>
      <c r="B13086" t="s">
        <v>32</v>
      </c>
      <c r="C13086" t="str">
        <f t="shared" si="410"/>
        <v>No cumple</v>
      </c>
      <c r="D13086">
        <v>3860</v>
      </c>
      <c r="E13086" t="s">
        <v>13</v>
      </c>
      <c r="F13086">
        <v>0</v>
      </c>
      <c r="G13086">
        <v>3</v>
      </c>
      <c r="H13086">
        <f t="shared" si="409"/>
        <v>-3</v>
      </c>
    </row>
    <row r="13087" spans="1:8" x14ac:dyDescent="0.2">
      <c r="A13087" t="s">
        <v>7</v>
      </c>
      <c r="B13087" t="s">
        <v>32</v>
      </c>
      <c r="C13087" t="str">
        <f t="shared" si="410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09"/>
        <v>29</v>
      </c>
    </row>
    <row r="13088" spans="1:8" x14ac:dyDescent="0.2">
      <c r="A13088" t="s">
        <v>7</v>
      </c>
      <c r="B13088" t="s">
        <v>32</v>
      </c>
      <c r="C13088" t="str">
        <f t="shared" si="410"/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si="409"/>
        <v>20</v>
      </c>
    </row>
    <row r="13089" spans="1:8" x14ac:dyDescent="0.2">
      <c r="A13089" t="s">
        <v>7</v>
      </c>
      <c r="B13089" t="s">
        <v>32</v>
      </c>
      <c r="C13089" t="str">
        <f t="shared" si="410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09"/>
        <v>17</v>
      </c>
    </row>
    <row r="13090" spans="1:8" x14ac:dyDescent="0.2">
      <c r="A13090" t="s">
        <v>7</v>
      </c>
      <c r="B13090" t="s">
        <v>32</v>
      </c>
      <c r="C13090" t="str">
        <f t="shared" si="410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09"/>
        <v>15</v>
      </c>
    </row>
    <row r="13091" spans="1:8" x14ac:dyDescent="0.2">
      <c r="A13091" t="s">
        <v>7</v>
      </c>
      <c r="B13091" t="s">
        <v>32</v>
      </c>
      <c r="C13091" t="str">
        <f t="shared" si="410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09"/>
        <v>13</v>
      </c>
    </row>
    <row r="13092" spans="1:8" x14ac:dyDescent="0.2">
      <c r="A13092" t="s">
        <v>7</v>
      </c>
      <c r="B13092" t="s">
        <v>32</v>
      </c>
      <c r="C13092" t="str">
        <f t="shared" si="410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09"/>
        <v>11</v>
      </c>
    </row>
    <row r="13093" spans="1:8" x14ac:dyDescent="0.2">
      <c r="A13093" t="s">
        <v>7</v>
      </c>
      <c r="B13093" t="s">
        <v>32</v>
      </c>
      <c r="C13093" t="str">
        <f t="shared" si="410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09"/>
        <v>9</v>
      </c>
    </row>
    <row r="13094" spans="1:8" x14ac:dyDescent="0.2">
      <c r="A13094" t="s">
        <v>7</v>
      </c>
      <c r="B13094" t="s">
        <v>32</v>
      </c>
      <c r="C13094" t="str">
        <f t="shared" si="410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09"/>
        <v>8</v>
      </c>
    </row>
    <row r="13095" spans="1:8" x14ac:dyDescent="0.2">
      <c r="A13095" t="s">
        <v>7</v>
      </c>
      <c r="B13095" t="s">
        <v>32</v>
      </c>
      <c r="C13095" t="str">
        <f t="shared" si="410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09"/>
        <v>7</v>
      </c>
    </row>
    <row r="13096" spans="1:8" x14ac:dyDescent="0.2">
      <c r="A13096" t="s">
        <v>7</v>
      </c>
      <c r="B13096" t="s">
        <v>32</v>
      </c>
      <c r="C13096" t="str">
        <f t="shared" si="410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09"/>
        <v>6</v>
      </c>
    </row>
    <row r="13097" spans="1:8" x14ac:dyDescent="0.2">
      <c r="A13097" t="s">
        <v>7</v>
      </c>
      <c r="B13097" t="s">
        <v>32</v>
      </c>
      <c r="C13097" t="str">
        <f t="shared" si="410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09"/>
        <v>5</v>
      </c>
    </row>
    <row r="13098" spans="1:8" x14ac:dyDescent="0.2">
      <c r="A13098" t="s">
        <v>7</v>
      </c>
      <c r="B13098" t="s">
        <v>32</v>
      </c>
      <c r="C13098" t="str">
        <f t="shared" si="410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09"/>
        <v>4</v>
      </c>
    </row>
    <row r="13099" spans="1:8" x14ac:dyDescent="0.2">
      <c r="A13099" t="s">
        <v>7</v>
      </c>
      <c r="B13099" t="s">
        <v>32</v>
      </c>
      <c r="C13099" t="str">
        <f t="shared" si="410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09"/>
        <v>3</v>
      </c>
    </row>
    <row r="13100" spans="1:8" x14ac:dyDescent="0.2">
      <c r="A13100" t="s">
        <v>7</v>
      </c>
      <c r="B13100" t="s">
        <v>32</v>
      </c>
      <c r="C13100" t="str">
        <f t="shared" si="410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09"/>
        <v>3</v>
      </c>
    </row>
    <row r="13101" spans="1:8" x14ac:dyDescent="0.2">
      <c r="A13101" t="s">
        <v>7</v>
      </c>
      <c r="B13101" t="s">
        <v>32</v>
      </c>
      <c r="C13101" t="str">
        <f t="shared" si="410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09"/>
        <v>3</v>
      </c>
    </row>
    <row r="13102" spans="1:8" x14ac:dyDescent="0.2">
      <c r="A13102" t="s">
        <v>7</v>
      </c>
      <c r="B13102" t="s">
        <v>32</v>
      </c>
      <c r="C13102" t="str">
        <f t="shared" si="410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09"/>
        <v>2</v>
      </c>
    </row>
    <row r="13103" spans="1:8" x14ac:dyDescent="0.2">
      <c r="A13103" t="s">
        <v>7</v>
      </c>
      <c r="B13103" t="s">
        <v>32</v>
      </c>
      <c r="C13103" t="str">
        <f t="shared" si="410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09"/>
        <v>2</v>
      </c>
    </row>
    <row r="13104" spans="1:8" x14ac:dyDescent="0.2">
      <c r="A13104" t="s">
        <v>7</v>
      </c>
      <c r="B13104" t="s">
        <v>32</v>
      </c>
      <c r="C13104" t="str">
        <f t="shared" si="410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09"/>
        <v>2</v>
      </c>
    </row>
    <row r="13105" spans="1:8" x14ac:dyDescent="0.2">
      <c r="A13105" t="s">
        <v>7</v>
      </c>
      <c r="B13105" t="s">
        <v>32</v>
      </c>
      <c r="C13105" t="str">
        <f t="shared" si="410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09"/>
        <v>1</v>
      </c>
    </row>
    <row r="13106" spans="1:8" x14ac:dyDescent="0.2">
      <c r="A13106" t="s">
        <v>7</v>
      </c>
      <c r="B13106" t="s">
        <v>32</v>
      </c>
      <c r="C13106" t="str">
        <f t="shared" si="410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09"/>
        <v>1</v>
      </c>
    </row>
    <row r="13107" spans="1:8" x14ac:dyDescent="0.2">
      <c r="A13107" t="s">
        <v>7</v>
      </c>
      <c r="B13107" t="s">
        <v>32</v>
      </c>
      <c r="C13107" t="str">
        <f t="shared" si="410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09"/>
        <v>0</v>
      </c>
    </row>
    <row r="13108" spans="1:8" x14ac:dyDescent="0.2">
      <c r="A13108" t="s">
        <v>7</v>
      </c>
      <c r="B13108" t="s">
        <v>32</v>
      </c>
      <c r="C13108" t="str">
        <f t="shared" si="410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09"/>
        <v>0</v>
      </c>
    </row>
    <row r="13109" spans="1:8" x14ac:dyDescent="0.2">
      <c r="A13109" t="s">
        <v>7</v>
      </c>
      <c r="B13109" t="s">
        <v>32</v>
      </c>
      <c r="C13109" t="str">
        <f t="shared" si="410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09"/>
        <v>0</v>
      </c>
    </row>
    <row r="13110" spans="1:8" x14ac:dyDescent="0.2">
      <c r="A13110" t="s">
        <v>7</v>
      </c>
      <c r="B13110" t="s">
        <v>32</v>
      </c>
      <c r="C13110" t="str">
        <f t="shared" si="410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09"/>
        <v>0</v>
      </c>
    </row>
    <row r="13111" spans="1:8" x14ac:dyDescent="0.2">
      <c r="A13111" t="s">
        <v>7</v>
      </c>
      <c r="B13111" t="s">
        <v>32</v>
      </c>
      <c r="C13111" t="str">
        <f t="shared" si="410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09"/>
        <v>-1</v>
      </c>
    </row>
    <row r="13112" spans="1:8" x14ac:dyDescent="0.2">
      <c r="A13112" t="s">
        <v>7</v>
      </c>
      <c r="B13112" t="s">
        <v>32</v>
      </c>
      <c r="C13112" t="str">
        <f t="shared" si="410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09"/>
        <v>-1</v>
      </c>
    </row>
    <row r="13113" spans="1:8" x14ac:dyDescent="0.2">
      <c r="A13113" t="s">
        <v>7</v>
      </c>
      <c r="B13113" t="s">
        <v>32</v>
      </c>
      <c r="C13113" t="str">
        <f t="shared" si="410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09"/>
        <v>-1</v>
      </c>
    </row>
    <row r="13114" spans="1:8" x14ac:dyDescent="0.2">
      <c r="A13114" t="s">
        <v>7</v>
      </c>
      <c r="B13114" t="s">
        <v>32</v>
      </c>
      <c r="C13114" t="str">
        <f t="shared" si="410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09"/>
        <v>-1</v>
      </c>
    </row>
    <row r="13115" spans="1:8" x14ac:dyDescent="0.2">
      <c r="A13115" t="s">
        <v>7</v>
      </c>
      <c r="B13115" t="s">
        <v>32</v>
      </c>
      <c r="C13115" t="str">
        <f t="shared" si="410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09"/>
        <v>-2</v>
      </c>
    </row>
    <row r="13116" spans="1:8" x14ac:dyDescent="0.2">
      <c r="A13116" t="s">
        <v>7</v>
      </c>
      <c r="B13116" t="s">
        <v>32</v>
      </c>
      <c r="C13116" t="str">
        <f t="shared" si="410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09"/>
        <v>-2</v>
      </c>
    </row>
    <row r="13117" spans="1:8" x14ac:dyDescent="0.2">
      <c r="A13117" t="s">
        <v>7</v>
      </c>
      <c r="B13117" t="s">
        <v>32</v>
      </c>
      <c r="C13117" t="str">
        <f t="shared" si="410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09"/>
        <v>-2</v>
      </c>
    </row>
    <row r="13118" spans="1:8" x14ac:dyDescent="0.2">
      <c r="A13118" t="s">
        <v>7</v>
      </c>
      <c r="B13118" t="s">
        <v>32</v>
      </c>
      <c r="C13118" t="str">
        <f t="shared" si="410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09"/>
        <v>-2</v>
      </c>
    </row>
    <row r="13119" spans="1:8" x14ac:dyDescent="0.2">
      <c r="A13119" t="s">
        <v>7</v>
      </c>
      <c r="B13119" t="s">
        <v>32</v>
      </c>
      <c r="C13119" t="str">
        <f t="shared" si="410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09"/>
        <v>-2</v>
      </c>
    </row>
    <row r="13120" spans="1:8" x14ac:dyDescent="0.2">
      <c r="A13120" t="s">
        <v>7</v>
      </c>
      <c r="B13120" t="s">
        <v>32</v>
      </c>
      <c r="C13120" t="str">
        <f t="shared" si="410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09"/>
        <v>-3</v>
      </c>
    </row>
    <row r="13121" spans="1:8" x14ac:dyDescent="0.2">
      <c r="A13121" t="s">
        <v>7</v>
      </c>
      <c r="B13121" t="s">
        <v>32</v>
      </c>
      <c r="C13121" t="str">
        <f t="shared" si="410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09"/>
        <v>-3</v>
      </c>
    </row>
    <row r="13122" spans="1:8" x14ac:dyDescent="0.2">
      <c r="A13122" t="s">
        <v>7</v>
      </c>
      <c r="B13122" t="s">
        <v>32</v>
      </c>
      <c r="C13122" t="str">
        <f t="shared" si="410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09"/>
        <v>-3</v>
      </c>
    </row>
    <row r="13123" spans="1:8" x14ac:dyDescent="0.2">
      <c r="A13123" t="s">
        <v>7</v>
      </c>
      <c r="B13123" t="s">
        <v>32</v>
      </c>
      <c r="C13123" t="str">
        <f t="shared" si="410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ref="H13123:H13186" si="411">F13123-G13123</f>
        <v>-3</v>
      </c>
    </row>
    <row r="13124" spans="1:8" x14ac:dyDescent="0.2">
      <c r="A13124" t="s">
        <v>7</v>
      </c>
      <c r="B13124" t="s">
        <v>32</v>
      </c>
      <c r="C13124" t="str">
        <f t="shared" si="410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11"/>
        <v>-3</v>
      </c>
    </row>
    <row r="13125" spans="1:8" x14ac:dyDescent="0.2">
      <c r="A13125" t="s">
        <v>7</v>
      </c>
      <c r="B13125" t="s">
        <v>32</v>
      </c>
      <c r="C13125" t="str">
        <f t="shared" ref="C13125:C13188" si="412">IF(H13125&gt;=0,"Cumple","No cumple")</f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11"/>
        <v>-3</v>
      </c>
    </row>
    <row r="13126" spans="1:8" x14ac:dyDescent="0.2">
      <c r="A13126" t="s">
        <v>7</v>
      </c>
      <c r="B13126" t="s">
        <v>32</v>
      </c>
      <c r="C13126" t="str">
        <f t="shared" si="412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11"/>
        <v>-3</v>
      </c>
    </row>
    <row r="13127" spans="1:8" x14ac:dyDescent="0.2">
      <c r="A13127" t="s">
        <v>7</v>
      </c>
      <c r="B13127" t="s">
        <v>32</v>
      </c>
      <c r="C13127" t="str">
        <f t="shared" si="412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11"/>
        <v>-3</v>
      </c>
    </row>
    <row r="13128" spans="1:8" x14ac:dyDescent="0.2">
      <c r="A13128" t="s">
        <v>7</v>
      </c>
      <c r="B13128" t="s">
        <v>32</v>
      </c>
      <c r="C13128" t="str">
        <f t="shared" si="412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11"/>
        <v>-4</v>
      </c>
    </row>
    <row r="13129" spans="1:8" x14ac:dyDescent="0.2">
      <c r="A13129" t="s">
        <v>7</v>
      </c>
      <c r="B13129" t="s">
        <v>32</v>
      </c>
      <c r="C13129" t="str">
        <f t="shared" si="412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11"/>
        <v>-4</v>
      </c>
    </row>
    <row r="13130" spans="1:8" x14ac:dyDescent="0.2">
      <c r="A13130" t="s">
        <v>7</v>
      </c>
      <c r="B13130" t="s">
        <v>32</v>
      </c>
      <c r="C13130" t="str">
        <f t="shared" si="412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11"/>
        <v>-4</v>
      </c>
    </row>
    <row r="13131" spans="1:8" x14ac:dyDescent="0.2">
      <c r="A13131" t="s">
        <v>7</v>
      </c>
      <c r="B13131" t="s">
        <v>32</v>
      </c>
      <c r="C13131" t="str">
        <f t="shared" si="412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11"/>
        <v>-4</v>
      </c>
    </row>
    <row r="13132" spans="1:8" x14ac:dyDescent="0.2">
      <c r="A13132" t="s">
        <v>7</v>
      </c>
      <c r="B13132" t="s">
        <v>32</v>
      </c>
      <c r="C13132" t="str">
        <f t="shared" si="412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11"/>
        <v>-4</v>
      </c>
    </row>
    <row r="13133" spans="1:8" x14ac:dyDescent="0.2">
      <c r="A13133" t="s">
        <v>7</v>
      </c>
      <c r="B13133" t="s">
        <v>32</v>
      </c>
      <c r="C13133" t="str">
        <f t="shared" si="412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11"/>
        <v>-4</v>
      </c>
    </row>
    <row r="13134" spans="1:8" x14ac:dyDescent="0.2">
      <c r="A13134" t="s">
        <v>7</v>
      </c>
      <c r="B13134" t="s">
        <v>32</v>
      </c>
      <c r="C13134" t="str">
        <f t="shared" si="412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11"/>
        <v>-4</v>
      </c>
    </row>
    <row r="13135" spans="1:8" x14ac:dyDescent="0.2">
      <c r="A13135" t="s">
        <v>7</v>
      </c>
      <c r="B13135" t="s">
        <v>32</v>
      </c>
      <c r="C13135" t="str">
        <f t="shared" si="412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11"/>
        <v>-4</v>
      </c>
    </row>
    <row r="13136" spans="1:8" x14ac:dyDescent="0.2">
      <c r="A13136" t="s">
        <v>7</v>
      </c>
      <c r="B13136" t="s">
        <v>32</v>
      </c>
      <c r="C13136" t="str">
        <f t="shared" si="412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11"/>
        <v>-4</v>
      </c>
    </row>
    <row r="13137" spans="1:8" x14ac:dyDescent="0.2">
      <c r="A13137" t="s">
        <v>7</v>
      </c>
      <c r="B13137" t="s">
        <v>32</v>
      </c>
      <c r="C13137" t="str">
        <f t="shared" si="412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11"/>
        <v>-4</v>
      </c>
    </row>
    <row r="13138" spans="1:8" x14ac:dyDescent="0.2">
      <c r="A13138" t="s">
        <v>7</v>
      </c>
      <c r="B13138" t="s">
        <v>32</v>
      </c>
      <c r="C13138" t="str">
        <f t="shared" si="412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11"/>
        <v>-4</v>
      </c>
    </row>
    <row r="13139" spans="1:8" x14ac:dyDescent="0.2">
      <c r="A13139" t="s">
        <v>7</v>
      </c>
      <c r="B13139" t="s">
        <v>32</v>
      </c>
      <c r="C13139" t="str">
        <f t="shared" si="412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11"/>
        <v>-5</v>
      </c>
    </row>
    <row r="13140" spans="1:8" x14ac:dyDescent="0.2">
      <c r="A13140" t="s">
        <v>7</v>
      </c>
      <c r="B13140" t="s">
        <v>32</v>
      </c>
      <c r="C13140" t="str">
        <f t="shared" si="412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11"/>
        <v>-5</v>
      </c>
    </row>
    <row r="13141" spans="1:8" x14ac:dyDescent="0.2">
      <c r="A13141" t="s">
        <v>7</v>
      </c>
      <c r="B13141" t="s">
        <v>32</v>
      </c>
      <c r="C13141" t="str">
        <f t="shared" si="412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11"/>
        <v>-5</v>
      </c>
    </row>
    <row r="13142" spans="1:8" x14ac:dyDescent="0.2">
      <c r="A13142" t="s">
        <v>7</v>
      </c>
      <c r="B13142" t="s">
        <v>32</v>
      </c>
      <c r="C13142" t="str">
        <f t="shared" si="412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11"/>
        <v>-5</v>
      </c>
    </row>
    <row r="13143" spans="1:8" x14ac:dyDescent="0.2">
      <c r="A13143" t="s">
        <v>7</v>
      </c>
      <c r="B13143" t="s">
        <v>32</v>
      </c>
      <c r="C13143" t="str">
        <f t="shared" si="412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11"/>
        <v>-5</v>
      </c>
    </row>
    <row r="13144" spans="1:8" x14ac:dyDescent="0.2">
      <c r="A13144" t="s">
        <v>7</v>
      </c>
      <c r="B13144" t="s">
        <v>32</v>
      </c>
      <c r="C13144" t="str">
        <f t="shared" si="412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11"/>
        <v>-5</v>
      </c>
    </row>
    <row r="13145" spans="1:8" x14ac:dyDescent="0.2">
      <c r="A13145" t="s">
        <v>7</v>
      </c>
      <c r="B13145" t="s">
        <v>32</v>
      </c>
      <c r="C13145" t="str">
        <f t="shared" si="412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11"/>
        <v>-5</v>
      </c>
    </row>
    <row r="13146" spans="1:8" x14ac:dyDescent="0.2">
      <c r="A13146" t="s">
        <v>7</v>
      </c>
      <c r="B13146" t="s">
        <v>32</v>
      </c>
      <c r="C13146" t="str">
        <f t="shared" si="412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11"/>
        <v>-5</v>
      </c>
    </row>
    <row r="13147" spans="1:8" x14ac:dyDescent="0.2">
      <c r="A13147" t="s">
        <v>7</v>
      </c>
      <c r="B13147" t="s">
        <v>32</v>
      </c>
      <c r="C13147" t="str">
        <f t="shared" si="412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11"/>
        <v>-5</v>
      </c>
    </row>
    <row r="13148" spans="1:8" x14ac:dyDescent="0.2">
      <c r="A13148" t="s">
        <v>7</v>
      </c>
      <c r="B13148" t="s">
        <v>32</v>
      </c>
      <c r="C13148" t="str">
        <f t="shared" si="412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11"/>
        <v>-5</v>
      </c>
    </row>
    <row r="13149" spans="1:8" x14ac:dyDescent="0.2">
      <c r="A13149" t="s">
        <v>7</v>
      </c>
      <c r="B13149" t="s">
        <v>32</v>
      </c>
      <c r="C13149" t="str">
        <f t="shared" si="412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11"/>
        <v>-5</v>
      </c>
    </row>
    <row r="13150" spans="1:8" x14ac:dyDescent="0.2">
      <c r="A13150" t="s">
        <v>7</v>
      </c>
      <c r="B13150" t="s">
        <v>32</v>
      </c>
      <c r="C13150" t="str">
        <f t="shared" si="412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11"/>
        <v>-5</v>
      </c>
    </row>
    <row r="13151" spans="1:8" x14ac:dyDescent="0.2">
      <c r="A13151" t="s">
        <v>7</v>
      </c>
      <c r="B13151" t="s">
        <v>32</v>
      </c>
      <c r="C13151" t="str">
        <f t="shared" si="412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11"/>
        <v>-5</v>
      </c>
    </row>
    <row r="13152" spans="1:8" x14ac:dyDescent="0.2">
      <c r="A13152" t="s">
        <v>7</v>
      </c>
      <c r="B13152" t="s">
        <v>32</v>
      </c>
      <c r="C13152" t="str">
        <f t="shared" si="412"/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si="411"/>
        <v>-6</v>
      </c>
    </row>
    <row r="13153" spans="1:8" x14ac:dyDescent="0.2">
      <c r="A13153" t="s">
        <v>7</v>
      </c>
      <c r="B13153" t="s">
        <v>32</v>
      </c>
      <c r="C13153" t="str">
        <f t="shared" si="412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11"/>
        <v>-6</v>
      </c>
    </row>
    <row r="13154" spans="1:8" x14ac:dyDescent="0.2">
      <c r="A13154" t="s">
        <v>7</v>
      </c>
      <c r="B13154" t="s">
        <v>32</v>
      </c>
      <c r="C13154" t="str">
        <f t="shared" si="412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11"/>
        <v>-6</v>
      </c>
    </row>
    <row r="13155" spans="1:8" x14ac:dyDescent="0.2">
      <c r="A13155" t="s">
        <v>7</v>
      </c>
      <c r="B13155" t="s">
        <v>32</v>
      </c>
      <c r="C13155" t="str">
        <f t="shared" si="412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11"/>
        <v>-6</v>
      </c>
    </row>
    <row r="13156" spans="1:8" x14ac:dyDescent="0.2">
      <c r="A13156" t="s">
        <v>7</v>
      </c>
      <c r="B13156" t="s">
        <v>32</v>
      </c>
      <c r="C13156" t="str">
        <f t="shared" si="412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11"/>
        <v>-6</v>
      </c>
    </row>
    <row r="13157" spans="1:8" x14ac:dyDescent="0.2">
      <c r="A13157" t="s">
        <v>7</v>
      </c>
      <c r="B13157" t="s">
        <v>32</v>
      </c>
      <c r="C13157" t="str">
        <f t="shared" si="412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11"/>
        <v>-6</v>
      </c>
    </row>
    <row r="13158" spans="1:8" x14ac:dyDescent="0.2">
      <c r="A13158" t="s">
        <v>7</v>
      </c>
      <c r="B13158" t="s">
        <v>32</v>
      </c>
      <c r="C13158" t="str">
        <f t="shared" si="412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11"/>
        <v>-6</v>
      </c>
    </row>
    <row r="13159" spans="1:8" x14ac:dyDescent="0.2">
      <c r="A13159" t="s">
        <v>7</v>
      </c>
      <c r="B13159" t="s">
        <v>32</v>
      </c>
      <c r="C13159" t="str">
        <f t="shared" si="412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11"/>
        <v>-6</v>
      </c>
    </row>
    <row r="13160" spans="1:8" x14ac:dyDescent="0.2">
      <c r="A13160" t="s">
        <v>7</v>
      </c>
      <c r="B13160" t="s">
        <v>32</v>
      </c>
      <c r="C13160" t="str">
        <f t="shared" si="412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11"/>
        <v>-6</v>
      </c>
    </row>
    <row r="13161" spans="1:8" x14ac:dyDescent="0.2">
      <c r="A13161" t="s">
        <v>7</v>
      </c>
      <c r="B13161" t="s">
        <v>32</v>
      </c>
      <c r="C13161" t="str">
        <f t="shared" si="412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11"/>
        <v>-6</v>
      </c>
    </row>
    <row r="13162" spans="1:8" x14ac:dyDescent="0.2">
      <c r="A13162" t="s">
        <v>7</v>
      </c>
      <c r="B13162" t="s">
        <v>32</v>
      </c>
      <c r="C13162" t="str">
        <f t="shared" si="412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11"/>
        <v>-6</v>
      </c>
    </row>
    <row r="13163" spans="1:8" x14ac:dyDescent="0.2">
      <c r="A13163" t="s">
        <v>7</v>
      </c>
      <c r="B13163" t="s">
        <v>32</v>
      </c>
      <c r="C13163" t="str">
        <f t="shared" si="412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11"/>
        <v>-6</v>
      </c>
    </row>
    <row r="13164" spans="1:8" x14ac:dyDescent="0.2">
      <c r="A13164" t="s">
        <v>7</v>
      </c>
      <c r="B13164" t="s">
        <v>32</v>
      </c>
      <c r="C13164" t="str">
        <f t="shared" si="412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11"/>
        <v>-6</v>
      </c>
    </row>
    <row r="13165" spans="1:8" x14ac:dyDescent="0.2">
      <c r="A13165" t="s">
        <v>7</v>
      </c>
      <c r="B13165" t="s">
        <v>32</v>
      </c>
      <c r="C13165" t="str">
        <f t="shared" si="412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11"/>
        <v>-6</v>
      </c>
    </row>
    <row r="13166" spans="1:8" x14ac:dyDescent="0.2">
      <c r="A13166" t="s">
        <v>7</v>
      </c>
      <c r="B13166" t="s">
        <v>32</v>
      </c>
      <c r="C13166" t="str">
        <f t="shared" si="412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11"/>
        <v>-6</v>
      </c>
    </row>
    <row r="13167" spans="1:8" x14ac:dyDescent="0.2">
      <c r="A13167" t="s">
        <v>7</v>
      </c>
      <c r="B13167" t="s">
        <v>32</v>
      </c>
      <c r="C13167" t="str">
        <f t="shared" si="412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11"/>
        <v>-6</v>
      </c>
    </row>
    <row r="13168" spans="1:8" x14ac:dyDescent="0.2">
      <c r="A13168" t="s">
        <v>7</v>
      </c>
      <c r="B13168" t="s">
        <v>32</v>
      </c>
      <c r="C13168" t="str">
        <f t="shared" si="412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11"/>
        <v>-6</v>
      </c>
    </row>
    <row r="13169" spans="1:8" x14ac:dyDescent="0.2">
      <c r="A13169" t="s">
        <v>7</v>
      </c>
      <c r="B13169" t="s">
        <v>32</v>
      </c>
      <c r="C13169" t="str">
        <f t="shared" si="412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11"/>
        <v>-6</v>
      </c>
    </row>
    <row r="13170" spans="1:8" x14ac:dyDescent="0.2">
      <c r="A13170" t="s">
        <v>7</v>
      </c>
      <c r="B13170" t="s">
        <v>32</v>
      </c>
      <c r="C13170" t="str">
        <f t="shared" si="412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11"/>
        <v>-6</v>
      </c>
    </row>
    <row r="13171" spans="1:8" x14ac:dyDescent="0.2">
      <c r="A13171" t="s">
        <v>7</v>
      </c>
      <c r="B13171" t="s">
        <v>32</v>
      </c>
      <c r="C13171" t="str">
        <f t="shared" si="412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11"/>
        <v>-6</v>
      </c>
    </row>
    <row r="13172" spans="1:8" x14ac:dyDescent="0.2">
      <c r="A13172" t="s">
        <v>7</v>
      </c>
      <c r="B13172" t="s">
        <v>32</v>
      </c>
      <c r="C13172" t="str">
        <f t="shared" si="412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11"/>
        <v>-6</v>
      </c>
    </row>
    <row r="13173" spans="1:8" x14ac:dyDescent="0.2">
      <c r="A13173" t="s">
        <v>7</v>
      </c>
      <c r="B13173" t="s">
        <v>32</v>
      </c>
      <c r="C13173" t="str">
        <f t="shared" si="412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11"/>
        <v>-6</v>
      </c>
    </row>
    <row r="13174" spans="1:8" x14ac:dyDescent="0.2">
      <c r="A13174" t="s">
        <v>7</v>
      </c>
      <c r="B13174" t="s">
        <v>32</v>
      </c>
      <c r="C13174" t="str">
        <f t="shared" si="412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11"/>
        <v>-6</v>
      </c>
    </row>
    <row r="13175" spans="1:8" x14ac:dyDescent="0.2">
      <c r="A13175" t="s">
        <v>7</v>
      </c>
      <c r="B13175" t="s">
        <v>32</v>
      </c>
      <c r="C13175" t="str">
        <f t="shared" si="412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11"/>
        <v>-6</v>
      </c>
    </row>
    <row r="13176" spans="1:8" x14ac:dyDescent="0.2">
      <c r="A13176" t="s">
        <v>7</v>
      </c>
      <c r="B13176" t="s">
        <v>32</v>
      </c>
      <c r="C13176" t="str">
        <f t="shared" si="412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11"/>
        <v>-6</v>
      </c>
    </row>
    <row r="13177" spans="1:8" x14ac:dyDescent="0.2">
      <c r="A13177" t="s">
        <v>7</v>
      </c>
      <c r="B13177" t="s">
        <v>32</v>
      </c>
      <c r="C13177" t="str">
        <f t="shared" si="412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11"/>
        <v>-6</v>
      </c>
    </row>
    <row r="13178" spans="1:8" x14ac:dyDescent="0.2">
      <c r="A13178" t="s">
        <v>7</v>
      </c>
      <c r="B13178" t="s">
        <v>32</v>
      </c>
      <c r="C13178" t="str">
        <f t="shared" si="412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11"/>
        <v>-6</v>
      </c>
    </row>
    <row r="13179" spans="1:8" x14ac:dyDescent="0.2">
      <c r="A13179" t="s">
        <v>7</v>
      </c>
      <c r="B13179" t="s">
        <v>32</v>
      </c>
      <c r="C13179" t="str">
        <f t="shared" si="412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11"/>
        <v>-6</v>
      </c>
    </row>
    <row r="13180" spans="1:8" x14ac:dyDescent="0.2">
      <c r="A13180" t="s">
        <v>7</v>
      </c>
      <c r="B13180" t="s">
        <v>32</v>
      </c>
      <c r="C13180" t="str">
        <f t="shared" si="412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11"/>
        <v>-6</v>
      </c>
    </row>
    <row r="13181" spans="1:8" x14ac:dyDescent="0.2">
      <c r="A13181" t="s">
        <v>7</v>
      </c>
      <c r="B13181" t="s">
        <v>32</v>
      </c>
      <c r="C13181" t="str">
        <f t="shared" si="412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11"/>
        <v>-6</v>
      </c>
    </row>
    <row r="13182" spans="1:8" x14ac:dyDescent="0.2">
      <c r="A13182" t="s">
        <v>7</v>
      </c>
      <c r="B13182" t="s">
        <v>32</v>
      </c>
      <c r="C13182" t="str">
        <f t="shared" si="412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11"/>
        <v>-6</v>
      </c>
    </row>
    <row r="13183" spans="1:8" x14ac:dyDescent="0.2">
      <c r="A13183" t="s">
        <v>7</v>
      </c>
      <c r="B13183" t="s">
        <v>32</v>
      </c>
      <c r="C13183" t="str">
        <f t="shared" si="412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11"/>
        <v>-6</v>
      </c>
    </row>
    <row r="13184" spans="1:8" x14ac:dyDescent="0.2">
      <c r="A13184" t="s">
        <v>7</v>
      </c>
      <c r="B13184" t="s">
        <v>32</v>
      </c>
      <c r="C13184" t="str">
        <f t="shared" si="412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11"/>
        <v>-6</v>
      </c>
    </row>
    <row r="13185" spans="1:8" x14ac:dyDescent="0.2">
      <c r="A13185" t="s">
        <v>7</v>
      </c>
      <c r="B13185" t="s">
        <v>32</v>
      </c>
      <c r="C13185" t="str">
        <f t="shared" si="412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11"/>
        <v>-6</v>
      </c>
    </row>
    <row r="13186" spans="1:8" x14ac:dyDescent="0.2">
      <c r="A13186" t="s">
        <v>7</v>
      </c>
      <c r="B13186" t="s">
        <v>32</v>
      </c>
      <c r="C13186" t="str">
        <f t="shared" si="412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11"/>
        <v>-6</v>
      </c>
    </row>
    <row r="13187" spans="1:8" x14ac:dyDescent="0.2">
      <c r="A13187" t="s">
        <v>7</v>
      </c>
      <c r="B13187" t="s">
        <v>32</v>
      </c>
      <c r="C13187" t="str">
        <f t="shared" si="412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ref="H13187:H13250" si="413">F13187-G13187</f>
        <v>-6</v>
      </c>
    </row>
    <row r="13188" spans="1:8" x14ac:dyDescent="0.2">
      <c r="A13188" t="s">
        <v>7</v>
      </c>
      <c r="B13188" t="s">
        <v>32</v>
      </c>
      <c r="C13188" t="str">
        <f t="shared" si="412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13"/>
        <v>-6</v>
      </c>
    </row>
    <row r="13189" spans="1:8" x14ac:dyDescent="0.2">
      <c r="A13189" t="s">
        <v>7</v>
      </c>
      <c r="B13189" t="s">
        <v>32</v>
      </c>
      <c r="C13189" t="str">
        <f t="shared" ref="C13189:C13252" si="414">IF(H13189&gt;=0,"Cumple","No cumple")</f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13"/>
        <v>-6</v>
      </c>
    </row>
    <row r="13190" spans="1:8" x14ac:dyDescent="0.2">
      <c r="A13190" t="s">
        <v>7</v>
      </c>
      <c r="B13190" t="s">
        <v>32</v>
      </c>
      <c r="C13190" t="str">
        <f t="shared" si="414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13"/>
        <v>-6</v>
      </c>
    </row>
    <row r="13191" spans="1:8" x14ac:dyDescent="0.2">
      <c r="A13191" t="s">
        <v>7</v>
      </c>
      <c r="B13191" t="s">
        <v>32</v>
      </c>
      <c r="C13191" t="str">
        <f t="shared" si="414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13"/>
        <v>-6</v>
      </c>
    </row>
    <row r="13192" spans="1:8" x14ac:dyDescent="0.2">
      <c r="A13192" t="s">
        <v>7</v>
      </c>
      <c r="B13192" t="s">
        <v>32</v>
      </c>
      <c r="C13192" t="str">
        <f t="shared" si="414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13"/>
        <v>-6</v>
      </c>
    </row>
    <row r="13193" spans="1:8" x14ac:dyDescent="0.2">
      <c r="A13193" t="s">
        <v>7</v>
      </c>
      <c r="B13193" t="s">
        <v>32</v>
      </c>
      <c r="C13193" t="str">
        <f t="shared" si="414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13"/>
        <v>-6</v>
      </c>
    </row>
    <row r="13194" spans="1:8" x14ac:dyDescent="0.2">
      <c r="A13194" t="s">
        <v>7</v>
      </c>
      <c r="B13194" t="s">
        <v>32</v>
      </c>
      <c r="C13194" t="str">
        <f t="shared" si="414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13"/>
        <v>-6</v>
      </c>
    </row>
    <row r="13195" spans="1:8" x14ac:dyDescent="0.2">
      <c r="A13195" t="s">
        <v>7</v>
      </c>
      <c r="B13195" t="s">
        <v>32</v>
      </c>
      <c r="C13195" t="str">
        <f t="shared" si="414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13"/>
        <v>-6</v>
      </c>
    </row>
    <row r="13196" spans="1:8" x14ac:dyDescent="0.2">
      <c r="A13196" t="s">
        <v>7</v>
      </c>
      <c r="B13196" t="s">
        <v>32</v>
      </c>
      <c r="C13196" t="str">
        <f t="shared" si="414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13"/>
        <v>-6</v>
      </c>
    </row>
    <row r="13197" spans="1:8" x14ac:dyDescent="0.2">
      <c r="A13197" t="s">
        <v>7</v>
      </c>
      <c r="B13197" t="s">
        <v>32</v>
      </c>
      <c r="C13197" t="str">
        <f t="shared" si="414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13"/>
        <v>-6</v>
      </c>
    </row>
    <row r="13198" spans="1:8" x14ac:dyDescent="0.2">
      <c r="A13198" t="s">
        <v>7</v>
      </c>
      <c r="B13198" t="s">
        <v>32</v>
      </c>
      <c r="C13198" t="str">
        <f t="shared" si="414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13"/>
        <v>-6</v>
      </c>
    </row>
    <row r="13199" spans="1:8" x14ac:dyDescent="0.2">
      <c r="A13199" t="s">
        <v>7</v>
      </c>
      <c r="B13199" t="s">
        <v>32</v>
      </c>
      <c r="C13199" t="str">
        <f t="shared" si="414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13"/>
        <v>-6</v>
      </c>
    </row>
    <row r="13200" spans="1:8" x14ac:dyDescent="0.2">
      <c r="A13200" t="s">
        <v>7</v>
      </c>
      <c r="B13200" t="s">
        <v>32</v>
      </c>
      <c r="C13200" t="str">
        <f t="shared" si="414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13"/>
        <v>-6</v>
      </c>
    </row>
    <row r="13201" spans="1:8" x14ac:dyDescent="0.2">
      <c r="A13201" t="s">
        <v>7</v>
      </c>
      <c r="B13201" t="s">
        <v>32</v>
      </c>
      <c r="C13201" t="str">
        <f t="shared" si="414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13"/>
        <v>-6</v>
      </c>
    </row>
    <row r="13202" spans="1:8" x14ac:dyDescent="0.2">
      <c r="A13202" t="s">
        <v>7</v>
      </c>
      <c r="B13202" t="s">
        <v>32</v>
      </c>
      <c r="C13202" t="str">
        <f t="shared" si="414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13"/>
        <v>-6</v>
      </c>
    </row>
    <row r="13203" spans="1:8" x14ac:dyDescent="0.2">
      <c r="A13203" t="s">
        <v>7</v>
      </c>
      <c r="B13203" t="s">
        <v>32</v>
      </c>
      <c r="C13203" t="str">
        <f t="shared" si="414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13"/>
        <v>-6</v>
      </c>
    </row>
    <row r="13204" spans="1:8" x14ac:dyDescent="0.2">
      <c r="A13204" t="s">
        <v>7</v>
      </c>
      <c r="B13204" t="s">
        <v>32</v>
      </c>
      <c r="C13204" t="str">
        <f t="shared" si="414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13"/>
        <v>-6</v>
      </c>
    </row>
    <row r="13205" spans="1:8" x14ac:dyDescent="0.2">
      <c r="A13205" t="s">
        <v>7</v>
      </c>
      <c r="B13205" t="s">
        <v>32</v>
      </c>
      <c r="C13205" t="str">
        <f t="shared" si="414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13"/>
        <v>-6</v>
      </c>
    </row>
    <row r="13206" spans="1:8" x14ac:dyDescent="0.2">
      <c r="A13206" t="s">
        <v>7</v>
      </c>
      <c r="B13206" t="s">
        <v>32</v>
      </c>
      <c r="C13206" t="str">
        <f t="shared" si="414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13"/>
        <v>-6</v>
      </c>
    </row>
    <row r="13207" spans="1:8" x14ac:dyDescent="0.2">
      <c r="A13207" t="s">
        <v>7</v>
      </c>
      <c r="B13207" t="s">
        <v>32</v>
      </c>
      <c r="C13207" t="str">
        <f t="shared" si="414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13"/>
        <v>-6</v>
      </c>
    </row>
    <row r="13208" spans="1:8" x14ac:dyDescent="0.2">
      <c r="A13208" t="s">
        <v>7</v>
      </c>
      <c r="B13208" t="s">
        <v>33</v>
      </c>
      <c r="C13208" t="str">
        <f t="shared" si="414"/>
        <v>Cumple</v>
      </c>
      <c r="D13208">
        <v>9214</v>
      </c>
      <c r="E13208" t="s">
        <v>8</v>
      </c>
      <c r="F13208">
        <v>25</v>
      </c>
      <c r="G13208">
        <v>8</v>
      </c>
      <c r="H13208">
        <f t="shared" si="413"/>
        <v>17</v>
      </c>
    </row>
    <row r="13209" spans="1:8" x14ac:dyDescent="0.2">
      <c r="A13209" t="s">
        <v>7</v>
      </c>
      <c r="B13209" t="s">
        <v>33</v>
      </c>
      <c r="C13209" t="str">
        <f t="shared" si="414"/>
        <v>Cumple</v>
      </c>
      <c r="D13209">
        <v>302</v>
      </c>
      <c r="E13209" t="s">
        <v>8</v>
      </c>
      <c r="F13209">
        <v>22</v>
      </c>
      <c r="G13209">
        <v>8</v>
      </c>
      <c r="H13209">
        <f t="shared" si="413"/>
        <v>14</v>
      </c>
    </row>
    <row r="13210" spans="1:8" x14ac:dyDescent="0.2">
      <c r="A13210" t="s">
        <v>7</v>
      </c>
      <c r="B13210" t="s">
        <v>33</v>
      </c>
      <c r="C13210" t="str">
        <f t="shared" si="414"/>
        <v>Cumple</v>
      </c>
      <c r="D13210">
        <v>2349</v>
      </c>
      <c r="E13210" t="s">
        <v>8</v>
      </c>
      <c r="F13210">
        <v>22</v>
      </c>
      <c r="G13210">
        <v>8</v>
      </c>
      <c r="H13210">
        <f t="shared" si="413"/>
        <v>14</v>
      </c>
    </row>
    <row r="13211" spans="1:8" x14ac:dyDescent="0.2">
      <c r="A13211" t="s">
        <v>7</v>
      </c>
      <c r="B13211" t="s">
        <v>33</v>
      </c>
      <c r="C13211" t="str">
        <f t="shared" si="414"/>
        <v>Cumple</v>
      </c>
      <c r="D13211">
        <v>3966</v>
      </c>
      <c r="E13211" t="s">
        <v>8</v>
      </c>
      <c r="F13211">
        <v>25</v>
      </c>
      <c r="G13211">
        <v>6</v>
      </c>
      <c r="H13211">
        <f t="shared" si="413"/>
        <v>19</v>
      </c>
    </row>
    <row r="13212" spans="1:8" x14ac:dyDescent="0.2">
      <c r="A13212" t="s">
        <v>7</v>
      </c>
      <c r="B13212" t="s">
        <v>33</v>
      </c>
      <c r="C13212" t="str">
        <f t="shared" si="414"/>
        <v>Cumple</v>
      </c>
      <c r="D13212">
        <v>2020</v>
      </c>
      <c r="E13212" t="s">
        <v>8</v>
      </c>
      <c r="F13212">
        <v>20</v>
      </c>
      <c r="G13212">
        <v>8</v>
      </c>
      <c r="H13212">
        <f t="shared" si="413"/>
        <v>12</v>
      </c>
    </row>
    <row r="13213" spans="1:8" x14ac:dyDescent="0.2">
      <c r="A13213" t="s">
        <v>7</v>
      </c>
      <c r="B13213" t="s">
        <v>33</v>
      </c>
      <c r="C13213" t="str">
        <f t="shared" si="414"/>
        <v>Cumple</v>
      </c>
      <c r="D13213">
        <v>3398</v>
      </c>
      <c r="E13213" t="s">
        <v>8</v>
      </c>
      <c r="F13213">
        <v>20</v>
      </c>
      <c r="G13213">
        <v>8</v>
      </c>
      <c r="H13213">
        <f t="shared" si="413"/>
        <v>12</v>
      </c>
    </row>
    <row r="13214" spans="1:8" x14ac:dyDescent="0.2">
      <c r="A13214" t="s">
        <v>7</v>
      </c>
      <c r="B13214" t="s">
        <v>33</v>
      </c>
      <c r="C13214" t="str">
        <f t="shared" si="414"/>
        <v>Cumple</v>
      </c>
      <c r="D13214">
        <v>3532</v>
      </c>
      <c r="E13214" t="s">
        <v>8</v>
      </c>
      <c r="F13214">
        <v>20</v>
      </c>
      <c r="G13214">
        <v>8</v>
      </c>
      <c r="H13214">
        <f t="shared" si="413"/>
        <v>12</v>
      </c>
    </row>
    <row r="13215" spans="1:8" x14ac:dyDescent="0.2">
      <c r="A13215" t="s">
        <v>7</v>
      </c>
      <c r="B13215" t="s">
        <v>33</v>
      </c>
      <c r="C13215" t="str">
        <f t="shared" si="414"/>
        <v>Cumple</v>
      </c>
      <c r="D13215">
        <v>2416</v>
      </c>
      <c r="E13215" t="s">
        <v>8</v>
      </c>
      <c r="F13215">
        <v>19</v>
      </c>
      <c r="G13215">
        <v>8</v>
      </c>
      <c r="H13215">
        <f t="shared" si="413"/>
        <v>11</v>
      </c>
    </row>
    <row r="13216" spans="1:8" x14ac:dyDescent="0.2">
      <c r="A13216" t="s">
        <v>7</v>
      </c>
      <c r="B13216" t="s">
        <v>33</v>
      </c>
      <c r="C13216" t="str">
        <f t="shared" si="414"/>
        <v>Cumple</v>
      </c>
      <c r="D13216">
        <v>1799</v>
      </c>
      <c r="E13216" t="s">
        <v>8</v>
      </c>
      <c r="F13216">
        <v>23</v>
      </c>
      <c r="G13216">
        <v>6</v>
      </c>
      <c r="H13216">
        <f t="shared" si="413"/>
        <v>17</v>
      </c>
    </row>
    <row r="13217" spans="1:8" x14ac:dyDescent="0.2">
      <c r="A13217" t="s">
        <v>7</v>
      </c>
      <c r="B13217" t="s">
        <v>33</v>
      </c>
      <c r="C13217" t="str">
        <f t="shared" si="414"/>
        <v>Cumple</v>
      </c>
      <c r="D13217">
        <v>3598</v>
      </c>
      <c r="E13217" t="s">
        <v>8</v>
      </c>
      <c r="F13217">
        <v>18</v>
      </c>
      <c r="G13217">
        <v>8</v>
      </c>
      <c r="H13217">
        <f t="shared" si="413"/>
        <v>10</v>
      </c>
    </row>
    <row r="13218" spans="1:8" x14ac:dyDescent="0.2">
      <c r="A13218" t="s">
        <v>7</v>
      </c>
      <c r="B13218" t="s">
        <v>33</v>
      </c>
      <c r="C13218" t="str">
        <f t="shared" si="414"/>
        <v>Cumple</v>
      </c>
      <c r="D13218">
        <v>411</v>
      </c>
      <c r="E13218" t="s">
        <v>8</v>
      </c>
      <c r="F13218">
        <v>17</v>
      </c>
      <c r="G13218">
        <v>8</v>
      </c>
      <c r="H13218">
        <f t="shared" si="413"/>
        <v>9</v>
      </c>
    </row>
    <row r="13219" spans="1:8" x14ac:dyDescent="0.2">
      <c r="A13219" t="s">
        <v>7</v>
      </c>
      <c r="B13219" t="s">
        <v>33</v>
      </c>
      <c r="C13219" t="str">
        <f t="shared" si="414"/>
        <v>Cumple</v>
      </c>
      <c r="D13219">
        <v>412</v>
      </c>
      <c r="E13219" t="s">
        <v>8</v>
      </c>
      <c r="F13219">
        <v>17</v>
      </c>
      <c r="G13219">
        <v>8</v>
      </c>
      <c r="H13219">
        <f t="shared" si="413"/>
        <v>9</v>
      </c>
    </row>
    <row r="13220" spans="1:8" x14ac:dyDescent="0.2">
      <c r="A13220" t="s">
        <v>7</v>
      </c>
      <c r="B13220" t="s">
        <v>33</v>
      </c>
      <c r="C13220" t="str">
        <f t="shared" si="414"/>
        <v>Cumple</v>
      </c>
      <c r="D13220">
        <v>2547</v>
      </c>
      <c r="E13220" t="s">
        <v>8</v>
      </c>
      <c r="F13220">
        <v>16</v>
      </c>
      <c r="G13220">
        <v>8</v>
      </c>
      <c r="H13220">
        <f t="shared" si="413"/>
        <v>8</v>
      </c>
    </row>
    <row r="13221" spans="1:8" x14ac:dyDescent="0.2">
      <c r="A13221" t="s">
        <v>7</v>
      </c>
      <c r="B13221" t="s">
        <v>33</v>
      </c>
      <c r="C13221" t="str">
        <f t="shared" si="414"/>
        <v>Cumple</v>
      </c>
      <c r="D13221">
        <v>3978</v>
      </c>
      <c r="E13221" t="s">
        <v>8</v>
      </c>
      <c r="F13221">
        <v>24</v>
      </c>
      <c r="G13221">
        <v>6</v>
      </c>
      <c r="H13221">
        <f t="shared" si="413"/>
        <v>18</v>
      </c>
    </row>
    <row r="13222" spans="1:8" x14ac:dyDescent="0.2">
      <c r="A13222" t="s">
        <v>7</v>
      </c>
      <c r="B13222" t="s">
        <v>33</v>
      </c>
      <c r="C13222" t="str">
        <f t="shared" si="414"/>
        <v>Cumple</v>
      </c>
      <c r="D13222">
        <v>596</v>
      </c>
      <c r="E13222" t="s">
        <v>8</v>
      </c>
      <c r="F13222">
        <v>26</v>
      </c>
      <c r="G13222">
        <v>6</v>
      </c>
      <c r="H13222">
        <f t="shared" si="413"/>
        <v>20</v>
      </c>
    </row>
    <row r="13223" spans="1:8" x14ac:dyDescent="0.2">
      <c r="A13223" t="s">
        <v>7</v>
      </c>
      <c r="B13223" t="s">
        <v>33</v>
      </c>
      <c r="C13223" t="str">
        <f t="shared" si="414"/>
        <v>Cumple</v>
      </c>
      <c r="D13223">
        <v>2220</v>
      </c>
      <c r="E13223" t="s">
        <v>8</v>
      </c>
      <c r="F13223">
        <v>15</v>
      </c>
      <c r="G13223">
        <v>8</v>
      </c>
      <c r="H13223">
        <f t="shared" si="413"/>
        <v>7</v>
      </c>
    </row>
    <row r="13224" spans="1:8" x14ac:dyDescent="0.2">
      <c r="A13224" t="s">
        <v>7</v>
      </c>
      <c r="B13224" t="s">
        <v>33</v>
      </c>
      <c r="C13224" t="str">
        <f t="shared" si="414"/>
        <v>Cumple</v>
      </c>
      <c r="D13224">
        <v>9922</v>
      </c>
      <c r="E13224" t="s">
        <v>8</v>
      </c>
      <c r="F13224">
        <v>15</v>
      </c>
      <c r="G13224">
        <v>8</v>
      </c>
      <c r="H13224">
        <f t="shared" si="413"/>
        <v>7</v>
      </c>
    </row>
    <row r="13225" spans="1:8" x14ac:dyDescent="0.2">
      <c r="A13225" t="s">
        <v>7</v>
      </c>
      <c r="B13225" t="s">
        <v>33</v>
      </c>
      <c r="C13225" t="str">
        <f t="shared" si="414"/>
        <v>Cumple</v>
      </c>
      <c r="D13225">
        <v>460</v>
      </c>
      <c r="E13225" t="s">
        <v>8</v>
      </c>
      <c r="F13225">
        <v>14</v>
      </c>
      <c r="G13225">
        <v>8</v>
      </c>
      <c r="H13225">
        <f t="shared" si="413"/>
        <v>6</v>
      </c>
    </row>
    <row r="13226" spans="1:8" x14ac:dyDescent="0.2">
      <c r="A13226" t="s">
        <v>7</v>
      </c>
      <c r="B13226" t="s">
        <v>33</v>
      </c>
      <c r="C13226" t="str">
        <f t="shared" si="414"/>
        <v>Cumple</v>
      </c>
      <c r="D13226">
        <v>660</v>
      </c>
      <c r="E13226" t="s">
        <v>8</v>
      </c>
      <c r="F13226">
        <v>28</v>
      </c>
      <c r="G13226">
        <v>6</v>
      </c>
      <c r="H13226">
        <f t="shared" si="413"/>
        <v>22</v>
      </c>
    </row>
    <row r="13227" spans="1:8" x14ac:dyDescent="0.2">
      <c r="A13227" t="s">
        <v>7</v>
      </c>
      <c r="B13227" t="s">
        <v>33</v>
      </c>
      <c r="C13227" t="str">
        <f t="shared" si="414"/>
        <v>Cumple</v>
      </c>
      <c r="D13227">
        <v>2168</v>
      </c>
      <c r="E13227" t="s">
        <v>8</v>
      </c>
      <c r="F13227">
        <v>14</v>
      </c>
      <c r="G13227">
        <v>8</v>
      </c>
      <c r="H13227">
        <f t="shared" si="413"/>
        <v>6</v>
      </c>
    </row>
    <row r="13228" spans="1:8" x14ac:dyDescent="0.2">
      <c r="A13228" t="s">
        <v>7</v>
      </c>
      <c r="B13228" t="s">
        <v>33</v>
      </c>
      <c r="C13228" t="str">
        <f t="shared" si="414"/>
        <v>Cumple</v>
      </c>
      <c r="D13228">
        <v>9211</v>
      </c>
      <c r="E13228" t="s">
        <v>8</v>
      </c>
      <c r="F13228">
        <v>14</v>
      </c>
      <c r="G13228">
        <v>8</v>
      </c>
      <c r="H13228">
        <f t="shared" si="413"/>
        <v>6</v>
      </c>
    </row>
    <row r="13229" spans="1:8" x14ac:dyDescent="0.2">
      <c r="A13229" t="s">
        <v>7</v>
      </c>
      <c r="B13229" t="s">
        <v>33</v>
      </c>
      <c r="C13229" t="str">
        <f t="shared" si="414"/>
        <v>Cumple</v>
      </c>
      <c r="D13229">
        <v>553</v>
      </c>
      <c r="E13229" t="s">
        <v>8</v>
      </c>
      <c r="F13229">
        <v>20</v>
      </c>
      <c r="G13229">
        <v>6</v>
      </c>
      <c r="H13229">
        <f t="shared" si="413"/>
        <v>14</v>
      </c>
    </row>
    <row r="13230" spans="1:8" x14ac:dyDescent="0.2">
      <c r="A13230" t="s">
        <v>7</v>
      </c>
      <c r="B13230" t="s">
        <v>33</v>
      </c>
      <c r="C13230" t="str">
        <f t="shared" si="414"/>
        <v>Cumple</v>
      </c>
      <c r="D13230">
        <v>2446</v>
      </c>
      <c r="E13230" t="s">
        <v>8</v>
      </c>
      <c r="F13230">
        <v>12</v>
      </c>
      <c r="G13230">
        <v>8</v>
      </c>
      <c r="H13230">
        <f t="shared" si="413"/>
        <v>4</v>
      </c>
    </row>
    <row r="13231" spans="1:8" x14ac:dyDescent="0.2">
      <c r="A13231" t="s">
        <v>7</v>
      </c>
      <c r="B13231" t="s">
        <v>33</v>
      </c>
      <c r="C13231" t="str">
        <f t="shared" si="414"/>
        <v>Cumple</v>
      </c>
      <c r="D13231">
        <v>3775</v>
      </c>
      <c r="E13231" t="s">
        <v>8</v>
      </c>
      <c r="F13231">
        <v>12</v>
      </c>
      <c r="G13231">
        <v>8</v>
      </c>
      <c r="H13231">
        <f t="shared" si="413"/>
        <v>4</v>
      </c>
    </row>
    <row r="13232" spans="1:8" x14ac:dyDescent="0.2">
      <c r="A13232" t="s">
        <v>7</v>
      </c>
      <c r="B13232" t="s">
        <v>33</v>
      </c>
      <c r="C13232" t="str">
        <f t="shared" si="414"/>
        <v>Cumple</v>
      </c>
      <c r="D13232">
        <v>5023</v>
      </c>
      <c r="E13232" t="s">
        <v>8</v>
      </c>
      <c r="F13232">
        <v>12</v>
      </c>
      <c r="G13232">
        <v>8</v>
      </c>
      <c r="H13232">
        <f t="shared" si="413"/>
        <v>4</v>
      </c>
    </row>
    <row r="13233" spans="1:8" x14ac:dyDescent="0.2">
      <c r="A13233" t="s">
        <v>7</v>
      </c>
      <c r="B13233" t="s">
        <v>33</v>
      </c>
      <c r="C13233" t="str">
        <f t="shared" si="414"/>
        <v>Cumple</v>
      </c>
      <c r="D13233">
        <v>9896</v>
      </c>
      <c r="E13233" t="s">
        <v>8</v>
      </c>
      <c r="F13233">
        <v>20</v>
      </c>
      <c r="G13233">
        <v>6</v>
      </c>
      <c r="H13233">
        <f t="shared" si="413"/>
        <v>14</v>
      </c>
    </row>
    <row r="13234" spans="1:8" x14ac:dyDescent="0.2">
      <c r="A13234" t="s">
        <v>7</v>
      </c>
      <c r="B13234" t="s">
        <v>33</v>
      </c>
      <c r="C13234" t="str">
        <f t="shared" si="414"/>
        <v>Cumple</v>
      </c>
      <c r="D13234">
        <v>467</v>
      </c>
      <c r="E13234" t="s">
        <v>8</v>
      </c>
      <c r="F13234">
        <v>11</v>
      </c>
      <c r="G13234">
        <v>8</v>
      </c>
      <c r="H13234">
        <f t="shared" si="413"/>
        <v>3</v>
      </c>
    </row>
    <row r="13235" spans="1:8" x14ac:dyDescent="0.2">
      <c r="A13235" t="s">
        <v>7</v>
      </c>
      <c r="B13235" t="s">
        <v>33</v>
      </c>
      <c r="C13235" t="str">
        <f t="shared" si="414"/>
        <v>Cumple</v>
      </c>
      <c r="D13235">
        <v>659</v>
      </c>
      <c r="E13235" t="s">
        <v>8</v>
      </c>
      <c r="F13235">
        <v>14</v>
      </c>
      <c r="G13235">
        <v>6</v>
      </c>
      <c r="H13235">
        <f t="shared" si="413"/>
        <v>8</v>
      </c>
    </row>
    <row r="13236" spans="1:8" x14ac:dyDescent="0.2">
      <c r="A13236" t="s">
        <v>7</v>
      </c>
      <c r="B13236" t="s">
        <v>33</v>
      </c>
      <c r="C13236" t="str">
        <f t="shared" si="414"/>
        <v>Cumple</v>
      </c>
      <c r="D13236">
        <v>2189</v>
      </c>
      <c r="E13236" t="s">
        <v>8</v>
      </c>
      <c r="F13236">
        <v>14</v>
      </c>
      <c r="G13236">
        <v>6</v>
      </c>
      <c r="H13236">
        <f t="shared" si="413"/>
        <v>8</v>
      </c>
    </row>
    <row r="13237" spans="1:8" x14ac:dyDescent="0.2">
      <c r="A13237" t="s">
        <v>7</v>
      </c>
      <c r="B13237" t="s">
        <v>33</v>
      </c>
      <c r="C13237" t="str">
        <f t="shared" si="414"/>
        <v>Cumple</v>
      </c>
      <c r="D13237">
        <v>3960</v>
      </c>
      <c r="E13237" t="s">
        <v>8</v>
      </c>
      <c r="F13237">
        <v>22</v>
      </c>
      <c r="G13237">
        <v>6</v>
      </c>
      <c r="H13237">
        <f t="shared" si="413"/>
        <v>16</v>
      </c>
    </row>
    <row r="13238" spans="1:8" x14ac:dyDescent="0.2">
      <c r="A13238" t="s">
        <v>7</v>
      </c>
      <c r="B13238" t="s">
        <v>33</v>
      </c>
      <c r="C13238" t="str">
        <f t="shared" si="414"/>
        <v>Cumple</v>
      </c>
      <c r="D13238">
        <v>5032</v>
      </c>
      <c r="E13238" t="s">
        <v>8</v>
      </c>
      <c r="F13238">
        <v>11</v>
      </c>
      <c r="G13238">
        <v>8</v>
      </c>
      <c r="H13238">
        <f t="shared" si="413"/>
        <v>3</v>
      </c>
    </row>
    <row r="13239" spans="1:8" x14ac:dyDescent="0.2">
      <c r="A13239" t="s">
        <v>7</v>
      </c>
      <c r="B13239" t="s">
        <v>33</v>
      </c>
      <c r="C13239" t="str">
        <f t="shared" si="414"/>
        <v>Cumple</v>
      </c>
      <c r="D13239">
        <v>9204</v>
      </c>
      <c r="E13239" t="s">
        <v>8</v>
      </c>
      <c r="F13239">
        <v>19</v>
      </c>
      <c r="G13239">
        <v>6</v>
      </c>
      <c r="H13239">
        <f t="shared" si="413"/>
        <v>13</v>
      </c>
    </row>
    <row r="13240" spans="1:8" x14ac:dyDescent="0.2">
      <c r="A13240" t="s">
        <v>7</v>
      </c>
      <c r="B13240" t="s">
        <v>33</v>
      </c>
      <c r="C13240" t="str">
        <f t="shared" si="414"/>
        <v>Cumple</v>
      </c>
      <c r="D13240">
        <v>9682</v>
      </c>
      <c r="E13240" t="s">
        <v>8</v>
      </c>
      <c r="F13240">
        <v>12</v>
      </c>
      <c r="G13240">
        <v>6</v>
      </c>
      <c r="H13240">
        <f t="shared" si="413"/>
        <v>6</v>
      </c>
    </row>
    <row r="13241" spans="1:8" x14ac:dyDescent="0.2">
      <c r="A13241" t="s">
        <v>7</v>
      </c>
      <c r="B13241" t="s">
        <v>33</v>
      </c>
      <c r="C13241" t="str">
        <f t="shared" si="414"/>
        <v>Cumple</v>
      </c>
      <c r="D13241">
        <v>4036</v>
      </c>
      <c r="E13241" t="s">
        <v>8</v>
      </c>
      <c r="F13241">
        <v>25</v>
      </c>
      <c r="G13241">
        <v>6</v>
      </c>
      <c r="H13241">
        <f t="shared" si="413"/>
        <v>19</v>
      </c>
    </row>
    <row r="13242" spans="1:8" x14ac:dyDescent="0.2">
      <c r="A13242" t="s">
        <v>7</v>
      </c>
      <c r="B13242" t="s">
        <v>33</v>
      </c>
      <c r="C13242" t="str">
        <f t="shared" si="414"/>
        <v>Cumple</v>
      </c>
      <c r="D13242">
        <v>4052</v>
      </c>
      <c r="E13242" t="s">
        <v>8</v>
      </c>
      <c r="F13242">
        <v>22</v>
      </c>
      <c r="G13242">
        <v>6</v>
      </c>
      <c r="H13242">
        <f t="shared" si="413"/>
        <v>16</v>
      </c>
    </row>
    <row r="13243" spans="1:8" x14ac:dyDescent="0.2">
      <c r="A13243" t="s">
        <v>7</v>
      </c>
      <c r="B13243" t="s">
        <v>33</v>
      </c>
      <c r="C13243" t="str">
        <f t="shared" si="414"/>
        <v>Cumple</v>
      </c>
      <c r="D13243">
        <v>3198</v>
      </c>
      <c r="E13243" t="s">
        <v>8</v>
      </c>
      <c r="F13243">
        <v>16</v>
      </c>
      <c r="G13243">
        <v>6</v>
      </c>
      <c r="H13243">
        <f t="shared" si="413"/>
        <v>10</v>
      </c>
    </row>
    <row r="13244" spans="1:8" x14ac:dyDescent="0.2">
      <c r="A13244" t="s">
        <v>7</v>
      </c>
      <c r="B13244" t="s">
        <v>33</v>
      </c>
      <c r="C13244" t="str">
        <f t="shared" si="414"/>
        <v>Cumple</v>
      </c>
      <c r="D13244">
        <v>561</v>
      </c>
      <c r="E13244" t="s">
        <v>8</v>
      </c>
      <c r="F13244">
        <v>10</v>
      </c>
      <c r="G13244">
        <v>8</v>
      </c>
      <c r="H13244">
        <f t="shared" si="413"/>
        <v>2</v>
      </c>
    </row>
    <row r="13245" spans="1:8" x14ac:dyDescent="0.2">
      <c r="A13245" t="s">
        <v>7</v>
      </c>
      <c r="B13245" t="s">
        <v>33</v>
      </c>
      <c r="C13245" t="str">
        <f t="shared" si="414"/>
        <v>Cumple</v>
      </c>
      <c r="D13245">
        <v>571</v>
      </c>
      <c r="E13245" t="s">
        <v>8</v>
      </c>
      <c r="F13245">
        <v>10</v>
      </c>
      <c r="G13245">
        <v>8</v>
      </c>
      <c r="H13245">
        <f t="shared" si="413"/>
        <v>2</v>
      </c>
    </row>
    <row r="13246" spans="1:8" x14ac:dyDescent="0.2">
      <c r="A13246" t="s">
        <v>7</v>
      </c>
      <c r="B13246" t="s">
        <v>33</v>
      </c>
      <c r="C13246" t="str">
        <f t="shared" si="414"/>
        <v>Cumple</v>
      </c>
      <c r="D13246">
        <v>591</v>
      </c>
      <c r="E13246" t="s">
        <v>8</v>
      </c>
      <c r="F13246">
        <v>14</v>
      </c>
      <c r="G13246">
        <v>6</v>
      </c>
      <c r="H13246">
        <f t="shared" si="413"/>
        <v>8</v>
      </c>
    </row>
    <row r="13247" spans="1:8" x14ac:dyDescent="0.2">
      <c r="A13247" t="s">
        <v>7</v>
      </c>
      <c r="B13247" t="s">
        <v>33</v>
      </c>
      <c r="C13247" t="str">
        <f t="shared" si="414"/>
        <v>Cumple</v>
      </c>
      <c r="D13247">
        <v>643</v>
      </c>
      <c r="E13247" t="s">
        <v>8</v>
      </c>
      <c r="F13247">
        <v>10</v>
      </c>
      <c r="G13247">
        <v>8</v>
      </c>
      <c r="H13247">
        <f t="shared" si="413"/>
        <v>2</v>
      </c>
    </row>
    <row r="13248" spans="1:8" x14ac:dyDescent="0.2">
      <c r="A13248" t="s">
        <v>7</v>
      </c>
      <c r="B13248" t="s">
        <v>33</v>
      </c>
      <c r="C13248" t="str">
        <f t="shared" si="414"/>
        <v>Cumple</v>
      </c>
      <c r="D13248">
        <v>1868</v>
      </c>
      <c r="E13248" t="s">
        <v>8</v>
      </c>
      <c r="F13248">
        <v>10</v>
      </c>
      <c r="G13248">
        <v>8</v>
      </c>
      <c r="H13248">
        <f t="shared" si="413"/>
        <v>2</v>
      </c>
    </row>
    <row r="13249" spans="1:8" x14ac:dyDescent="0.2">
      <c r="A13249" t="s">
        <v>7</v>
      </c>
      <c r="B13249" t="s">
        <v>33</v>
      </c>
      <c r="C13249" t="str">
        <f t="shared" si="414"/>
        <v>Cumple</v>
      </c>
      <c r="D13249">
        <v>2308</v>
      </c>
      <c r="E13249" t="s">
        <v>8</v>
      </c>
      <c r="F13249">
        <v>15</v>
      </c>
      <c r="G13249">
        <v>6</v>
      </c>
      <c r="H13249">
        <f t="shared" si="413"/>
        <v>9</v>
      </c>
    </row>
    <row r="13250" spans="1:8" x14ac:dyDescent="0.2">
      <c r="A13250" t="s">
        <v>7</v>
      </c>
      <c r="B13250" t="s">
        <v>33</v>
      </c>
      <c r="C13250" t="str">
        <f t="shared" si="414"/>
        <v>Cumple</v>
      </c>
      <c r="D13250">
        <v>2394</v>
      </c>
      <c r="E13250" t="s">
        <v>8</v>
      </c>
      <c r="F13250">
        <v>10</v>
      </c>
      <c r="G13250">
        <v>8</v>
      </c>
      <c r="H13250">
        <f t="shared" si="413"/>
        <v>2</v>
      </c>
    </row>
    <row r="13251" spans="1:8" x14ac:dyDescent="0.2">
      <c r="A13251" t="s">
        <v>7</v>
      </c>
      <c r="B13251" t="s">
        <v>33</v>
      </c>
      <c r="C13251" t="str">
        <f t="shared" si="414"/>
        <v>Cumple</v>
      </c>
      <c r="D13251">
        <v>2520</v>
      </c>
      <c r="E13251" t="s">
        <v>8</v>
      </c>
      <c r="F13251">
        <v>10</v>
      </c>
      <c r="G13251">
        <v>8</v>
      </c>
      <c r="H13251">
        <f t="shared" ref="H13251:H13314" si="415">F13251-G13251</f>
        <v>2</v>
      </c>
    </row>
    <row r="13252" spans="1:8" x14ac:dyDescent="0.2">
      <c r="A13252" t="s">
        <v>7</v>
      </c>
      <c r="B13252" t="s">
        <v>33</v>
      </c>
      <c r="C13252" t="str">
        <f t="shared" si="414"/>
        <v>Cumple</v>
      </c>
      <c r="D13252">
        <v>3848</v>
      </c>
      <c r="E13252" t="s">
        <v>8</v>
      </c>
      <c r="F13252">
        <v>10</v>
      </c>
      <c r="G13252">
        <v>8</v>
      </c>
      <c r="H13252">
        <f t="shared" si="415"/>
        <v>2</v>
      </c>
    </row>
    <row r="13253" spans="1:8" x14ac:dyDescent="0.2">
      <c r="A13253" t="s">
        <v>7</v>
      </c>
      <c r="B13253" t="s">
        <v>33</v>
      </c>
      <c r="C13253" t="str">
        <f t="shared" ref="C13253:C13316" si="416">IF(H13253&gt;=0,"Cumple","No cumple")</f>
        <v>Cumple</v>
      </c>
      <c r="D13253">
        <v>9241</v>
      </c>
      <c r="E13253" t="s">
        <v>8</v>
      </c>
      <c r="F13253">
        <v>16</v>
      </c>
      <c r="G13253">
        <v>6</v>
      </c>
      <c r="H13253">
        <f t="shared" si="415"/>
        <v>10</v>
      </c>
    </row>
    <row r="13254" spans="1:8" x14ac:dyDescent="0.2">
      <c r="A13254" t="s">
        <v>7</v>
      </c>
      <c r="B13254" t="s">
        <v>33</v>
      </c>
      <c r="C13254" t="str">
        <f t="shared" si="416"/>
        <v>Cumple</v>
      </c>
      <c r="D13254">
        <v>9292</v>
      </c>
      <c r="E13254" t="s">
        <v>8</v>
      </c>
      <c r="F13254">
        <v>10</v>
      </c>
      <c r="G13254">
        <v>8</v>
      </c>
      <c r="H13254">
        <f t="shared" si="415"/>
        <v>2</v>
      </c>
    </row>
    <row r="13255" spans="1:8" x14ac:dyDescent="0.2">
      <c r="A13255" t="s">
        <v>7</v>
      </c>
      <c r="B13255" t="s">
        <v>33</v>
      </c>
      <c r="C13255" t="str">
        <f t="shared" si="416"/>
        <v>Cumple</v>
      </c>
      <c r="D13255">
        <v>9715</v>
      </c>
      <c r="E13255" t="s">
        <v>8</v>
      </c>
      <c r="F13255">
        <v>19</v>
      </c>
      <c r="G13255">
        <v>6</v>
      </c>
      <c r="H13255">
        <f t="shared" si="415"/>
        <v>13</v>
      </c>
    </row>
    <row r="13256" spans="1:8" x14ac:dyDescent="0.2">
      <c r="A13256" t="s">
        <v>7</v>
      </c>
      <c r="B13256" t="s">
        <v>33</v>
      </c>
      <c r="C13256" t="str">
        <f t="shared" si="416"/>
        <v>Cumple</v>
      </c>
      <c r="D13256">
        <v>423</v>
      </c>
      <c r="E13256" t="s">
        <v>8</v>
      </c>
      <c r="F13256">
        <v>9</v>
      </c>
      <c r="G13256">
        <v>8</v>
      </c>
      <c r="H13256">
        <f t="shared" si="415"/>
        <v>1</v>
      </c>
    </row>
    <row r="13257" spans="1:8" x14ac:dyDescent="0.2">
      <c r="A13257" t="s">
        <v>7</v>
      </c>
      <c r="B13257" t="s">
        <v>33</v>
      </c>
      <c r="C13257" t="str">
        <f t="shared" si="416"/>
        <v>Cumple</v>
      </c>
      <c r="D13257">
        <v>2190</v>
      </c>
      <c r="E13257" t="s">
        <v>8</v>
      </c>
      <c r="F13257">
        <v>21</v>
      </c>
      <c r="G13257">
        <v>6</v>
      </c>
      <c r="H13257">
        <f t="shared" si="415"/>
        <v>15</v>
      </c>
    </row>
    <row r="13258" spans="1:8" x14ac:dyDescent="0.2">
      <c r="A13258" t="s">
        <v>7</v>
      </c>
      <c r="B13258" t="s">
        <v>33</v>
      </c>
      <c r="C13258" t="str">
        <f t="shared" si="416"/>
        <v>Cumple</v>
      </c>
      <c r="D13258">
        <v>2410</v>
      </c>
      <c r="E13258" t="s">
        <v>8</v>
      </c>
      <c r="F13258">
        <v>17</v>
      </c>
      <c r="G13258">
        <v>6</v>
      </c>
      <c r="H13258">
        <f t="shared" si="415"/>
        <v>11</v>
      </c>
    </row>
    <row r="13259" spans="1:8" x14ac:dyDescent="0.2">
      <c r="A13259" t="s">
        <v>7</v>
      </c>
      <c r="B13259" t="s">
        <v>33</v>
      </c>
      <c r="C13259" t="str">
        <f t="shared" si="416"/>
        <v>Cumple</v>
      </c>
      <c r="D13259">
        <v>9228</v>
      </c>
      <c r="E13259" t="s">
        <v>8</v>
      </c>
      <c r="F13259">
        <v>11</v>
      </c>
      <c r="G13259">
        <v>6</v>
      </c>
      <c r="H13259">
        <f t="shared" si="415"/>
        <v>5</v>
      </c>
    </row>
    <row r="13260" spans="1:8" x14ac:dyDescent="0.2">
      <c r="A13260" t="s">
        <v>7</v>
      </c>
      <c r="B13260" t="s">
        <v>33</v>
      </c>
      <c r="C13260" t="str">
        <f t="shared" si="416"/>
        <v>Cumple</v>
      </c>
      <c r="D13260">
        <v>9811</v>
      </c>
      <c r="E13260" t="s">
        <v>8</v>
      </c>
      <c r="F13260">
        <v>9</v>
      </c>
      <c r="G13260">
        <v>8</v>
      </c>
      <c r="H13260">
        <f t="shared" si="415"/>
        <v>1</v>
      </c>
    </row>
    <row r="13261" spans="1:8" x14ac:dyDescent="0.2">
      <c r="A13261" t="s">
        <v>7</v>
      </c>
      <c r="B13261" t="s">
        <v>33</v>
      </c>
      <c r="C13261" t="str">
        <f t="shared" si="416"/>
        <v>Cumple</v>
      </c>
      <c r="D13261">
        <v>9237</v>
      </c>
      <c r="E13261" t="s">
        <v>8</v>
      </c>
      <c r="F13261">
        <v>11</v>
      </c>
      <c r="G13261">
        <v>6</v>
      </c>
      <c r="H13261">
        <f t="shared" si="415"/>
        <v>5</v>
      </c>
    </row>
    <row r="13262" spans="1:8" x14ac:dyDescent="0.2">
      <c r="A13262" t="s">
        <v>7</v>
      </c>
      <c r="B13262" t="s">
        <v>33</v>
      </c>
      <c r="C13262" t="str">
        <f t="shared" si="416"/>
        <v>Cumple</v>
      </c>
      <c r="D13262">
        <v>373</v>
      </c>
      <c r="E13262" t="s">
        <v>8</v>
      </c>
      <c r="F13262">
        <v>10</v>
      </c>
      <c r="G13262">
        <v>6</v>
      </c>
      <c r="H13262">
        <f t="shared" si="415"/>
        <v>4</v>
      </c>
    </row>
    <row r="13263" spans="1:8" x14ac:dyDescent="0.2">
      <c r="A13263" t="s">
        <v>7</v>
      </c>
      <c r="B13263" t="s">
        <v>33</v>
      </c>
      <c r="C13263" t="str">
        <f t="shared" si="416"/>
        <v>Cumple</v>
      </c>
      <c r="D13263">
        <v>633</v>
      </c>
      <c r="E13263" t="s">
        <v>8</v>
      </c>
      <c r="F13263">
        <v>8</v>
      </c>
      <c r="G13263">
        <v>8</v>
      </c>
      <c r="H13263">
        <f t="shared" si="415"/>
        <v>0</v>
      </c>
    </row>
    <row r="13264" spans="1:8" x14ac:dyDescent="0.2">
      <c r="A13264" t="s">
        <v>7</v>
      </c>
      <c r="B13264" t="s">
        <v>33</v>
      </c>
      <c r="C13264" t="str">
        <f t="shared" si="416"/>
        <v>Cumple</v>
      </c>
      <c r="D13264">
        <v>2039</v>
      </c>
      <c r="E13264" t="s">
        <v>8</v>
      </c>
      <c r="F13264">
        <v>9</v>
      </c>
      <c r="G13264">
        <v>6</v>
      </c>
      <c r="H13264">
        <f t="shared" si="415"/>
        <v>3</v>
      </c>
    </row>
    <row r="13265" spans="1:8" x14ac:dyDescent="0.2">
      <c r="A13265" t="s">
        <v>7</v>
      </c>
      <c r="B13265" t="s">
        <v>33</v>
      </c>
      <c r="C13265" t="str">
        <f t="shared" si="416"/>
        <v>Cumple</v>
      </c>
      <c r="D13265">
        <v>2422</v>
      </c>
      <c r="E13265" t="s">
        <v>8</v>
      </c>
      <c r="F13265">
        <v>8</v>
      </c>
      <c r="G13265">
        <v>8</v>
      </c>
      <c r="H13265">
        <f t="shared" si="415"/>
        <v>0</v>
      </c>
    </row>
    <row r="13266" spans="1:8" x14ac:dyDescent="0.2">
      <c r="A13266" t="s">
        <v>7</v>
      </c>
      <c r="B13266" t="s">
        <v>33</v>
      </c>
      <c r="C13266" t="str">
        <f t="shared" si="416"/>
        <v>Cumple</v>
      </c>
      <c r="D13266">
        <v>2672</v>
      </c>
      <c r="E13266" t="s">
        <v>8</v>
      </c>
      <c r="F13266">
        <v>9</v>
      </c>
      <c r="G13266" s="9">
        <v>6</v>
      </c>
      <c r="H13266">
        <f t="shared" si="415"/>
        <v>3</v>
      </c>
    </row>
    <row r="13267" spans="1:8" x14ac:dyDescent="0.2">
      <c r="A13267" t="s">
        <v>7</v>
      </c>
      <c r="B13267" t="s">
        <v>33</v>
      </c>
      <c r="C13267" t="str">
        <f t="shared" si="416"/>
        <v>Cumple</v>
      </c>
      <c r="D13267">
        <v>3719</v>
      </c>
      <c r="E13267" t="s">
        <v>8</v>
      </c>
      <c r="F13267">
        <v>8</v>
      </c>
      <c r="G13267">
        <v>8</v>
      </c>
      <c r="H13267">
        <f t="shared" si="415"/>
        <v>0</v>
      </c>
    </row>
    <row r="13268" spans="1:8" x14ac:dyDescent="0.2">
      <c r="A13268" t="s">
        <v>7</v>
      </c>
      <c r="B13268" t="s">
        <v>33</v>
      </c>
      <c r="C13268" t="str">
        <f t="shared" si="416"/>
        <v>Cumple</v>
      </c>
      <c r="D13268">
        <v>3799</v>
      </c>
      <c r="E13268" t="s">
        <v>8</v>
      </c>
      <c r="F13268">
        <v>14</v>
      </c>
      <c r="G13268">
        <v>6</v>
      </c>
      <c r="H13268">
        <f t="shared" si="415"/>
        <v>8</v>
      </c>
    </row>
    <row r="13269" spans="1:8" x14ac:dyDescent="0.2">
      <c r="A13269" t="s">
        <v>7</v>
      </c>
      <c r="B13269" t="s">
        <v>33</v>
      </c>
      <c r="C13269" t="str">
        <f t="shared" si="416"/>
        <v>Cumple</v>
      </c>
      <c r="D13269">
        <v>3880</v>
      </c>
      <c r="E13269" t="s">
        <v>8</v>
      </c>
      <c r="F13269">
        <v>9</v>
      </c>
      <c r="G13269">
        <v>6</v>
      </c>
      <c r="H13269">
        <f t="shared" si="415"/>
        <v>3</v>
      </c>
    </row>
    <row r="13270" spans="1:8" x14ac:dyDescent="0.2">
      <c r="A13270" t="s">
        <v>7</v>
      </c>
      <c r="B13270" t="s">
        <v>33</v>
      </c>
      <c r="C13270" t="str">
        <f t="shared" si="416"/>
        <v>Cumple</v>
      </c>
      <c r="D13270">
        <v>5130</v>
      </c>
      <c r="E13270" t="s">
        <v>8</v>
      </c>
      <c r="F13270">
        <v>19</v>
      </c>
      <c r="G13270">
        <v>6</v>
      </c>
      <c r="H13270">
        <f t="shared" si="415"/>
        <v>13</v>
      </c>
    </row>
    <row r="13271" spans="1:8" x14ac:dyDescent="0.2">
      <c r="A13271" t="s">
        <v>7</v>
      </c>
      <c r="B13271" t="s">
        <v>33</v>
      </c>
      <c r="C13271" t="str">
        <f t="shared" si="416"/>
        <v>Cumple</v>
      </c>
      <c r="D13271">
        <v>7065</v>
      </c>
      <c r="E13271" t="s">
        <v>8</v>
      </c>
      <c r="F13271">
        <v>8</v>
      </c>
      <c r="G13271">
        <v>8</v>
      </c>
      <c r="H13271">
        <f t="shared" si="415"/>
        <v>0</v>
      </c>
    </row>
    <row r="13272" spans="1:8" x14ac:dyDescent="0.2">
      <c r="A13272" t="s">
        <v>7</v>
      </c>
      <c r="B13272" t="s">
        <v>33</v>
      </c>
      <c r="C13272" t="str">
        <f t="shared" si="416"/>
        <v>Cumple</v>
      </c>
      <c r="D13272">
        <v>9226</v>
      </c>
      <c r="E13272" t="s">
        <v>8</v>
      </c>
      <c r="F13272">
        <v>8</v>
      </c>
      <c r="G13272">
        <v>8</v>
      </c>
      <c r="H13272">
        <f t="shared" si="415"/>
        <v>0</v>
      </c>
    </row>
    <row r="13273" spans="1:8" x14ac:dyDescent="0.2">
      <c r="A13273" t="s">
        <v>7</v>
      </c>
      <c r="B13273" t="s">
        <v>33</v>
      </c>
      <c r="C13273" t="str">
        <f t="shared" si="416"/>
        <v>Cumple</v>
      </c>
      <c r="D13273">
        <v>9636</v>
      </c>
      <c r="E13273" t="s">
        <v>8</v>
      </c>
      <c r="F13273">
        <v>14</v>
      </c>
      <c r="G13273">
        <v>6</v>
      </c>
      <c r="H13273">
        <f t="shared" si="415"/>
        <v>8</v>
      </c>
    </row>
    <row r="13274" spans="1:8" x14ac:dyDescent="0.2">
      <c r="A13274" t="s">
        <v>7</v>
      </c>
      <c r="B13274" t="s">
        <v>33</v>
      </c>
      <c r="C13274" t="str">
        <f t="shared" si="416"/>
        <v>Cumple</v>
      </c>
      <c r="D13274">
        <v>9883</v>
      </c>
      <c r="E13274" t="s">
        <v>8</v>
      </c>
      <c r="F13274">
        <v>8</v>
      </c>
      <c r="G13274">
        <v>8</v>
      </c>
      <c r="H13274">
        <f t="shared" si="415"/>
        <v>0</v>
      </c>
    </row>
    <row r="13275" spans="1:8" x14ac:dyDescent="0.2">
      <c r="A13275" t="s">
        <v>7</v>
      </c>
      <c r="B13275" t="s">
        <v>33</v>
      </c>
      <c r="C13275" t="str">
        <f t="shared" si="416"/>
        <v>Cumple</v>
      </c>
      <c r="D13275">
        <v>4064</v>
      </c>
      <c r="E13275" t="s">
        <v>8</v>
      </c>
      <c r="F13275">
        <v>20</v>
      </c>
      <c r="G13275">
        <v>6</v>
      </c>
      <c r="H13275">
        <f t="shared" si="415"/>
        <v>14</v>
      </c>
    </row>
    <row r="13276" spans="1:8" x14ac:dyDescent="0.2">
      <c r="A13276" t="s">
        <v>7</v>
      </c>
      <c r="B13276" t="s">
        <v>33</v>
      </c>
      <c r="C13276" t="str">
        <f t="shared" si="416"/>
        <v>Cumple</v>
      </c>
      <c r="D13276">
        <v>515</v>
      </c>
      <c r="E13276" t="s">
        <v>8</v>
      </c>
      <c r="F13276">
        <v>9</v>
      </c>
      <c r="G13276">
        <v>6</v>
      </c>
      <c r="H13276">
        <f t="shared" si="415"/>
        <v>3</v>
      </c>
    </row>
    <row r="13277" spans="1:8" x14ac:dyDescent="0.2">
      <c r="A13277" t="s">
        <v>7</v>
      </c>
      <c r="B13277" t="s">
        <v>33</v>
      </c>
      <c r="C13277" t="str">
        <f t="shared" si="416"/>
        <v>Cumple</v>
      </c>
      <c r="D13277">
        <v>557</v>
      </c>
      <c r="E13277" t="s">
        <v>8</v>
      </c>
      <c r="F13277">
        <v>10</v>
      </c>
      <c r="G13277">
        <v>6</v>
      </c>
      <c r="H13277">
        <f t="shared" si="415"/>
        <v>4</v>
      </c>
    </row>
    <row r="13278" spans="1:8" x14ac:dyDescent="0.2">
      <c r="A13278" t="s">
        <v>7</v>
      </c>
      <c r="B13278" t="s">
        <v>33</v>
      </c>
      <c r="C13278" t="str">
        <f t="shared" si="416"/>
        <v>No cumple</v>
      </c>
      <c r="D13278">
        <v>722</v>
      </c>
      <c r="E13278" t="s">
        <v>8</v>
      </c>
      <c r="F13278">
        <v>7</v>
      </c>
      <c r="G13278">
        <v>8</v>
      </c>
      <c r="H13278">
        <f t="shared" si="415"/>
        <v>-1</v>
      </c>
    </row>
    <row r="13279" spans="1:8" x14ac:dyDescent="0.2">
      <c r="A13279" t="s">
        <v>7</v>
      </c>
      <c r="B13279" t="s">
        <v>33</v>
      </c>
      <c r="C13279" t="str">
        <f t="shared" si="416"/>
        <v>Cumple</v>
      </c>
      <c r="D13279">
        <v>1549</v>
      </c>
      <c r="E13279" t="s">
        <v>8</v>
      </c>
      <c r="F13279">
        <v>12</v>
      </c>
      <c r="G13279">
        <v>6</v>
      </c>
      <c r="H13279">
        <f t="shared" si="415"/>
        <v>6</v>
      </c>
    </row>
    <row r="13280" spans="1:8" x14ac:dyDescent="0.2">
      <c r="A13280" t="s">
        <v>7</v>
      </c>
      <c r="B13280" t="s">
        <v>33</v>
      </c>
      <c r="C13280" t="str">
        <f t="shared" si="416"/>
        <v>No cumple</v>
      </c>
      <c r="D13280">
        <v>1854</v>
      </c>
      <c r="E13280" t="s">
        <v>8</v>
      </c>
      <c r="F13280">
        <v>7</v>
      </c>
      <c r="G13280">
        <v>8</v>
      </c>
      <c r="H13280">
        <f t="shared" si="415"/>
        <v>-1</v>
      </c>
    </row>
    <row r="13281" spans="1:8" x14ac:dyDescent="0.2">
      <c r="A13281" t="s">
        <v>7</v>
      </c>
      <c r="B13281" t="s">
        <v>33</v>
      </c>
      <c r="C13281" t="str">
        <f t="shared" si="416"/>
        <v>No cumple</v>
      </c>
      <c r="D13281">
        <v>1915</v>
      </c>
      <c r="E13281" t="s">
        <v>8</v>
      </c>
      <c r="F13281">
        <v>7</v>
      </c>
      <c r="G13281">
        <v>8</v>
      </c>
      <c r="H13281">
        <f t="shared" si="415"/>
        <v>-1</v>
      </c>
    </row>
    <row r="13282" spans="1:8" x14ac:dyDescent="0.2">
      <c r="A13282" t="s">
        <v>7</v>
      </c>
      <c r="B13282" t="s">
        <v>33</v>
      </c>
      <c r="C13282" t="str">
        <f t="shared" si="416"/>
        <v>Cumple</v>
      </c>
      <c r="D13282">
        <v>2122</v>
      </c>
      <c r="E13282" t="s">
        <v>8</v>
      </c>
      <c r="F13282" s="9">
        <v>8</v>
      </c>
      <c r="G13282">
        <v>8</v>
      </c>
      <c r="H13282">
        <f t="shared" si="415"/>
        <v>0</v>
      </c>
    </row>
    <row r="13283" spans="1:8" x14ac:dyDescent="0.2">
      <c r="A13283" t="s">
        <v>7</v>
      </c>
      <c r="B13283" t="s">
        <v>33</v>
      </c>
      <c r="C13283" t="str">
        <f t="shared" si="416"/>
        <v>Cumple</v>
      </c>
      <c r="D13283">
        <v>2221</v>
      </c>
      <c r="E13283" t="s">
        <v>8</v>
      </c>
      <c r="F13283">
        <v>13</v>
      </c>
      <c r="G13283">
        <v>6</v>
      </c>
      <c r="H13283">
        <f t="shared" si="415"/>
        <v>7</v>
      </c>
    </row>
    <row r="13284" spans="1:8" x14ac:dyDescent="0.2">
      <c r="A13284" t="s">
        <v>7</v>
      </c>
      <c r="B13284" t="s">
        <v>33</v>
      </c>
      <c r="C13284" t="str">
        <f t="shared" si="416"/>
        <v>Cumple</v>
      </c>
      <c r="D13284">
        <v>2390</v>
      </c>
      <c r="E13284" t="s">
        <v>8</v>
      </c>
      <c r="F13284">
        <v>14</v>
      </c>
      <c r="G13284">
        <v>6</v>
      </c>
      <c r="H13284">
        <f t="shared" si="415"/>
        <v>8</v>
      </c>
    </row>
    <row r="13285" spans="1:8" x14ac:dyDescent="0.2">
      <c r="A13285" t="s">
        <v>7</v>
      </c>
      <c r="B13285" t="s">
        <v>33</v>
      </c>
      <c r="C13285" t="str">
        <f t="shared" si="416"/>
        <v>Cumple</v>
      </c>
      <c r="D13285">
        <v>2479</v>
      </c>
      <c r="E13285" t="s">
        <v>8</v>
      </c>
      <c r="F13285">
        <v>13</v>
      </c>
      <c r="G13285">
        <v>6</v>
      </c>
      <c r="H13285">
        <f t="shared" si="415"/>
        <v>7</v>
      </c>
    </row>
    <row r="13286" spans="1:8" x14ac:dyDescent="0.2">
      <c r="A13286" t="s">
        <v>7</v>
      </c>
      <c r="B13286" t="s">
        <v>33</v>
      </c>
      <c r="C13286" t="str">
        <f t="shared" si="416"/>
        <v>Cumple</v>
      </c>
      <c r="D13286">
        <v>2790</v>
      </c>
      <c r="E13286" t="s">
        <v>8</v>
      </c>
      <c r="F13286">
        <v>13</v>
      </c>
      <c r="G13286">
        <v>6</v>
      </c>
      <c r="H13286">
        <f t="shared" si="415"/>
        <v>7</v>
      </c>
    </row>
    <row r="13287" spans="1:8" x14ac:dyDescent="0.2">
      <c r="A13287" t="s">
        <v>7</v>
      </c>
      <c r="B13287" t="s">
        <v>33</v>
      </c>
      <c r="C13287" t="str">
        <f t="shared" si="416"/>
        <v>Cumple</v>
      </c>
      <c r="D13287">
        <v>2808</v>
      </c>
      <c r="E13287" t="s">
        <v>8</v>
      </c>
      <c r="F13287">
        <v>17</v>
      </c>
      <c r="G13287">
        <v>6</v>
      </c>
      <c r="H13287">
        <f t="shared" si="415"/>
        <v>11</v>
      </c>
    </row>
    <row r="13288" spans="1:8" x14ac:dyDescent="0.2">
      <c r="A13288" t="s">
        <v>7</v>
      </c>
      <c r="B13288" t="s">
        <v>33</v>
      </c>
      <c r="C13288" t="str">
        <f t="shared" si="416"/>
        <v>Cumple</v>
      </c>
      <c r="D13288">
        <v>3557</v>
      </c>
      <c r="E13288" t="s">
        <v>8</v>
      </c>
      <c r="F13288">
        <v>11</v>
      </c>
      <c r="G13288">
        <v>6</v>
      </c>
      <c r="H13288">
        <f t="shared" si="415"/>
        <v>5</v>
      </c>
    </row>
    <row r="13289" spans="1:8" x14ac:dyDescent="0.2">
      <c r="A13289" t="s">
        <v>7</v>
      </c>
      <c r="B13289" t="s">
        <v>33</v>
      </c>
      <c r="C13289" t="str">
        <f t="shared" si="416"/>
        <v>Cumple</v>
      </c>
      <c r="D13289">
        <v>9231</v>
      </c>
      <c r="E13289" t="s">
        <v>8</v>
      </c>
      <c r="F13289">
        <v>9</v>
      </c>
      <c r="G13289">
        <v>6</v>
      </c>
      <c r="H13289">
        <f t="shared" si="415"/>
        <v>3</v>
      </c>
    </row>
    <row r="13290" spans="1:8" x14ac:dyDescent="0.2">
      <c r="A13290" t="s">
        <v>7</v>
      </c>
      <c r="B13290" t="s">
        <v>33</v>
      </c>
      <c r="C13290" t="str">
        <f t="shared" si="416"/>
        <v>Cumple</v>
      </c>
      <c r="D13290">
        <v>4048</v>
      </c>
      <c r="E13290" t="s">
        <v>8</v>
      </c>
      <c r="F13290">
        <v>9</v>
      </c>
      <c r="G13290">
        <v>6</v>
      </c>
      <c r="H13290">
        <f t="shared" si="415"/>
        <v>3</v>
      </c>
    </row>
    <row r="13291" spans="1:8" x14ac:dyDescent="0.2">
      <c r="A13291" t="s">
        <v>7</v>
      </c>
      <c r="B13291" t="s">
        <v>33</v>
      </c>
      <c r="C13291" t="str">
        <f t="shared" si="416"/>
        <v>Cumple</v>
      </c>
      <c r="D13291">
        <v>4051</v>
      </c>
      <c r="E13291" t="s">
        <v>8</v>
      </c>
      <c r="F13291">
        <v>14</v>
      </c>
      <c r="G13291">
        <v>6</v>
      </c>
      <c r="H13291">
        <f t="shared" si="415"/>
        <v>8</v>
      </c>
    </row>
    <row r="13292" spans="1:8" x14ac:dyDescent="0.2">
      <c r="A13292" t="s">
        <v>7</v>
      </c>
      <c r="B13292" t="s">
        <v>33</v>
      </c>
      <c r="C13292" t="str">
        <f t="shared" si="416"/>
        <v>Cumple</v>
      </c>
      <c r="D13292">
        <v>2005</v>
      </c>
      <c r="E13292" t="s">
        <v>8</v>
      </c>
      <c r="F13292">
        <v>13</v>
      </c>
      <c r="G13292">
        <v>6</v>
      </c>
      <c r="H13292">
        <f t="shared" si="415"/>
        <v>7</v>
      </c>
    </row>
    <row r="13293" spans="1:8" x14ac:dyDescent="0.2">
      <c r="A13293" t="s">
        <v>7</v>
      </c>
      <c r="B13293" t="s">
        <v>33</v>
      </c>
      <c r="C13293" t="str">
        <f t="shared" si="416"/>
        <v>Cumple</v>
      </c>
      <c r="D13293">
        <v>2197</v>
      </c>
      <c r="E13293" t="s">
        <v>8</v>
      </c>
      <c r="F13293">
        <v>10</v>
      </c>
      <c r="G13293">
        <v>6</v>
      </c>
      <c r="H13293">
        <f t="shared" si="415"/>
        <v>4</v>
      </c>
    </row>
    <row r="13294" spans="1:8" x14ac:dyDescent="0.2">
      <c r="A13294" t="s">
        <v>7</v>
      </c>
      <c r="B13294" t="s">
        <v>33</v>
      </c>
      <c r="C13294" t="str">
        <f t="shared" si="416"/>
        <v>Cumple</v>
      </c>
      <c r="D13294">
        <v>2321</v>
      </c>
      <c r="E13294" t="s">
        <v>8</v>
      </c>
      <c r="F13294">
        <v>14</v>
      </c>
      <c r="G13294">
        <v>6</v>
      </c>
      <c r="H13294">
        <f t="shared" si="415"/>
        <v>8</v>
      </c>
    </row>
    <row r="13295" spans="1:8" x14ac:dyDescent="0.2">
      <c r="A13295" t="s">
        <v>7</v>
      </c>
      <c r="B13295" t="s">
        <v>33</v>
      </c>
      <c r="C13295" t="str">
        <f t="shared" si="416"/>
        <v>Cumple</v>
      </c>
      <c r="D13295">
        <v>2367</v>
      </c>
      <c r="E13295" t="s">
        <v>8</v>
      </c>
      <c r="F13295">
        <v>22</v>
      </c>
      <c r="G13295">
        <v>6</v>
      </c>
      <c r="H13295">
        <f t="shared" si="415"/>
        <v>16</v>
      </c>
    </row>
    <row r="13296" spans="1:8" x14ac:dyDescent="0.2">
      <c r="A13296" t="s">
        <v>7</v>
      </c>
      <c r="B13296" t="s">
        <v>33</v>
      </c>
      <c r="C13296" t="str">
        <f t="shared" si="416"/>
        <v>Cumple</v>
      </c>
      <c r="D13296">
        <v>2546</v>
      </c>
      <c r="E13296" t="s">
        <v>8</v>
      </c>
      <c r="F13296">
        <v>7</v>
      </c>
      <c r="G13296">
        <v>6</v>
      </c>
      <c r="H13296">
        <f t="shared" si="415"/>
        <v>1</v>
      </c>
    </row>
    <row r="13297" spans="1:8" x14ac:dyDescent="0.2">
      <c r="A13297" t="s">
        <v>7</v>
      </c>
      <c r="B13297" t="s">
        <v>33</v>
      </c>
      <c r="C13297" t="str">
        <f t="shared" si="416"/>
        <v>Cumple</v>
      </c>
      <c r="D13297">
        <v>2727</v>
      </c>
      <c r="E13297" t="s">
        <v>8</v>
      </c>
      <c r="F13297">
        <v>11</v>
      </c>
      <c r="G13297">
        <v>6</v>
      </c>
      <c r="H13297">
        <f t="shared" si="415"/>
        <v>5</v>
      </c>
    </row>
    <row r="13298" spans="1:8" x14ac:dyDescent="0.2">
      <c r="A13298" t="s">
        <v>7</v>
      </c>
      <c r="B13298" t="s">
        <v>33</v>
      </c>
      <c r="C13298" t="str">
        <f t="shared" si="416"/>
        <v>No cumple</v>
      </c>
      <c r="D13298">
        <v>2913</v>
      </c>
      <c r="E13298" t="s">
        <v>8</v>
      </c>
      <c r="F13298">
        <v>6</v>
      </c>
      <c r="G13298">
        <v>8</v>
      </c>
      <c r="H13298">
        <f t="shared" si="415"/>
        <v>-2</v>
      </c>
    </row>
    <row r="13299" spans="1:8" x14ac:dyDescent="0.2">
      <c r="A13299" t="s">
        <v>7</v>
      </c>
      <c r="B13299" t="s">
        <v>33</v>
      </c>
      <c r="C13299" t="str">
        <f t="shared" si="416"/>
        <v>Cumple</v>
      </c>
      <c r="D13299">
        <v>2928</v>
      </c>
      <c r="E13299" t="s">
        <v>8</v>
      </c>
      <c r="F13299">
        <v>11</v>
      </c>
      <c r="G13299">
        <v>6</v>
      </c>
      <c r="H13299">
        <f t="shared" si="415"/>
        <v>5</v>
      </c>
    </row>
    <row r="13300" spans="1:8" x14ac:dyDescent="0.2">
      <c r="A13300" t="s">
        <v>7</v>
      </c>
      <c r="B13300" t="s">
        <v>33</v>
      </c>
      <c r="C13300" t="str">
        <f t="shared" si="416"/>
        <v>Cumple</v>
      </c>
      <c r="D13300">
        <v>3559</v>
      </c>
      <c r="E13300" t="s">
        <v>8</v>
      </c>
      <c r="F13300">
        <v>9</v>
      </c>
      <c r="G13300">
        <v>6</v>
      </c>
      <c r="H13300">
        <f t="shared" si="415"/>
        <v>3</v>
      </c>
    </row>
    <row r="13301" spans="1:8" x14ac:dyDescent="0.2">
      <c r="A13301" t="s">
        <v>7</v>
      </c>
      <c r="B13301" t="s">
        <v>33</v>
      </c>
      <c r="C13301" t="str">
        <f t="shared" si="416"/>
        <v>Cumple</v>
      </c>
      <c r="D13301">
        <v>3917</v>
      </c>
      <c r="E13301" t="s">
        <v>8</v>
      </c>
      <c r="F13301">
        <v>9</v>
      </c>
      <c r="G13301">
        <v>6</v>
      </c>
      <c r="H13301">
        <f t="shared" si="415"/>
        <v>3</v>
      </c>
    </row>
    <row r="13302" spans="1:8" x14ac:dyDescent="0.2">
      <c r="A13302" t="s">
        <v>7</v>
      </c>
      <c r="B13302" t="s">
        <v>33</v>
      </c>
      <c r="C13302" t="str">
        <f t="shared" si="416"/>
        <v>Cumple</v>
      </c>
      <c r="D13302">
        <v>3943</v>
      </c>
      <c r="E13302" t="s">
        <v>8</v>
      </c>
      <c r="F13302">
        <v>10</v>
      </c>
      <c r="G13302">
        <v>6</v>
      </c>
      <c r="H13302">
        <f t="shared" si="415"/>
        <v>4</v>
      </c>
    </row>
    <row r="13303" spans="1:8" x14ac:dyDescent="0.2">
      <c r="A13303" t="s">
        <v>7</v>
      </c>
      <c r="B13303" t="s">
        <v>33</v>
      </c>
      <c r="C13303" t="str">
        <f t="shared" si="416"/>
        <v>Cumple</v>
      </c>
      <c r="D13303">
        <v>9216</v>
      </c>
      <c r="E13303" t="s">
        <v>8</v>
      </c>
      <c r="F13303">
        <v>17</v>
      </c>
      <c r="G13303">
        <v>6</v>
      </c>
      <c r="H13303">
        <f t="shared" si="415"/>
        <v>11</v>
      </c>
    </row>
    <row r="13304" spans="1:8" x14ac:dyDescent="0.2">
      <c r="A13304" t="s">
        <v>7</v>
      </c>
      <c r="B13304" t="s">
        <v>33</v>
      </c>
      <c r="C13304" t="str">
        <f t="shared" si="416"/>
        <v>Cumple</v>
      </c>
      <c r="D13304">
        <v>9641</v>
      </c>
      <c r="E13304" t="s">
        <v>8</v>
      </c>
      <c r="F13304">
        <v>10</v>
      </c>
      <c r="G13304">
        <v>6</v>
      </c>
      <c r="H13304">
        <f t="shared" si="415"/>
        <v>4</v>
      </c>
    </row>
    <row r="13305" spans="1:8" x14ac:dyDescent="0.2">
      <c r="A13305" t="s">
        <v>7</v>
      </c>
      <c r="B13305" t="s">
        <v>33</v>
      </c>
      <c r="C13305" t="str">
        <f t="shared" si="416"/>
        <v>Cumple</v>
      </c>
      <c r="D13305">
        <v>1543</v>
      </c>
      <c r="E13305" t="s">
        <v>8</v>
      </c>
      <c r="F13305">
        <v>13</v>
      </c>
      <c r="G13305">
        <v>6</v>
      </c>
      <c r="H13305">
        <f t="shared" si="415"/>
        <v>7</v>
      </c>
    </row>
    <row r="13306" spans="1:8" x14ac:dyDescent="0.2">
      <c r="A13306" t="s">
        <v>7</v>
      </c>
      <c r="B13306" t="s">
        <v>33</v>
      </c>
      <c r="C13306" t="str">
        <f t="shared" si="416"/>
        <v>Cumple</v>
      </c>
      <c r="D13306">
        <v>3991</v>
      </c>
      <c r="E13306" t="s">
        <v>8</v>
      </c>
      <c r="F13306">
        <v>11</v>
      </c>
      <c r="G13306">
        <v>6</v>
      </c>
      <c r="H13306">
        <f t="shared" si="415"/>
        <v>5</v>
      </c>
    </row>
    <row r="13307" spans="1:8" x14ac:dyDescent="0.2">
      <c r="A13307" t="s">
        <v>7</v>
      </c>
      <c r="B13307" t="s">
        <v>33</v>
      </c>
      <c r="C13307" t="str">
        <f t="shared" si="416"/>
        <v>Cumple</v>
      </c>
      <c r="D13307">
        <v>2923</v>
      </c>
      <c r="E13307" t="s">
        <v>8</v>
      </c>
      <c r="F13307">
        <v>9</v>
      </c>
      <c r="G13307">
        <v>6</v>
      </c>
      <c r="H13307">
        <f t="shared" si="415"/>
        <v>3</v>
      </c>
    </row>
    <row r="13308" spans="1:8" x14ac:dyDescent="0.2">
      <c r="A13308" t="s">
        <v>7</v>
      </c>
      <c r="B13308" t="s">
        <v>33</v>
      </c>
      <c r="C13308" t="str">
        <f t="shared" si="416"/>
        <v>No cumple</v>
      </c>
      <c r="D13308">
        <v>380</v>
      </c>
      <c r="E13308" t="s">
        <v>8</v>
      </c>
      <c r="F13308">
        <v>5</v>
      </c>
      <c r="G13308">
        <v>8</v>
      </c>
      <c r="H13308">
        <f t="shared" si="415"/>
        <v>-3</v>
      </c>
    </row>
    <row r="13309" spans="1:8" x14ac:dyDescent="0.2">
      <c r="A13309" t="s">
        <v>7</v>
      </c>
      <c r="B13309" t="s">
        <v>33</v>
      </c>
      <c r="C13309" t="str">
        <f t="shared" si="416"/>
        <v>Cumple</v>
      </c>
      <c r="D13309">
        <v>688</v>
      </c>
      <c r="E13309" t="s">
        <v>8</v>
      </c>
      <c r="F13309">
        <v>11</v>
      </c>
      <c r="G13309">
        <v>6</v>
      </c>
      <c r="H13309">
        <f t="shared" si="415"/>
        <v>5</v>
      </c>
    </row>
    <row r="13310" spans="1:8" x14ac:dyDescent="0.2">
      <c r="A13310" t="s">
        <v>7</v>
      </c>
      <c r="B13310" t="s">
        <v>33</v>
      </c>
      <c r="C13310" t="str">
        <f t="shared" si="416"/>
        <v>Cumple</v>
      </c>
      <c r="D13310">
        <v>1406</v>
      </c>
      <c r="E13310" t="s">
        <v>8</v>
      </c>
      <c r="F13310">
        <v>8</v>
      </c>
      <c r="G13310">
        <v>6</v>
      </c>
      <c r="H13310">
        <f t="shared" si="415"/>
        <v>2</v>
      </c>
    </row>
    <row r="13311" spans="1:8" x14ac:dyDescent="0.2">
      <c r="A13311" t="s">
        <v>7</v>
      </c>
      <c r="B13311" t="s">
        <v>33</v>
      </c>
      <c r="C13311" t="str">
        <f t="shared" si="416"/>
        <v>Cumple</v>
      </c>
      <c r="D13311">
        <v>1440</v>
      </c>
      <c r="E13311" t="s">
        <v>8</v>
      </c>
      <c r="F13311">
        <v>8</v>
      </c>
      <c r="G13311">
        <v>6</v>
      </c>
      <c r="H13311">
        <f t="shared" si="415"/>
        <v>2</v>
      </c>
    </row>
    <row r="13312" spans="1:8" x14ac:dyDescent="0.2">
      <c r="A13312" t="s">
        <v>7</v>
      </c>
      <c r="B13312" t="s">
        <v>33</v>
      </c>
      <c r="C13312" t="str">
        <f t="shared" si="416"/>
        <v>Cumple</v>
      </c>
      <c r="D13312">
        <v>2047</v>
      </c>
      <c r="E13312" t="s">
        <v>8</v>
      </c>
      <c r="F13312">
        <v>6</v>
      </c>
      <c r="G13312">
        <v>6</v>
      </c>
      <c r="H13312">
        <f t="shared" si="415"/>
        <v>0</v>
      </c>
    </row>
    <row r="13313" spans="1:8" x14ac:dyDescent="0.2">
      <c r="A13313" t="s">
        <v>7</v>
      </c>
      <c r="B13313" t="s">
        <v>33</v>
      </c>
      <c r="C13313" t="str">
        <f t="shared" si="416"/>
        <v>Cumple</v>
      </c>
      <c r="D13313">
        <v>2441</v>
      </c>
      <c r="E13313" t="s">
        <v>8</v>
      </c>
      <c r="F13313">
        <v>6</v>
      </c>
      <c r="G13313">
        <v>6</v>
      </c>
      <c r="H13313">
        <f t="shared" si="415"/>
        <v>0</v>
      </c>
    </row>
    <row r="13314" spans="1:8" x14ac:dyDescent="0.2">
      <c r="A13314" t="s">
        <v>7</v>
      </c>
      <c r="B13314" t="s">
        <v>33</v>
      </c>
      <c r="C13314" t="str">
        <f t="shared" si="416"/>
        <v>No cumple</v>
      </c>
      <c r="D13314">
        <v>3399</v>
      </c>
      <c r="E13314" t="s">
        <v>8</v>
      </c>
      <c r="F13314">
        <v>5</v>
      </c>
      <c r="G13314">
        <v>8</v>
      </c>
      <c r="H13314">
        <f t="shared" si="415"/>
        <v>-3</v>
      </c>
    </row>
    <row r="13315" spans="1:8" x14ac:dyDescent="0.2">
      <c r="A13315" t="s">
        <v>7</v>
      </c>
      <c r="B13315" t="s">
        <v>33</v>
      </c>
      <c r="C13315" t="str">
        <f t="shared" si="416"/>
        <v>Cumple</v>
      </c>
      <c r="D13315">
        <v>3659</v>
      </c>
      <c r="E13315" t="s">
        <v>8</v>
      </c>
      <c r="F13315">
        <v>9</v>
      </c>
      <c r="G13315">
        <v>6</v>
      </c>
      <c r="H13315">
        <f t="shared" ref="H13315:H13378" si="417">F13315-G13315</f>
        <v>3</v>
      </c>
    </row>
    <row r="13316" spans="1:8" x14ac:dyDescent="0.2">
      <c r="A13316" t="s">
        <v>7</v>
      </c>
      <c r="B13316" t="s">
        <v>33</v>
      </c>
      <c r="C13316" t="str">
        <f t="shared" si="416"/>
        <v>Cumple</v>
      </c>
      <c r="D13316">
        <v>3802</v>
      </c>
      <c r="E13316" t="s">
        <v>8</v>
      </c>
      <c r="F13316">
        <v>9</v>
      </c>
      <c r="G13316">
        <v>6</v>
      </c>
      <c r="H13316">
        <f t="shared" si="417"/>
        <v>3</v>
      </c>
    </row>
    <row r="13317" spans="1:8" x14ac:dyDescent="0.2">
      <c r="A13317" t="s">
        <v>7</v>
      </c>
      <c r="B13317" t="s">
        <v>33</v>
      </c>
      <c r="C13317" t="str">
        <f t="shared" ref="C13317:C13380" si="418">IF(H13317&gt;=0,"Cumple","No cumple")</f>
        <v>Cumple</v>
      </c>
      <c r="D13317">
        <v>3940</v>
      </c>
      <c r="E13317" t="s">
        <v>8</v>
      </c>
      <c r="F13317">
        <v>16</v>
      </c>
      <c r="G13317">
        <v>6</v>
      </c>
      <c r="H13317">
        <f t="shared" si="417"/>
        <v>10</v>
      </c>
    </row>
    <row r="13318" spans="1:8" x14ac:dyDescent="0.2">
      <c r="A13318" t="s">
        <v>7</v>
      </c>
      <c r="B13318" t="s">
        <v>33</v>
      </c>
      <c r="C13318" t="str">
        <f t="shared" si="418"/>
        <v>Cumple</v>
      </c>
      <c r="D13318">
        <v>3967</v>
      </c>
      <c r="E13318" t="s">
        <v>8</v>
      </c>
      <c r="F13318">
        <v>13</v>
      </c>
      <c r="G13318">
        <v>6</v>
      </c>
      <c r="H13318">
        <f t="shared" si="417"/>
        <v>7</v>
      </c>
    </row>
    <row r="13319" spans="1:8" x14ac:dyDescent="0.2">
      <c r="A13319" t="s">
        <v>7</v>
      </c>
      <c r="B13319" t="s">
        <v>33</v>
      </c>
      <c r="C13319" t="str">
        <f t="shared" si="418"/>
        <v>Cumple</v>
      </c>
      <c r="D13319">
        <v>5142</v>
      </c>
      <c r="E13319" t="s">
        <v>8</v>
      </c>
      <c r="F13319">
        <v>6</v>
      </c>
      <c r="G13319">
        <v>6</v>
      </c>
      <c r="H13319">
        <f t="shared" si="417"/>
        <v>0</v>
      </c>
    </row>
    <row r="13320" spans="1:8" x14ac:dyDescent="0.2">
      <c r="A13320" t="s">
        <v>7</v>
      </c>
      <c r="B13320" t="s">
        <v>33</v>
      </c>
      <c r="C13320" t="str">
        <f t="shared" si="418"/>
        <v>Cumple</v>
      </c>
      <c r="D13320">
        <v>9112</v>
      </c>
      <c r="E13320" t="s">
        <v>8</v>
      </c>
      <c r="F13320">
        <v>10</v>
      </c>
      <c r="G13320">
        <v>6</v>
      </c>
      <c r="H13320">
        <f t="shared" si="417"/>
        <v>4</v>
      </c>
    </row>
    <row r="13321" spans="1:8" x14ac:dyDescent="0.2">
      <c r="A13321" t="s">
        <v>7</v>
      </c>
      <c r="B13321" t="s">
        <v>33</v>
      </c>
      <c r="C13321" t="str">
        <f t="shared" si="418"/>
        <v>No cumple</v>
      </c>
      <c r="D13321">
        <v>9220</v>
      </c>
      <c r="E13321" t="s">
        <v>8</v>
      </c>
      <c r="F13321">
        <v>5</v>
      </c>
      <c r="G13321">
        <v>8</v>
      </c>
      <c r="H13321">
        <f t="shared" si="417"/>
        <v>-3</v>
      </c>
    </row>
    <row r="13322" spans="1:8" x14ac:dyDescent="0.2">
      <c r="A13322" t="s">
        <v>7</v>
      </c>
      <c r="B13322" t="s">
        <v>33</v>
      </c>
      <c r="C13322" t="str">
        <f t="shared" si="418"/>
        <v>Cumple</v>
      </c>
      <c r="D13322">
        <v>9234</v>
      </c>
      <c r="E13322" t="s">
        <v>8</v>
      </c>
      <c r="F13322">
        <v>11</v>
      </c>
      <c r="G13322">
        <v>6</v>
      </c>
      <c r="H13322">
        <f t="shared" si="417"/>
        <v>5</v>
      </c>
    </row>
    <row r="13323" spans="1:8" x14ac:dyDescent="0.2">
      <c r="A13323" t="s">
        <v>7</v>
      </c>
      <c r="B13323" t="s">
        <v>33</v>
      </c>
      <c r="C13323" t="str">
        <f t="shared" si="418"/>
        <v>Cumple</v>
      </c>
      <c r="D13323">
        <v>9329</v>
      </c>
      <c r="E13323" t="s">
        <v>8</v>
      </c>
      <c r="F13323">
        <v>10</v>
      </c>
      <c r="G13323">
        <v>6</v>
      </c>
      <c r="H13323">
        <f t="shared" si="417"/>
        <v>4</v>
      </c>
    </row>
    <row r="13324" spans="1:8" x14ac:dyDescent="0.2">
      <c r="A13324" t="s">
        <v>7</v>
      </c>
      <c r="B13324" t="s">
        <v>33</v>
      </c>
      <c r="C13324" t="str">
        <f t="shared" si="418"/>
        <v>Cumple</v>
      </c>
      <c r="D13324">
        <v>9472</v>
      </c>
      <c r="E13324" t="s">
        <v>8</v>
      </c>
      <c r="F13324">
        <v>10</v>
      </c>
      <c r="G13324">
        <v>6</v>
      </c>
      <c r="H13324">
        <f t="shared" si="417"/>
        <v>4</v>
      </c>
    </row>
    <row r="13325" spans="1:8" x14ac:dyDescent="0.2">
      <c r="A13325" t="s">
        <v>7</v>
      </c>
      <c r="B13325" t="s">
        <v>33</v>
      </c>
      <c r="C13325" t="str">
        <f t="shared" si="418"/>
        <v>Cumple</v>
      </c>
      <c r="D13325">
        <v>9609</v>
      </c>
      <c r="E13325" t="s">
        <v>8</v>
      </c>
      <c r="F13325">
        <v>13</v>
      </c>
      <c r="G13325">
        <v>6</v>
      </c>
      <c r="H13325">
        <f t="shared" si="417"/>
        <v>7</v>
      </c>
    </row>
    <row r="13326" spans="1:8" x14ac:dyDescent="0.2">
      <c r="A13326" t="s">
        <v>7</v>
      </c>
      <c r="B13326" t="s">
        <v>33</v>
      </c>
      <c r="C13326" t="str">
        <f t="shared" si="418"/>
        <v>Cumple</v>
      </c>
      <c r="D13326">
        <v>1836</v>
      </c>
      <c r="E13326" t="s">
        <v>8</v>
      </c>
      <c r="F13326">
        <v>12</v>
      </c>
      <c r="G13326">
        <v>6</v>
      </c>
      <c r="H13326">
        <f t="shared" si="417"/>
        <v>6</v>
      </c>
    </row>
    <row r="13327" spans="1:8" x14ac:dyDescent="0.2">
      <c r="A13327" t="s">
        <v>7</v>
      </c>
      <c r="B13327" t="s">
        <v>33</v>
      </c>
      <c r="C13327" t="str">
        <f t="shared" si="418"/>
        <v>Cumple</v>
      </c>
      <c r="D13327">
        <v>674</v>
      </c>
      <c r="E13327" t="s">
        <v>8</v>
      </c>
      <c r="F13327">
        <v>11</v>
      </c>
      <c r="G13327">
        <v>6</v>
      </c>
      <c r="H13327">
        <f t="shared" si="417"/>
        <v>5</v>
      </c>
    </row>
    <row r="13328" spans="1:8" x14ac:dyDescent="0.2">
      <c r="A13328" t="s">
        <v>7</v>
      </c>
      <c r="B13328" t="s">
        <v>33</v>
      </c>
      <c r="C13328" t="str">
        <f t="shared" si="418"/>
        <v>No cumple</v>
      </c>
      <c r="D13328">
        <v>1779</v>
      </c>
      <c r="E13328" t="s">
        <v>8</v>
      </c>
      <c r="F13328">
        <v>4</v>
      </c>
      <c r="G13328">
        <v>6</v>
      </c>
      <c r="H13328">
        <f t="shared" si="417"/>
        <v>-2</v>
      </c>
    </row>
    <row r="13329" spans="1:8" x14ac:dyDescent="0.2">
      <c r="A13329" t="s">
        <v>7</v>
      </c>
      <c r="B13329" t="s">
        <v>33</v>
      </c>
      <c r="C13329" t="str">
        <f t="shared" si="418"/>
        <v>No cumple</v>
      </c>
      <c r="D13329">
        <v>1790</v>
      </c>
      <c r="E13329" t="s">
        <v>8</v>
      </c>
      <c r="F13329">
        <v>5</v>
      </c>
      <c r="G13329">
        <v>6</v>
      </c>
      <c r="H13329">
        <f t="shared" si="417"/>
        <v>-1</v>
      </c>
    </row>
    <row r="13330" spans="1:8" x14ac:dyDescent="0.2">
      <c r="A13330" t="s">
        <v>7</v>
      </c>
      <c r="B13330" t="s">
        <v>33</v>
      </c>
      <c r="C13330" t="str">
        <f t="shared" si="418"/>
        <v>Cumple</v>
      </c>
      <c r="D13330">
        <v>2186</v>
      </c>
      <c r="E13330" t="s">
        <v>8</v>
      </c>
      <c r="F13330">
        <v>16</v>
      </c>
      <c r="G13330">
        <v>6</v>
      </c>
      <c r="H13330">
        <f t="shared" si="417"/>
        <v>10</v>
      </c>
    </row>
    <row r="13331" spans="1:8" x14ac:dyDescent="0.2">
      <c r="A13331" t="s">
        <v>7</v>
      </c>
      <c r="B13331" t="s">
        <v>33</v>
      </c>
      <c r="C13331" t="str">
        <f t="shared" si="418"/>
        <v>Cumple</v>
      </c>
      <c r="D13331">
        <v>2218</v>
      </c>
      <c r="E13331" t="s">
        <v>8</v>
      </c>
      <c r="F13331">
        <v>9</v>
      </c>
      <c r="G13331">
        <v>6</v>
      </c>
      <c r="H13331">
        <f t="shared" si="417"/>
        <v>3</v>
      </c>
    </row>
    <row r="13332" spans="1:8" x14ac:dyDescent="0.2">
      <c r="A13332" t="s">
        <v>7</v>
      </c>
      <c r="B13332" t="s">
        <v>33</v>
      </c>
      <c r="C13332" t="str">
        <f t="shared" si="418"/>
        <v>Cumple</v>
      </c>
      <c r="D13332">
        <v>2501</v>
      </c>
      <c r="E13332" t="s">
        <v>8</v>
      </c>
      <c r="F13332">
        <v>13</v>
      </c>
      <c r="G13332">
        <v>6</v>
      </c>
      <c r="H13332">
        <f t="shared" si="417"/>
        <v>7</v>
      </c>
    </row>
    <row r="13333" spans="1:8" x14ac:dyDescent="0.2">
      <c r="A13333" t="s">
        <v>7</v>
      </c>
      <c r="B13333" t="s">
        <v>33</v>
      </c>
      <c r="C13333" t="str">
        <f t="shared" si="418"/>
        <v>Cumple</v>
      </c>
      <c r="D13333">
        <v>3453</v>
      </c>
      <c r="E13333" t="s">
        <v>8</v>
      </c>
      <c r="F13333">
        <v>16</v>
      </c>
      <c r="G13333">
        <v>6</v>
      </c>
      <c r="H13333">
        <f t="shared" si="417"/>
        <v>10</v>
      </c>
    </row>
    <row r="13334" spans="1:8" x14ac:dyDescent="0.2">
      <c r="A13334" t="s">
        <v>7</v>
      </c>
      <c r="B13334" t="s">
        <v>33</v>
      </c>
      <c r="C13334" t="str">
        <f t="shared" si="418"/>
        <v>Cumple</v>
      </c>
      <c r="D13334">
        <v>3513</v>
      </c>
      <c r="E13334" t="s">
        <v>8</v>
      </c>
      <c r="F13334">
        <v>6</v>
      </c>
      <c r="G13334">
        <v>6</v>
      </c>
      <c r="H13334">
        <f t="shared" si="417"/>
        <v>0</v>
      </c>
    </row>
    <row r="13335" spans="1:8" x14ac:dyDescent="0.2">
      <c r="A13335" t="s">
        <v>7</v>
      </c>
      <c r="B13335" t="s">
        <v>33</v>
      </c>
      <c r="C13335" t="str">
        <f t="shared" si="418"/>
        <v>Cumple</v>
      </c>
      <c r="D13335">
        <v>3593</v>
      </c>
      <c r="E13335" t="s">
        <v>8</v>
      </c>
      <c r="F13335">
        <v>15</v>
      </c>
      <c r="G13335">
        <v>6</v>
      </c>
      <c r="H13335">
        <f t="shared" si="417"/>
        <v>9</v>
      </c>
    </row>
    <row r="13336" spans="1:8" x14ac:dyDescent="0.2">
      <c r="A13336" t="s">
        <v>7</v>
      </c>
      <c r="B13336" t="s">
        <v>33</v>
      </c>
      <c r="C13336" t="str">
        <f t="shared" si="418"/>
        <v>Cumple</v>
      </c>
      <c r="D13336">
        <v>3629</v>
      </c>
      <c r="E13336" t="s">
        <v>8</v>
      </c>
      <c r="F13336">
        <v>6</v>
      </c>
      <c r="G13336">
        <v>6</v>
      </c>
      <c r="H13336">
        <f t="shared" si="417"/>
        <v>0</v>
      </c>
    </row>
    <row r="13337" spans="1:8" x14ac:dyDescent="0.2">
      <c r="A13337" t="s">
        <v>7</v>
      </c>
      <c r="B13337" t="s">
        <v>33</v>
      </c>
      <c r="C13337" t="str">
        <f t="shared" si="418"/>
        <v>Cumple</v>
      </c>
      <c r="D13337">
        <v>9139</v>
      </c>
      <c r="E13337" t="s">
        <v>8</v>
      </c>
      <c r="F13337">
        <v>7</v>
      </c>
      <c r="G13337">
        <v>6</v>
      </c>
      <c r="H13337">
        <f t="shared" si="417"/>
        <v>1</v>
      </c>
    </row>
    <row r="13338" spans="1:8" x14ac:dyDescent="0.2">
      <c r="A13338" t="s">
        <v>7</v>
      </c>
      <c r="B13338" t="s">
        <v>33</v>
      </c>
      <c r="C13338" t="str">
        <f t="shared" si="418"/>
        <v>No cumple</v>
      </c>
      <c r="D13338">
        <v>9365</v>
      </c>
      <c r="E13338" t="s">
        <v>8</v>
      </c>
      <c r="F13338">
        <v>4</v>
      </c>
      <c r="G13338">
        <v>6</v>
      </c>
      <c r="H13338">
        <f t="shared" si="417"/>
        <v>-2</v>
      </c>
    </row>
    <row r="13339" spans="1:8" x14ac:dyDescent="0.2">
      <c r="A13339" t="s">
        <v>7</v>
      </c>
      <c r="B13339" t="s">
        <v>33</v>
      </c>
      <c r="C13339" t="str">
        <f t="shared" si="418"/>
        <v>Cumple</v>
      </c>
      <c r="D13339">
        <v>9561</v>
      </c>
      <c r="E13339" t="s">
        <v>8</v>
      </c>
      <c r="F13339">
        <v>14</v>
      </c>
      <c r="G13339">
        <v>6</v>
      </c>
      <c r="H13339">
        <f t="shared" si="417"/>
        <v>8</v>
      </c>
    </row>
    <row r="13340" spans="1:8" x14ac:dyDescent="0.2">
      <c r="A13340" t="s">
        <v>7</v>
      </c>
      <c r="B13340" t="s">
        <v>33</v>
      </c>
      <c r="C13340" t="str">
        <f t="shared" si="418"/>
        <v>No cumple</v>
      </c>
      <c r="D13340">
        <v>9642</v>
      </c>
      <c r="E13340" t="s">
        <v>8</v>
      </c>
      <c r="F13340">
        <v>4</v>
      </c>
      <c r="G13340">
        <v>8</v>
      </c>
      <c r="H13340">
        <f t="shared" si="417"/>
        <v>-4</v>
      </c>
    </row>
    <row r="13341" spans="1:8" x14ac:dyDescent="0.2">
      <c r="A13341" t="s">
        <v>7</v>
      </c>
      <c r="B13341" t="s">
        <v>33</v>
      </c>
      <c r="C13341" t="str">
        <f t="shared" si="418"/>
        <v>Cumple</v>
      </c>
      <c r="D13341">
        <v>365</v>
      </c>
      <c r="E13341" t="s">
        <v>8</v>
      </c>
      <c r="F13341">
        <v>6</v>
      </c>
      <c r="G13341">
        <v>6</v>
      </c>
      <c r="H13341">
        <f t="shared" si="417"/>
        <v>0</v>
      </c>
    </row>
    <row r="13342" spans="1:8" x14ac:dyDescent="0.2">
      <c r="A13342" t="s">
        <v>7</v>
      </c>
      <c r="B13342" t="s">
        <v>33</v>
      </c>
      <c r="C13342" t="str">
        <f t="shared" si="418"/>
        <v>Cumple</v>
      </c>
      <c r="D13342">
        <v>529</v>
      </c>
      <c r="E13342" t="s">
        <v>8</v>
      </c>
      <c r="F13342">
        <v>8</v>
      </c>
      <c r="G13342">
        <v>6</v>
      </c>
      <c r="H13342">
        <f t="shared" si="417"/>
        <v>2</v>
      </c>
    </row>
    <row r="13343" spans="1:8" x14ac:dyDescent="0.2">
      <c r="A13343" t="s">
        <v>7</v>
      </c>
      <c r="B13343" t="s">
        <v>33</v>
      </c>
      <c r="C13343" t="str">
        <f t="shared" si="418"/>
        <v>Cumple</v>
      </c>
      <c r="D13343">
        <v>627</v>
      </c>
      <c r="E13343" t="s">
        <v>8</v>
      </c>
      <c r="F13343">
        <v>12</v>
      </c>
      <c r="G13343">
        <v>6</v>
      </c>
      <c r="H13343">
        <f t="shared" si="417"/>
        <v>6</v>
      </c>
    </row>
    <row r="13344" spans="1:8" x14ac:dyDescent="0.2">
      <c r="A13344" t="s">
        <v>7</v>
      </c>
      <c r="B13344" t="s">
        <v>33</v>
      </c>
      <c r="C13344" t="str">
        <f t="shared" si="418"/>
        <v>No cumple</v>
      </c>
      <c r="D13344">
        <v>692</v>
      </c>
      <c r="E13344" t="s">
        <v>8</v>
      </c>
      <c r="F13344">
        <v>5</v>
      </c>
      <c r="G13344">
        <v>6</v>
      </c>
      <c r="H13344">
        <f t="shared" si="417"/>
        <v>-1</v>
      </c>
    </row>
    <row r="13345" spans="1:8" x14ac:dyDescent="0.2">
      <c r="A13345" t="s">
        <v>7</v>
      </c>
      <c r="B13345" t="s">
        <v>33</v>
      </c>
      <c r="C13345" t="str">
        <f t="shared" si="418"/>
        <v>No cumple</v>
      </c>
      <c r="D13345">
        <v>1786</v>
      </c>
      <c r="E13345" t="s">
        <v>8</v>
      </c>
      <c r="F13345">
        <v>5</v>
      </c>
      <c r="G13345">
        <v>6</v>
      </c>
      <c r="H13345">
        <f t="shared" si="417"/>
        <v>-1</v>
      </c>
    </row>
    <row r="13346" spans="1:8" x14ac:dyDescent="0.2">
      <c r="A13346" t="s">
        <v>7</v>
      </c>
      <c r="B13346" t="s">
        <v>33</v>
      </c>
      <c r="C13346" t="str">
        <f t="shared" si="418"/>
        <v>Cumple</v>
      </c>
      <c r="D13346">
        <v>2104</v>
      </c>
      <c r="E13346" t="s">
        <v>8</v>
      </c>
      <c r="F13346">
        <v>6</v>
      </c>
      <c r="G13346">
        <v>6</v>
      </c>
      <c r="H13346">
        <f t="shared" si="417"/>
        <v>0</v>
      </c>
    </row>
    <row r="13347" spans="1:8" x14ac:dyDescent="0.2">
      <c r="A13347" t="s">
        <v>7</v>
      </c>
      <c r="B13347" t="s">
        <v>33</v>
      </c>
      <c r="C13347" t="str">
        <f t="shared" si="418"/>
        <v>Cumple</v>
      </c>
      <c r="D13347">
        <v>2278</v>
      </c>
      <c r="E13347" t="s">
        <v>8</v>
      </c>
      <c r="F13347">
        <v>12</v>
      </c>
      <c r="G13347">
        <v>6</v>
      </c>
      <c r="H13347">
        <f t="shared" si="417"/>
        <v>6</v>
      </c>
    </row>
    <row r="13348" spans="1:8" x14ac:dyDescent="0.2">
      <c r="A13348" t="s">
        <v>7</v>
      </c>
      <c r="B13348" t="s">
        <v>33</v>
      </c>
      <c r="C13348" t="str">
        <f t="shared" si="418"/>
        <v>Cumple</v>
      </c>
      <c r="D13348">
        <v>2322</v>
      </c>
      <c r="E13348" t="s">
        <v>8</v>
      </c>
      <c r="F13348">
        <v>7</v>
      </c>
      <c r="G13348">
        <v>6</v>
      </c>
      <c r="H13348">
        <f t="shared" si="417"/>
        <v>1</v>
      </c>
    </row>
    <row r="13349" spans="1:8" x14ac:dyDescent="0.2">
      <c r="A13349" t="s">
        <v>7</v>
      </c>
      <c r="B13349" t="s">
        <v>33</v>
      </c>
      <c r="C13349" t="str">
        <f t="shared" si="418"/>
        <v>No cumple</v>
      </c>
      <c r="D13349">
        <v>2395</v>
      </c>
      <c r="E13349" t="s">
        <v>8</v>
      </c>
      <c r="F13349">
        <v>4</v>
      </c>
      <c r="G13349">
        <v>6</v>
      </c>
      <c r="H13349">
        <f t="shared" si="417"/>
        <v>-2</v>
      </c>
    </row>
    <row r="13350" spans="1:8" x14ac:dyDescent="0.2">
      <c r="A13350" t="s">
        <v>7</v>
      </c>
      <c r="B13350" t="s">
        <v>33</v>
      </c>
      <c r="C13350" t="str">
        <f t="shared" si="418"/>
        <v>No cumple</v>
      </c>
      <c r="D13350">
        <v>2586</v>
      </c>
      <c r="E13350" t="s">
        <v>8</v>
      </c>
      <c r="F13350">
        <v>3</v>
      </c>
      <c r="G13350">
        <v>6</v>
      </c>
      <c r="H13350">
        <f t="shared" si="417"/>
        <v>-3</v>
      </c>
    </row>
    <row r="13351" spans="1:8" x14ac:dyDescent="0.2">
      <c r="A13351" t="s">
        <v>7</v>
      </c>
      <c r="B13351" t="s">
        <v>33</v>
      </c>
      <c r="C13351" t="str">
        <f t="shared" si="418"/>
        <v>Cumple</v>
      </c>
      <c r="D13351">
        <v>2720</v>
      </c>
      <c r="E13351" t="s">
        <v>8</v>
      </c>
      <c r="F13351">
        <v>6</v>
      </c>
      <c r="G13351">
        <v>6</v>
      </c>
      <c r="H13351">
        <f t="shared" si="417"/>
        <v>0</v>
      </c>
    </row>
    <row r="13352" spans="1:8" x14ac:dyDescent="0.2">
      <c r="A13352" t="s">
        <v>7</v>
      </c>
      <c r="B13352" t="s">
        <v>33</v>
      </c>
      <c r="C13352" t="str">
        <f t="shared" si="418"/>
        <v>No cumple</v>
      </c>
      <c r="D13352">
        <v>2815</v>
      </c>
      <c r="E13352" t="s">
        <v>8</v>
      </c>
      <c r="F13352">
        <v>3</v>
      </c>
      <c r="G13352">
        <v>6</v>
      </c>
      <c r="H13352">
        <f t="shared" si="417"/>
        <v>-3</v>
      </c>
    </row>
    <row r="13353" spans="1:8" x14ac:dyDescent="0.2">
      <c r="A13353" t="s">
        <v>7</v>
      </c>
      <c r="B13353" t="s">
        <v>33</v>
      </c>
      <c r="C13353" t="str">
        <f t="shared" si="418"/>
        <v>Cumple</v>
      </c>
      <c r="D13353">
        <v>2836</v>
      </c>
      <c r="E13353" t="s">
        <v>8</v>
      </c>
      <c r="F13353">
        <v>23</v>
      </c>
      <c r="G13353">
        <v>6</v>
      </c>
      <c r="H13353">
        <f t="shared" si="417"/>
        <v>17</v>
      </c>
    </row>
    <row r="13354" spans="1:8" x14ac:dyDescent="0.2">
      <c r="A13354" t="s">
        <v>7</v>
      </c>
      <c r="B13354" t="s">
        <v>33</v>
      </c>
      <c r="C13354" t="str">
        <f t="shared" si="418"/>
        <v>Cumple</v>
      </c>
      <c r="D13354">
        <v>3349</v>
      </c>
      <c r="E13354" t="s">
        <v>8</v>
      </c>
      <c r="F13354">
        <v>9</v>
      </c>
      <c r="G13354">
        <v>6</v>
      </c>
      <c r="H13354">
        <f t="shared" si="417"/>
        <v>3</v>
      </c>
    </row>
    <row r="13355" spans="1:8" x14ac:dyDescent="0.2">
      <c r="A13355" t="s">
        <v>7</v>
      </c>
      <c r="B13355" t="s">
        <v>33</v>
      </c>
      <c r="C13355" t="str">
        <f t="shared" si="418"/>
        <v>No cumple</v>
      </c>
      <c r="D13355">
        <v>3373</v>
      </c>
      <c r="E13355" t="s">
        <v>8</v>
      </c>
      <c r="F13355">
        <v>5</v>
      </c>
      <c r="G13355">
        <v>6</v>
      </c>
      <c r="H13355">
        <f t="shared" si="417"/>
        <v>-1</v>
      </c>
    </row>
    <row r="13356" spans="1:8" x14ac:dyDescent="0.2">
      <c r="A13356" t="s">
        <v>7</v>
      </c>
      <c r="B13356" t="s">
        <v>33</v>
      </c>
      <c r="C13356" t="str">
        <f t="shared" si="418"/>
        <v>Cumple</v>
      </c>
      <c r="D13356">
        <v>3900</v>
      </c>
      <c r="E13356" t="s">
        <v>8</v>
      </c>
      <c r="F13356">
        <v>6</v>
      </c>
      <c r="G13356">
        <v>6</v>
      </c>
      <c r="H13356">
        <f t="shared" si="417"/>
        <v>0</v>
      </c>
    </row>
    <row r="13357" spans="1:8" x14ac:dyDescent="0.2">
      <c r="A13357" t="s">
        <v>7</v>
      </c>
      <c r="B13357" t="s">
        <v>33</v>
      </c>
      <c r="C13357" t="str">
        <f t="shared" si="418"/>
        <v>Cumple</v>
      </c>
      <c r="D13357">
        <v>9159</v>
      </c>
      <c r="E13357" t="s">
        <v>8</v>
      </c>
      <c r="F13357">
        <v>6</v>
      </c>
      <c r="G13357">
        <v>6</v>
      </c>
      <c r="H13357">
        <f t="shared" si="417"/>
        <v>0</v>
      </c>
    </row>
    <row r="13358" spans="1:8" x14ac:dyDescent="0.2">
      <c r="A13358" t="s">
        <v>7</v>
      </c>
      <c r="B13358" t="s">
        <v>33</v>
      </c>
      <c r="C13358" t="str">
        <f t="shared" si="418"/>
        <v>Cumple</v>
      </c>
      <c r="D13358">
        <v>9190</v>
      </c>
      <c r="E13358" t="s">
        <v>8</v>
      </c>
      <c r="F13358">
        <v>7</v>
      </c>
      <c r="G13358">
        <v>6</v>
      </c>
      <c r="H13358">
        <f t="shared" si="417"/>
        <v>1</v>
      </c>
    </row>
    <row r="13359" spans="1:8" x14ac:dyDescent="0.2">
      <c r="A13359" t="s">
        <v>7</v>
      </c>
      <c r="B13359" t="s">
        <v>33</v>
      </c>
      <c r="C13359" t="str">
        <f t="shared" si="418"/>
        <v>Cumple</v>
      </c>
      <c r="D13359">
        <v>9224</v>
      </c>
      <c r="E13359" t="s">
        <v>8</v>
      </c>
      <c r="F13359">
        <v>10</v>
      </c>
      <c r="G13359">
        <v>6</v>
      </c>
      <c r="H13359">
        <f t="shared" si="417"/>
        <v>4</v>
      </c>
    </row>
    <row r="13360" spans="1:8" x14ac:dyDescent="0.2">
      <c r="A13360" t="s">
        <v>7</v>
      </c>
      <c r="B13360" t="s">
        <v>33</v>
      </c>
      <c r="C13360" t="str">
        <f t="shared" si="418"/>
        <v>Cumple</v>
      </c>
      <c r="D13360">
        <v>3980</v>
      </c>
      <c r="E13360" t="s">
        <v>8</v>
      </c>
      <c r="F13360">
        <v>11</v>
      </c>
      <c r="G13360">
        <v>6</v>
      </c>
      <c r="H13360">
        <f t="shared" si="417"/>
        <v>5</v>
      </c>
    </row>
    <row r="13361" spans="1:8" x14ac:dyDescent="0.2">
      <c r="A13361" t="s">
        <v>7</v>
      </c>
      <c r="B13361" t="s">
        <v>33</v>
      </c>
      <c r="C13361" t="str">
        <f t="shared" si="418"/>
        <v>No cumple</v>
      </c>
      <c r="D13361">
        <v>2776</v>
      </c>
      <c r="E13361" t="s">
        <v>8</v>
      </c>
      <c r="F13361">
        <v>3</v>
      </c>
      <c r="G13361">
        <v>6</v>
      </c>
      <c r="H13361">
        <f t="shared" si="417"/>
        <v>-3</v>
      </c>
    </row>
    <row r="13362" spans="1:8" x14ac:dyDescent="0.2">
      <c r="A13362" t="s">
        <v>7</v>
      </c>
      <c r="B13362" t="s">
        <v>33</v>
      </c>
      <c r="C13362" t="str">
        <f t="shared" si="418"/>
        <v>No cumple</v>
      </c>
      <c r="D13362">
        <v>4047</v>
      </c>
      <c r="E13362" t="s">
        <v>8</v>
      </c>
      <c r="F13362">
        <v>4</v>
      </c>
      <c r="G13362">
        <v>6</v>
      </c>
      <c r="H13362">
        <f t="shared" si="417"/>
        <v>-2</v>
      </c>
    </row>
    <row r="13363" spans="1:8" x14ac:dyDescent="0.2">
      <c r="A13363" t="s">
        <v>7</v>
      </c>
      <c r="B13363" t="s">
        <v>33</v>
      </c>
      <c r="C13363" t="str">
        <f t="shared" si="418"/>
        <v>Cumple</v>
      </c>
      <c r="D13363">
        <v>4061</v>
      </c>
      <c r="E13363" t="s">
        <v>8</v>
      </c>
      <c r="F13363">
        <v>7</v>
      </c>
      <c r="G13363">
        <v>6</v>
      </c>
      <c r="H13363">
        <f t="shared" si="417"/>
        <v>1</v>
      </c>
    </row>
    <row r="13364" spans="1:8" x14ac:dyDescent="0.2">
      <c r="A13364" t="s">
        <v>7</v>
      </c>
      <c r="B13364" t="s">
        <v>33</v>
      </c>
      <c r="C13364" t="str">
        <f t="shared" si="418"/>
        <v>No cumple</v>
      </c>
      <c r="D13364">
        <v>301</v>
      </c>
      <c r="E13364" t="s">
        <v>8</v>
      </c>
      <c r="F13364">
        <v>5</v>
      </c>
      <c r="G13364">
        <v>6</v>
      </c>
      <c r="H13364">
        <f t="shared" si="417"/>
        <v>-1</v>
      </c>
    </row>
    <row r="13365" spans="1:8" x14ac:dyDescent="0.2">
      <c r="A13365" t="s">
        <v>7</v>
      </c>
      <c r="B13365" t="s">
        <v>33</v>
      </c>
      <c r="C13365" t="str">
        <f t="shared" si="418"/>
        <v>No cumple</v>
      </c>
      <c r="D13365">
        <v>658</v>
      </c>
      <c r="E13365" t="s">
        <v>8</v>
      </c>
      <c r="F13365">
        <v>4</v>
      </c>
      <c r="G13365">
        <v>6</v>
      </c>
      <c r="H13365">
        <f t="shared" si="417"/>
        <v>-2</v>
      </c>
    </row>
    <row r="13366" spans="1:8" x14ac:dyDescent="0.2">
      <c r="A13366" t="s">
        <v>7</v>
      </c>
      <c r="B13366" t="s">
        <v>33</v>
      </c>
      <c r="C13366" t="str">
        <f t="shared" si="418"/>
        <v>No cumple</v>
      </c>
      <c r="D13366">
        <v>675</v>
      </c>
      <c r="E13366" t="s">
        <v>8</v>
      </c>
      <c r="F13366">
        <v>2</v>
      </c>
      <c r="G13366">
        <v>6</v>
      </c>
      <c r="H13366">
        <f t="shared" si="417"/>
        <v>-4</v>
      </c>
    </row>
    <row r="13367" spans="1:8" x14ac:dyDescent="0.2">
      <c r="A13367" t="s">
        <v>7</v>
      </c>
      <c r="B13367" t="s">
        <v>33</v>
      </c>
      <c r="C13367" t="str">
        <f t="shared" si="418"/>
        <v>Cumple</v>
      </c>
      <c r="D13367">
        <v>1424</v>
      </c>
      <c r="E13367" t="s">
        <v>8</v>
      </c>
      <c r="F13367">
        <v>8</v>
      </c>
      <c r="G13367">
        <v>6</v>
      </c>
      <c r="H13367">
        <f t="shared" si="417"/>
        <v>2</v>
      </c>
    </row>
    <row r="13368" spans="1:8" x14ac:dyDescent="0.2">
      <c r="A13368" t="s">
        <v>7</v>
      </c>
      <c r="B13368" t="s">
        <v>33</v>
      </c>
      <c r="C13368" t="str">
        <f t="shared" si="418"/>
        <v>No cumple</v>
      </c>
      <c r="D13368">
        <v>1713</v>
      </c>
      <c r="E13368" t="s">
        <v>8</v>
      </c>
      <c r="F13368">
        <v>4</v>
      </c>
      <c r="G13368">
        <v>6</v>
      </c>
      <c r="H13368">
        <f t="shared" si="417"/>
        <v>-2</v>
      </c>
    </row>
    <row r="13369" spans="1:8" x14ac:dyDescent="0.2">
      <c r="A13369" t="s">
        <v>7</v>
      </c>
      <c r="B13369" t="s">
        <v>33</v>
      </c>
      <c r="C13369" t="str">
        <f t="shared" si="418"/>
        <v>Cumple</v>
      </c>
      <c r="D13369">
        <v>1785</v>
      </c>
      <c r="E13369" t="s">
        <v>8</v>
      </c>
      <c r="F13369">
        <v>7</v>
      </c>
      <c r="G13369">
        <v>6</v>
      </c>
      <c r="H13369">
        <f t="shared" si="417"/>
        <v>1</v>
      </c>
    </row>
    <row r="13370" spans="1:8" x14ac:dyDescent="0.2">
      <c r="A13370" t="s">
        <v>7</v>
      </c>
      <c r="B13370" t="s">
        <v>33</v>
      </c>
      <c r="C13370" t="str">
        <f t="shared" si="418"/>
        <v>No cumple</v>
      </c>
      <c r="D13370">
        <v>1826</v>
      </c>
      <c r="E13370" t="s">
        <v>8</v>
      </c>
      <c r="F13370">
        <v>3</v>
      </c>
      <c r="G13370">
        <v>6</v>
      </c>
      <c r="H13370">
        <f t="shared" si="417"/>
        <v>-3</v>
      </c>
    </row>
    <row r="13371" spans="1:8" x14ac:dyDescent="0.2">
      <c r="A13371" t="s">
        <v>7</v>
      </c>
      <c r="B13371" t="s">
        <v>33</v>
      </c>
      <c r="C13371" t="str">
        <f t="shared" si="418"/>
        <v>No cumple</v>
      </c>
      <c r="D13371">
        <v>2135</v>
      </c>
      <c r="E13371" t="s">
        <v>8</v>
      </c>
      <c r="F13371">
        <v>3</v>
      </c>
      <c r="G13371">
        <v>6</v>
      </c>
      <c r="H13371">
        <f t="shared" si="417"/>
        <v>-3</v>
      </c>
    </row>
    <row r="13372" spans="1:8" x14ac:dyDescent="0.2">
      <c r="A13372" t="s">
        <v>7</v>
      </c>
      <c r="B13372" t="s">
        <v>33</v>
      </c>
      <c r="C13372" t="str">
        <f t="shared" si="418"/>
        <v>No cumple</v>
      </c>
      <c r="D13372">
        <v>2235</v>
      </c>
      <c r="E13372" t="s">
        <v>8</v>
      </c>
      <c r="F13372">
        <v>4</v>
      </c>
      <c r="G13372">
        <v>6</v>
      </c>
      <c r="H13372">
        <f t="shared" si="417"/>
        <v>-2</v>
      </c>
    </row>
    <row r="13373" spans="1:8" x14ac:dyDescent="0.2">
      <c r="A13373" t="s">
        <v>7</v>
      </c>
      <c r="B13373" t="s">
        <v>33</v>
      </c>
      <c r="C13373" t="str">
        <f t="shared" si="418"/>
        <v>No cumple</v>
      </c>
      <c r="D13373">
        <v>2239</v>
      </c>
      <c r="E13373" t="s">
        <v>8</v>
      </c>
      <c r="F13373">
        <v>3</v>
      </c>
      <c r="G13373">
        <v>6</v>
      </c>
      <c r="H13373">
        <f t="shared" si="417"/>
        <v>-3</v>
      </c>
    </row>
    <row r="13374" spans="1:8" x14ac:dyDescent="0.2">
      <c r="A13374" t="s">
        <v>7</v>
      </c>
      <c r="B13374" t="s">
        <v>33</v>
      </c>
      <c r="C13374" t="str">
        <f t="shared" si="418"/>
        <v>Cumple</v>
      </c>
      <c r="D13374">
        <v>2631</v>
      </c>
      <c r="E13374" t="s">
        <v>8</v>
      </c>
      <c r="F13374">
        <v>11</v>
      </c>
      <c r="G13374">
        <v>6</v>
      </c>
      <c r="H13374">
        <f t="shared" si="417"/>
        <v>5</v>
      </c>
    </row>
    <row r="13375" spans="1:8" x14ac:dyDescent="0.2">
      <c r="A13375" t="s">
        <v>7</v>
      </c>
      <c r="B13375" t="s">
        <v>33</v>
      </c>
      <c r="C13375" t="str">
        <f t="shared" si="418"/>
        <v>Cumple</v>
      </c>
      <c r="D13375">
        <v>2763</v>
      </c>
      <c r="E13375" t="s">
        <v>8</v>
      </c>
      <c r="F13375">
        <v>13</v>
      </c>
      <c r="G13375">
        <v>6</v>
      </c>
      <c r="H13375">
        <f t="shared" si="417"/>
        <v>7</v>
      </c>
    </row>
    <row r="13376" spans="1:8" x14ac:dyDescent="0.2">
      <c r="A13376" t="s">
        <v>7</v>
      </c>
      <c r="B13376" t="s">
        <v>33</v>
      </c>
      <c r="C13376" t="str">
        <f t="shared" si="418"/>
        <v>No cumple</v>
      </c>
      <c r="D13376">
        <v>3700</v>
      </c>
      <c r="E13376" t="s">
        <v>8</v>
      </c>
      <c r="F13376">
        <v>4</v>
      </c>
      <c r="G13376">
        <v>6</v>
      </c>
      <c r="H13376">
        <f t="shared" si="417"/>
        <v>-2</v>
      </c>
    </row>
    <row r="13377" spans="1:8" x14ac:dyDescent="0.2">
      <c r="A13377" t="s">
        <v>7</v>
      </c>
      <c r="B13377" t="s">
        <v>33</v>
      </c>
      <c r="C13377" t="str">
        <f t="shared" si="418"/>
        <v>Cumple</v>
      </c>
      <c r="D13377">
        <v>3904</v>
      </c>
      <c r="E13377" t="s">
        <v>8</v>
      </c>
      <c r="F13377">
        <v>7</v>
      </c>
      <c r="G13377">
        <v>6</v>
      </c>
      <c r="H13377">
        <f t="shared" si="417"/>
        <v>1</v>
      </c>
    </row>
    <row r="13378" spans="1:8" x14ac:dyDescent="0.2">
      <c r="A13378" t="s">
        <v>7</v>
      </c>
      <c r="B13378" t="s">
        <v>33</v>
      </c>
      <c r="C13378" t="str">
        <f t="shared" si="418"/>
        <v>No cumple</v>
      </c>
      <c r="D13378">
        <v>7602</v>
      </c>
      <c r="E13378" t="s">
        <v>8</v>
      </c>
      <c r="F13378">
        <v>2</v>
      </c>
      <c r="G13378">
        <v>6</v>
      </c>
      <c r="H13378">
        <f t="shared" si="417"/>
        <v>-4</v>
      </c>
    </row>
    <row r="13379" spans="1:8" x14ac:dyDescent="0.2">
      <c r="A13379" t="s">
        <v>7</v>
      </c>
      <c r="B13379" t="s">
        <v>33</v>
      </c>
      <c r="C13379" t="str">
        <f t="shared" si="418"/>
        <v>No cumple</v>
      </c>
      <c r="D13379">
        <v>9022</v>
      </c>
      <c r="E13379" t="s">
        <v>8</v>
      </c>
      <c r="F13379">
        <v>5</v>
      </c>
      <c r="G13379">
        <v>6</v>
      </c>
      <c r="H13379">
        <f t="shared" ref="H13379:H13442" si="419">F13379-G13379</f>
        <v>-1</v>
      </c>
    </row>
    <row r="13380" spans="1:8" x14ac:dyDescent="0.2">
      <c r="A13380" t="s">
        <v>7</v>
      </c>
      <c r="B13380" t="s">
        <v>33</v>
      </c>
      <c r="C13380" t="str">
        <f t="shared" si="418"/>
        <v>No cumple</v>
      </c>
      <c r="D13380">
        <v>9074</v>
      </c>
      <c r="E13380" t="s">
        <v>8</v>
      </c>
      <c r="F13380">
        <v>4</v>
      </c>
      <c r="G13380">
        <v>6</v>
      </c>
      <c r="H13380">
        <f t="shared" si="419"/>
        <v>-2</v>
      </c>
    </row>
    <row r="13381" spans="1:8" x14ac:dyDescent="0.2">
      <c r="A13381" t="s">
        <v>7</v>
      </c>
      <c r="B13381" t="s">
        <v>33</v>
      </c>
      <c r="C13381" t="str">
        <f t="shared" ref="C13381:C13444" si="420">IF(H13381&gt;=0,"Cumple","No cumple")</f>
        <v>No cumple</v>
      </c>
      <c r="D13381">
        <v>9082</v>
      </c>
      <c r="E13381" t="s">
        <v>8</v>
      </c>
      <c r="F13381">
        <v>2</v>
      </c>
      <c r="G13381">
        <v>6</v>
      </c>
      <c r="H13381">
        <f t="shared" si="419"/>
        <v>-4</v>
      </c>
    </row>
    <row r="13382" spans="1:8" x14ac:dyDescent="0.2">
      <c r="A13382" t="s">
        <v>7</v>
      </c>
      <c r="B13382" t="s">
        <v>33</v>
      </c>
      <c r="C13382" t="str">
        <f t="shared" si="420"/>
        <v>No cumple</v>
      </c>
      <c r="D13382">
        <v>9119</v>
      </c>
      <c r="E13382" t="s">
        <v>8</v>
      </c>
      <c r="F13382">
        <v>5</v>
      </c>
      <c r="G13382">
        <v>6</v>
      </c>
      <c r="H13382">
        <f t="shared" si="419"/>
        <v>-1</v>
      </c>
    </row>
    <row r="13383" spans="1:8" x14ac:dyDescent="0.2">
      <c r="A13383" t="s">
        <v>7</v>
      </c>
      <c r="B13383" t="s">
        <v>33</v>
      </c>
      <c r="C13383" t="str">
        <f t="shared" si="420"/>
        <v>No cumple</v>
      </c>
      <c r="D13383">
        <v>9320</v>
      </c>
      <c r="E13383" t="s">
        <v>8</v>
      </c>
      <c r="F13383">
        <v>3</v>
      </c>
      <c r="G13383">
        <v>6</v>
      </c>
      <c r="H13383">
        <f t="shared" si="419"/>
        <v>-3</v>
      </c>
    </row>
    <row r="13384" spans="1:8" x14ac:dyDescent="0.2">
      <c r="A13384" t="s">
        <v>7</v>
      </c>
      <c r="B13384" t="s">
        <v>33</v>
      </c>
      <c r="C13384" t="str">
        <f t="shared" si="420"/>
        <v>No cumple</v>
      </c>
      <c r="D13384">
        <v>9484</v>
      </c>
      <c r="E13384" t="s">
        <v>8</v>
      </c>
      <c r="F13384">
        <v>5</v>
      </c>
      <c r="G13384">
        <v>6</v>
      </c>
      <c r="H13384">
        <f t="shared" si="419"/>
        <v>-1</v>
      </c>
    </row>
    <row r="13385" spans="1:8" x14ac:dyDescent="0.2">
      <c r="A13385" t="s">
        <v>7</v>
      </c>
      <c r="B13385" t="s">
        <v>33</v>
      </c>
      <c r="C13385" t="str">
        <f t="shared" si="420"/>
        <v>No cumple</v>
      </c>
      <c r="D13385">
        <v>9669</v>
      </c>
      <c r="E13385" t="s">
        <v>8</v>
      </c>
      <c r="F13385">
        <v>5</v>
      </c>
      <c r="G13385">
        <v>6</v>
      </c>
      <c r="H13385">
        <f t="shared" si="419"/>
        <v>-1</v>
      </c>
    </row>
    <row r="13386" spans="1:8" x14ac:dyDescent="0.2">
      <c r="A13386" t="s">
        <v>7</v>
      </c>
      <c r="B13386" t="s">
        <v>33</v>
      </c>
      <c r="C13386" t="str">
        <f t="shared" si="420"/>
        <v>No cumple</v>
      </c>
      <c r="D13386">
        <v>9726</v>
      </c>
      <c r="E13386" t="s">
        <v>8</v>
      </c>
      <c r="F13386">
        <v>2</v>
      </c>
      <c r="G13386">
        <v>6</v>
      </c>
      <c r="H13386">
        <f t="shared" si="419"/>
        <v>-4</v>
      </c>
    </row>
    <row r="13387" spans="1:8" x14ac:dyDescent="0.2">
      <c r="A13387" t="s">
        <v>7</v>
      </c>
      <c r="B13387" t="s">
        <v>33</v>
      </c>
      <c r="C13387" t="str">
        <f t="shared" si="420"/>
        <v>Cumple</v>
      </c>
      <c r="D13387">
        <v>9964</v>
      </c>
      <c r="E13387" t="s">
        <v>8</v>
      </c>
      <c r="F13387">
        <v>9</v>
      </c>
      <c r="G13387">
        <v>6</v>
      </c>
      <c r="H13387">
        <f t="shared" si="419"/>
        <v>3</v>
      </c>
    </row>
    <row r="13388" spans="1:8" x14ac:dyDescent="0.2">
      <c r="A13388" t="s">
        <v>7</v>
      </c>
      <c r="B13388" t="s">
        <v>33</v>
      </c>
      <c r="C13388" t="str">
        <f t="shared" si="420"/>
        <v>No cumple</v>
      </c>
      <c r="D13388">
        <v>3989</v>
      </c>
      <c r="E13388" t="s">
        <v>8</v>
      </c>
      <c r="F13388">
        <v>5</v>
      </c>
      <c r="G13388">
        <v>6</v>
      </c>
      <c r="H13388">
        <f t="shared" si="419"/>
        <v>-1</v>
      </c>
    </row>
    <row r="13389" spans="1:8" x14ac:dyDescent="0.2">
      <c r="A13389" t="s">
        <v>7</v>
      </c>
      <c r="B13389" t="s">
        <v>33</v>
      </c>
      <c r="C13389" t="str">
        <f t="shared" si="420"/>
        <v>No cumple</v>
      </c>
      <c r="D13389">
        <v>9880</v>
      </c>
      <c r="E13389" t="s">
        <v>8</v>
      </c>
      <c r="F13389">
        <v>2</v>
      </c>
      <c r="G13389">
        <v>6</v>
      </c>
      <c r="H13389">
        <f t="shared" si="419"/>
        <v>-4</v>
      </c>
    </row>
    <row r="13390" spans="1:8" x14ac:dyDescent="0.2">
      <c r="A13390" t="s">
        <v>7</v>
      </c>
      <c r="B13390" t="s">
        <v>33</v>
      </c>
      <c r="C13390" t="str">
        <f t="shared" si="420"/>
        <v>Cumple</v>
      </c>
      <c r="D13390">
        <v>2905</v>
      </c>
      <c r="E13390" t="s">
        <v>8</v>
      </c>
      <c r="F13390">
        <v>6</v>
      </c>
      <c r="G13390">
        <v>6</v>
      </c>
      <c r="H13390">
        <f t="shared" si="419"/>
        <v>0</v>
      </c>
    </row>
    <row r="13391" spans="1:8" x14ac:dyDescent="0.2">
      <c r="A13391" t="s">
        <v>7</v>
      </c>
      <c r="B13391" t="s">
        <v>33</v>
      </c>
      <c r="C13391" t="str">
        <f t="shared" si="420"/>
        <v>No cumple</v>
      </c>
      <c r="D13391">
        <v>349</v>
      </c>
      <c r="E13391" t="s">
        <v>8</v>
      </c>
      <c r="F13391">
        <v>5</v>
      </c>
      <c r="G13391">
        <v>6</v>
      </c>
      <c r="H13391">
        <f t="shared" si="419"/>
        <v>-1</v>
      </c>
    </row>
    <row r="13392" spans="1:8" x14ac:dyDescent="0.2">
      <c r="A13392" t="s">
        <v>7</v>
      </c>
      <c r="B13392" t="s">
        <v>33</v>
      </c>
      <c r="C13392" t="str">
        <f t="shared" si="420"/>
        <v>No cumple</v>
      </c>
      <c r="D13392">
        <v>4053</v>
      </c>
      <c r="E13392" t="s">
        <v>8</v>
      </c>
      <c r="F13392">
        <v>4</v>
      </c>
      <c r="G13392">
        <v>6</v>
      </c>
      <c r="H13392">
        <f t="shared" si="419"/>
        <v>-2</v>
      </c>
    </row>
    <row r="13393" spans="1:8" x14ac:dyDescent="0.2">
      <c r="A13393" t="s">
        <v>7</v>
      </c>
      <c r="B13393" t="s">
        <v>33</v>
      </c>
      <c r="C13393" t="str">
        <f t="shared" si="420"/>
        <v>No cumple</v>
      </c>
      <c r="D13393">
        <v>307</v>
      </c>
      <c r="E13393" t="s">
        <v>8</v>
      </c>
      <c r="F13393">
        <v>3</v>
      </c>
      <c r="G13393">
        <v>6</v>
      </c>
      <c r="H13393">
        <f t="shared" si="419"/>
        <v>-3</v>
      </c>
    </row>
    <row r="13394" spans="1:8" x14ac:dyDescent="0.2">
      <c r="A13394" t="s">
        <v>7</v>
      </c>
      <c r="B13394" t="s">
        <v>33</v>
      </c>
      <c r="C13394" t="str">
        <f t="shared" si="420"/>
        <v>No cumple</v>
      </c>
      <c r="D13394">
        <v>361</v>
      </c>
      <c r="E13394" t="s">
        <v>8</v>
      </c>
      <c r="F13394">
        <v>4</v>
      </c>
      <c r="G13394">
        <v>6</v>
      </c>
      <c r="H13394">
        <f t="shared" si="419"/>
        <v>-2</v>
      </c>
    </row>
    <row r="13395" spans="1:8" x14ac:dyDescent="0.2">
      <c r="A13395" t="s">
        <v>7</v>
      </c>
      <c r="B13395" t="s">
        <v>33</v>
      </c>
      <c r="C13395" t="str">
        <f t="shared" si="420"/>
        <v>No cumple</v>
      </c>
      <c r="D13395">
        <v>523</v>
      </c>
      <c r="E13395" t="s">
        <v>8</v>
      </c>
      <c r="F13395">
        <v>1</v>
      </c>
      <c r="G13395">
        <v>6</v>
      </c>
      <c r="H13395">
        <f t="shared" si="419"/>
        <v>-5</v>
      </c>
    </row>
    <row r="13396" spans="1:8" x14ac:dyDescent="0.2">
      <c r="A13396" t="s">
        <v>7</v>
      </c>
      <c r="B13396" t="s">
        <v>33</v>
      </c>
      <c r="C13396" t="str">
        <f t="shared" si="420"/>
        <v>No cumple</v>
      </c>
      <c r="D13396">
        <v>684</v>
      </c>
      <c r="E13396" t="s">
        <v>8</v>
      </c>
      <c r="F13396">
        <v>4</v>
      </c>
      <c r="G13396">
        <v>6</v>
      </c>
      <c r="H13396">
        <f t="shared" si="419"/>
        <v>-2</v>
      </c>
    </row>
    <row r="13397" spans="1:8" x14ac:dyDescent="0.2">
      <c r="A13397" t="s">
        <v>7</v>
      </c>
      <c r="B13397" t="s">
        <v>33</v>
      </c>
      <c r="C13397" t="str">
        <f t="shared" si="420"/>
        <v>No cumple</v>
      </c>
      <c r="D13397">
        <v>748</v>
      </c>
      <c r="E13397" t="s">
        <v>8</v>
      </c>
      <c r="F13397">
        <v>1</v>
      </c>
      <c r="G13397">
        <v>6</v>
      </c>
      <c r="H13397">
        <f t="shared" si="419"/>
        <v>-5</v>
      </c>
    </row>
    <row r="13398" spans="1:8" x14ac:dyDescent="0.2">
      <c r="A13398" t="s">
        <v>7</v>
      </c>
      <c r="B13398" t="s">
        <v>33</v>
      </c>
      <c r="C13398" t="str">
        <f t="shared" si="420"/>
        <v>No cumple</v>
      </c>
      <c r="D13398">
        <v>953</v>
      </c>
      <c r="E13398" t="s">
        <v>8</v>
      </c>
      <c r="F13398">
        <v>1</v>
      </c>
      <c r="G13398">
        <v>6</v>
      </c>
      <c r="H13398">
        <f t="shared" si="419"/>
        <v>-5</v>
      </c>
    </row>
    <row r="13399" spans="1:8" x14ac:dyDescent="0.2">
      <c r="A13399" t="s">
        <v>7</v>
      </c>
      <c r="B13399" t="s">
        <v>33</v>
      </c>
      <c r="C13399" t="str">
        <f t="shared" si="420"/>
        <v>No cumple</v>
      </c>
      <c r="D13399">
        <v>1718</v>
      </c>
      <c r="E13399" t="s">
        <v>8</v>
      </c>
      <c r="F13399">
        <v>2</v>
      </c>
      <c r="G13399">
        <v>6</v>
      </c>
      <c r="H13399">
        <f t="shared" si="419"/>
        <v>-4</v>
      </c>
    </row>
    <row r="13400" spans="1:8" x14ac:dyDescent="0.2">
      <c r="A13400" t="s">
        <v>7</v>
      </c>
      <c r="B13400" t="s">
        <v>33</v>
      </c>
      <c r="C13400" t="str">
        <f t="shared" si="420"/>
        <v>No cumple</v>
      </c>
      <c r="D13400">
        <v>2006</v>
      </c>
      <c r="E13400" t="s">
        <v>8</v>
      </c>
      <c r="F13400">
        <v>1</v>
      </c>
      <c r="G13400">
        <v>6</v>
      </c>
      <c r="H13400">
        <f t="shared" si="419"/>
        <v>-5</v>
      </c>
    </row>
    <row r="13401" spans="1:8" x14ac:dyDescent="0.2">
      <c r="A13401" t="s">
        <v>7</v>
      </c>
      <c r="B13401" t="s">
        <v>33</v>
      </c>
      <c r="C13401" t="str">
        <f t="shared" si="420"/>
        <v>No cumple</v>
      </c>
      <c r="D13401">
        <v>2030</v>
      </c>
      <c r="E13401" t="s">
        <v>8</v>
      </c>
      <c r="F13401">
        <v>4</v>
      </c>
      <c r="G13401">
        <v>6</v>
      </c>
      <c r="H13401">
        <f t="shared" si="419"/>
        <v>-2</v>
      </c>
    </row>
    <row r="13402" spans="1:8" x14ac:dyDescent="0.2">
      <c r="A13402" t="s">
        <v>7</v>
      </c>
      <c r="B13402" t="s">
        <v>33</v>
      </c>
      <c r="C13402" t="str">
        <f t="shared" si="420"/>
        <v>No cumple</v>
      </c>
      <c r="D13402">
        <v>2098</v>
      </c>
      <c r="E13402" t="s">
        <v>8</v>
      </c>
      <c r="F13402">
        <v>1</v>
      </c>
      <c r="G13402">
        <v>6</v>
      </c>
      <c r="H13402">
        <f t="shared" si="419"/>
        <v>-5</v>
      </c>
    </row>
    <row r="13403" spans="1:8" x14ac:dyDescent="0.2">
      <c r="A13403" t="s">
        <v>7</v>
      </c>
      <c r="B13403" t="s">
        <v>33</v>
      </c>
      <c r="C13403" t="str">
        <f t="shared" si="420"/>
        <v>No cumple</v>
      </c>
      <c r="D13403">
        <v>2227</v>
      </c>
      <c r="E13403" t="s">
        <v>8</v>
      </c>
      <c r="F13403">
        <v>1</v>
      </c>
      <c r="G13403">
        <v>6</v>
      </c>
      <c r="H13403">
        <f t="shared" si="419"/>
        <v>-5</v>
      </c>
    </row>
    <row r="13404" spans="1:8" x14ac:dyDescent="0.2">
      <c r="A13404" t="s">
        <v>7</v>
      </c>
      <c r="B13404" t="s">
        <v>33</v>
      </c>
      <c r="C13404" t="str">
        <f t="shared" si="420"/>
        <v>No cumple</v>
      </c>
      <c r="D13404">
        <v>2246</v>
      </c>
      <c r="E13404" t="s">
        <v>8</v>
      </c>
      <c r="F13404">
        <v>3</v>
      </c>
      <c r="G13404">
        <v>6</v>
      </c>
      <c r="H13404">
        <f t="shared" si="419"/>
        <v>-3</v>
      </c>
    </row>
    <row r="13405" spans="1:8" x14ac:dyDescent="0.2">
      <c r="A13405" t="s">
        <v>7</v>
      </c>
      <c r="B13405" t="s">
        <v>33</v>
      </c>
      <c r="C13405" t="str">
        <f t="shared" si="420"/>
        <v>No cumple</v>
      </c>
      <c r="D13405">
        <v>2581</v>
      </c>
      <c r="E13405" t="s">
        <v>8</v>
      </c>
      <c r="F13405">
        <v>5</v>
      </c>
      <c r="G13405">
        <v>6</v>
      </c>
      <c r="H13405">
        <f t="shared" si="419"/>
        <v>-1</v>
      </c>
    </row>
    <row r="13406" spans="1:8" x14ac:dyDescent="0.2">
      <c r="A13406" t="s">
        <v>7</v>
      </c>
      <c r="B13406" t="s">
        <v>33</v>
      </c>
      <c r="C13406" t="str">
        <f t="shared" si="420"/>
        <v>No cumple</v>
      </c>
      <c r="D13406">
        <v>2649</v>
      </c>
      <c r="E13406" t="s">
        <v>8</v>
      </c>
      <c r="F13406">
        <v>1</v>
      </c>
      <c r="G13406">
        <v>6</v>
      </c>
      <c r="H13406">
        <f t="shared" si="419"/>
        <v>-5</v>
      </c>
    </row>
    <row r="13407" spans="1:8" x14ac:dyDescent="0.2">
      <c r="A13407" t="s">
        <v>7</v>
      </c>
      <c r="B13407" t="s">
        <v>33</v>
      </c>
      <c r="C13407" t="str">
        <f t="shared" si="420"/>
        <v>Cumple</v>
      </c>
      <c r="D13407">
        <v>2784</v>
      </c>
      <c r="E13407" t="s">
        <v>8</v>
      </c>
      <c r="F13407">
        <v>6</v>
      </c>
      <c r="G13407">
        <v>6</v>
      </c>
      <c r="H13407">
        <f t="shared" si="419"/>
        <v>0</v>
      </c>
    </row>
    <row r="13408" spans="1:8" x14ac:dyDescent="0.2">
      <c r="A13408" t="s">
        <v>7</v>
      </c>
      <c r="B13408" t="s">
        <v>33</v>
      </c>
      <c r="C13408" t="str">
        <f t="shared" si="420"/>
        <v>No cumple</v>
      </c>
      <c r="D13408">
        <v>2871</v>
      </c>
      <c r="E13408" t="s">
        <v>8</v>
      </c>
      <c r="F13408">
        <v>1</v>
      </c>
      <c r="G13408">
        <v>6</v>
      </c>
      <c r="H13408">
        <f t="shared" si="419"/>
        <v>-5</v>
      </c>
    </row>
    <row r="13409" spans="1:8" x14ac:dyDescent="0.2">
      <c r="A13409" t="s">
        <v>7</v>
      </c>
      <c r="B13409" t="s">
        <v>33</v>
      </c>
      <c r="C13409" t="str">
        <f t="shared" si="420"/>
        <v>Cumple</v>
      </c>
      <c r="D13409">
        <v>2912</v>
      </c>
      <c r="E13409" t="s">
        <v>8</v>
      </c>
      <c r="F13409">
        <v>6</v>
      </c>
      <c r="G13409">
        <v>6</v>
      </c>
      <c r="H13409">
        <f t="shared" si="419"/>
        <v>0</v>
      </c>
    </row>
    <row r="13410" spans="1:8" x14ac:dyDescent="0.2">
      <c r="A13410" t="s">
        <v>7</v>
      </c>
      <c r="B13410" t="s">
        <v>33</v>
      </c>
      <c r="C13410" t="str">
        <f t="shared" si="420"/>
        <v>No cumple</v>
      </c>
      <c r="D13410">
        <v>2916</v>
      </c>
      <c r="E13410" t="s">
        <v>8</v>
      </c>
      <c r="F13410">
        <v>2</v>
      </c>
      <c r="G13410">
        <v>6</v>
      </c>
      <c r="H13410">
        <f t="shared" si="419"/>
        <v>-4</v>
      </c>
    </row>
    <row r="13411" spans="1:8" x14ac:dyDescent="0.2">
      <c r="A13411" t="s">
        <v>7</v>
      </c>
      <c r="B13411" t="s">
        <v>33</v>
      </c>
      <c r="C13411" t="str">
        <f t="shared" si="420"/>
        <v>No cumple</v>
      </c>
      <c r="D13411">
        <v>3049</v>
      </c>
      <c r="E13411" t="s">
        <v>8</v>
      </c>
      <c r="F13411">
        <v>1</v>
      </c>
      <c r="G13411">
        <v>6</v>
      </c>
      <c r="H13411">
        <f t="shared" si="419"/>
        <v>-5</v>
      </c>
    </row>
    <row r="13412" spans="1:8" x14ac:dyDescent="0.2">
      <c r="A13412" t="s">
        <v>7</v>
      </c>
      <c r="B13412" t="s">
        <v>33</v>
      </c>
      <c r="C13412" t="str">
        <f t="shared" si="420"/>
        <v>No cumple</v>
      </c>
      <c r="D13412">
        <v>3381</v>
      </c>
      <c r="E13412" t="s">
        <v>8</v>
      </c>
      <c r="F13412">
        <v>4</v>
      </c>
      <c r="G13412">
        <v>6</v>
      </c>
      <c r="H13412">
        <f t="shared" si="419"/>
        <v>-2</v>
      </c>
    </row>
    <row r="13413" spans="1:8" x14ac:dyDescent="0.2">
      <c r="A13413" t="s">
        <v>7</v>
      </c>
      <c r="B13413" t="s">
        <v>33</v>
      </c>
      <c r="C13413" t="str">
        <f t="shared" si="420"/>
        <v>No cumple</v>
      </c>
      <c r="D13413">
        <v>3630</v>
      </c>
      <c r="E13413" t="s">
        <v>8</v>
      </c>
      <c r="F13413">
        <v>1</v>
      </c>
      <c r="G13413">
        <v>6</v>
      </c>
      <c r="H13413">
        <f t="shared" si="419"/>
        <v>-5</v>
      </c>
    </row>
    <row r="13414" spans="1:8" x14ac:dyDescent="0.2">
      <c r="A13414" t="s">
        <v>7</v>
      </c>
      <c r="B13414" t="s">
        <v>33</v>
      </c>
      <c r="C13414" t="str">
        <f t="shared" si="420"/>
        <v>No cumple</v>
      </c>
      <c r="D13414">
        <v>3898</v>
      </c>
      <c r="E13414" t="s">
        <v>8</v>
      </c>
      <c r="F13414">
        <v>1</v>
      </c>
      <c r="G13414">
        <v>6</v>
      </c>
      <c r="H13414">
        <f t="shared" si="419"/>
        <v>-5</v>
      </c>
    </row>
    <row r="13415" spans="1:8" x14ac:dyDescent="0.2">
      <c r="A13415" t="s">
        <v>7</v>
      </c>
      <c r="B13415" t="s">
        <v>33</v>
      </c>
      <c r="C13415" t="str">
        <f t="shared" si="420"/>
        <v>Cumple</v>
      </c>
      <c r="D13415">
        <v>3942</v>
      </c>
      <c r="E13415" t="s">
        <v>8</v>
      </c>
      <c r="F13415">
        <v>12</v>
      </c>
      <c r="G13415">
        <v>6</v>
      </c>
      <c r="H13415">
        <f t="shared" si="419"/>
        <v>6</v>
      </c>
    </row>
    <row r="13416" spans="1:8" x14ac:dyDescent="0.2">
      <c r="A13416" t="s">
        <v>7</v>
      </c>
      <c r="B13416" t="s">
        <v>33</v>
      </c>
      <c r="C13416" t="str">
        <f t="shared" si="420"/>
        <v>No cumple</v>
      </c>
      <c r="D13416">
        <v>3944</v>
      </c>
      <c r="E13416" t="s">
        <v>8</v>
      </c>
      <c r="F13416">
        <v>1</v>
      </c>
      <c r="G13416">
        <v>6</v>
      </c>
      <c r="H13416">
        <f t="shared" si="419"/>
        <v>-5</v>
      </c>
    </row>
    <row r="13417" spans="1:8" x14ac:dyDescent="0.2">
      <c r="A13417" t="s">
        <v>7</v>
      </c>
      <c r="B13417" t="s">
        <v>33</v>
      </c>
      <c r="C13417" t="str">
        <f t="shared" si="420"/>
        <v>No cumple</v>
      </c>
      <c r="D13417">
        <v>5002</v>
      </c>
      <c r="E13417" t="s">
        <v>8</v>
      </c>
      <c r="F13417">
        <v>1</v>
      </c>
      <c r="G13417">
        <v>6</v>
      </c>
      <c r="H13417">
        <f t="shared" si="419"/>
        <v>-5</v>
      </c>
    </row>
    <row r="13418" spans="1:8" x14ac:dyDescent="0.2">
      <c r="A13418" t="s">
        <v>7</v>
      </c>
      <c r="B13418" t="s">
        <v>33</v>
      </c>
      <c r="C13418" t="str">
        <f t="shared" si="420"/>
        <v>No cumple</v>
      </c>
      <c r="D13418">
        <v>7027</v>
      </c>
      <c r="E13418" t="s">
        <v>8</v>
      </c>
      <c r="F13418">
        <v>2</v>
      </c>
      <c r="G13418">
        <v>6</v>
      </c>
      <c r="H13418">
        <f t="shared" si="419"/>
        <v>-4</v>
      </c>
    </row>
    <row r="13419" spans="1:8" x14ac:dyDescent="0.2">
      <c r="A13419" t="s">
        <v>7</v>
      </c>
      <c r="B13419" t="s">
        <v>33</v>
      </c>
      <c r="C13419" t="str">
        <f t="shared" si="420"/>
        <v>No cumple</v>
      </c>
      <c r="D13419">
        <v>9071</v>
      </c>
      <c r="E13419" t="s">
        <v>8</v>
      </c>
      <c r="F13419">
        <v>3</v>
      </c>
      <c r="G13419">
        <v>6</v>
      </c>
      <c r="H13419">
        <f t="shared" si="419"/>
        <v>-3</v>
      </c>
    </row>
    <row r="13420" spans="1:8" x14ac:dyDescent="0.2">
      <c r="A13420" t="s">
        <v>7</v>
      </c>
      <c r="B13420" t="s">
        <v>33</v>
      </c>
      <c r="C13420" t="str">
        <f t="shared" si="420"/>
        <v>No cumple</v>
      </c>
      <c r="D13420">
        <v>9072</v>
      </c>
      <c r="E13420" t="s">
        <v>8</v>
      </c>
      <c r="F13420">
        <v>1</v>
      </c>
      <c r="G13420">
        <v>8</v>
      </c>
      <c r="H13420">
        <f t="shared" si="419"/>
        <v>-7</v>
      </c>
    </row>
    <row r="13421" spans="1:8" x14ac:dyDescent="0.2">
      <c r="A13421" t="s">
        <v>7</v>
      </c>
      <c r="B13421" t="s">
        <v>33</v>
      </c>
      <c r="C13421" t="str">
        <f t="shared" si="420"/>
        <v>No cumple</v>
      </c>
      <c r="D13421">
        <v>9174</v>
      </c>
      <c r="E13421" t="s">
        <v>8</v>
      </c>
      <c r="F13421">
        <v>4</v>
      </c>
      <c r="G13421">
        <v>6</v>
      </c>
      <c r="H13421">
        <f t="shared" si="419"/>
        <v>-2</v>
      </c>
    </row>
    <row r="13422" spans="1:8" x14ac:dyDescent="0.2">
      <c r="A13422" t="s">
        <v>7</v>
      </c>
      <c r="B13422" t="s">
        <v>33</v>
      </c>
      <c r="C13422" t="str">
        <f t="shared" si="420"/>
        <v>No cumple</v>
      </c>
      <c r="D13422">
        <v>9200</v>
      </c>
      <c r="E13422" t="s">
        <v>8</v>
      </c>
      <c r="F13422">
        <v>3</v>
      </c>
      <c r="G13422">
        <v>6</v>
      </c>
      <c r="H13422">
        <f t="shared" si="419"/>
        <v>-3</v>
      </c>
    </row>
    <row r="13423" spans="1:8" x14ac:dyDescent="0.2">
      <c r="A13423" t="s">
        <v>7</v>
      </c>
      <c r="B13423" t="s">
        <v>33</v>
      </c>
      <c r="C13423" t="str">
        <f t="shared" si="420"/>
        <v>No cumple</v>
      </c>
      <c r="D13423">
        <v>9364</v>
      </c>
      <c r="E13423" t="s">
        <v>8</v>
      </c>
      <c r="F13423">
        <v>5</v>
      </c>
      <c r="G13423">
        <v>6</v>
      </c>
      <c r="H13423">
        <f t="shared" si="419"/>
        <v>-1</v>
      </c>
    </row>
    <row r="13424" spans="1:8" x14ac:dyDescent="0.2">
      <c r="A13424" t="s">
        <v>7</v>
      </c>
      <c r="B13424" t="s">
        <v>33</v>
      </c>
      <c r="C13424" t="str">
        <f t="shared" si="420"/>
        <v>No cumple</v>
      </c>
      <c r="D13424">
        <v>9470</v>
      </c>
      <c r="E13424" t="s">
        <v>8</v>
      </c>
      <c r="F13424">
        <v>2</v>
      </c>
      <c r="G13424">
        <v>6</v>
      </c>
      <c r="H13424">
        <f t="shared" si="419"/>
        <v>-4</v>
      </c>
    </row>
    <row r="13425" spans="1:8" x14ac:dyDescent="0.2">
      <c r="A13425" t="s">
        <v>7</v>
      </c>
      <c r="B13425" t="s">
        <v>33</v>
      </c>
      <c r="C13425" t="str">
        <f t="shared" si="420"/>
        <v>No cumple</v>
      </c>
      <c r="D13425">
        <v>9617</v>
      </c>
      <c r="E13425" t="s">
        <v>8</v>
      </c>
      <c r="F13425">
        <v>1</v>
      </c>
      <c r="G13425">
        <v>6</v>
      </c>
      <c r="H13425">
        <f t="shared" si="419"/>
        <v>-5</v>
      </c>
    </row>
    <row r="13426" spans="1:8" x14ac:dyDescent="0.2">
      <c r="A13426" t="s">
        <v>7</v>
      </c>
      <c r="B13426" t="s">
        <v>33</v>
      </c>
      <c r="C13426" t="str">
        <f t="shared" si="420"/>
        <v>No cumple</v>
      </c>
      <c r="D13426">
        <v>9701</v>
      </c>
      <c r="E13426" t="s">
        <v>8</v>
      </c>
      <c r="F13426">
        <v>2</v>
      </c>
      <c r="G13426">
        <v>6</v>
      </c>
      <c r="H13426">
        <f t="shared" si="419"/>
        <v>-4</v>
      </c>
    </row>
    <row r="13427" spans="1:8" x14ac:dyDescent="0.2">
      <c r="A13427" t="s">
        <v>7</v>
      </c>
      <c r="B13427" t="s">
        <v>33</v>
      </c>
      <c r="C13427" t="str">
        <f t="shared" si="420"/>
        <v>Cumple</v>
      </c>
      <c r="D13427">
        <v>9868</v>
      </c>
      <c r="E13427" t="s">
        <v>8</v>
      </c>
      <c r="F13427">
        <v>8</v>
      </c>
      <c r="G13427">
        <v>6</v>
      </c>
      <c r="H13427">
        <f t="shared" si="419"/>
        <v>2</v>
      </c>
    </row>
    <row r="13428" spans="1:8" x14ac:dyDescent="0.2">
      <c r="A13428" t="s">
        <v>7</v>
      </c>
      <c r="B13428" t="s">
        <v>33</v>
      </c>
      <c r="C13428" t="str">
        <f t="shared" si="420"/>
        <v>No cumple</v>
      </c>
      <c r="D13428">
        <v>9916</v>
      </c>
      <c r="E13428" t="s">
        <v>8</v>
      </c>
      <c r="F13428">
        <v>2</v>
      </c>
      <c r="G13428">
        <v>6</v>
      </c>
      <c r="H13428">
        <f t="shared" si="419"/>
        <v>-4</v>
      </c>
    </row>
    <row r="13429" spans="1:8" x14ac:dyDescent="0.2">
      <c r="A13429" t="s">
        <v>7</v>
      </c>
      <c r="B13429" t="s">
        <v>33</v>
      </c>
      <c r="C13429" t="str">
        <f t="shared" si="420"/>
        <v>No cumple</v>
      </c>
      <c r="D13429">
        <v>3976</v>
      </c>
      <c r="E13429" t="s">
        <v>8</v>
      </c>
      <c r="F13429">
        <v>5</v>
      </c>
      <c r="G13429">
        <v>6</v>
      </c>
      <c r="H13429">
        <f t="shared" si="419"/>
        <v>-1</v>
      </c>
    </row>
    <row r="13430" spans="1:8" x14ac:dyDescent="0.2">
      <c r="A13430" t="s">
        <v>7</v>
      </c>
      <c r="B13430" t="s">
        <v>33</v>
      </c>
      <c r="C13430" t="str">
        <f t="shared" si="420"/>
        <v>Cumple</v>
      </c>
      <c r="D13430">
        <v>4037</v>
      </c>
      <c r="E13430" t="s">
        <v>8</v>
      </c>
      <c r="F13430">
        <v>9</v>
      </c>
      <c r="G13430">
        <v>6</v>
      </c>
      <c r="H13430">
        <f t="shared" si="419"/>
        <v>3</v>
      </c>
    </row>
    <row r="13431" spans="1:8" x14ac:dyDescent="0.2">
      <c r="A13431" t="s">
        <v>7</v>
      </c>
      <c r="B13431" t="s">
        <v>33</v>
      </c>
      <c r="C13431" t="str">
        <f t="shared" si="420"/>
        <v>No cumple</v>
      </c>
      <c r="D13431">
        <v>4062</v>
      </c>
      <c r="E13431" t="s">
        <v>8</v>
      </c>
      <c r="F13431">
        <v>2</v>
      </c>
      <c r="G13431">
        <v>6</v>
      </c>
      <c r="H13431">
        <f t="shared" si="419"/>
        <v>-4</v>
      </c>
    </row>
    <row r="13432" spans="1:8" x14ac:dyDescent="0.2">
      <c r="A13432" t="s">
        <v>7</v>
      </c>
      <c r="B13432" t="s">
        <v>33</v>
      </c>
      <c r="C13432" t="str">
        <f t="shared" si="420"/>
        <v>Cumple</v>
      </c>
      <c r="D13432">
        <v>4063</v>
      </c>
      <c r="E13432" t="s">
        <v>8</v>
      </c>
      <c r="F13432">
        <v>8</v>
      </c>
      <c r="G13432">
        <v>6</v>
      </c>
      <c r="H13432">
        <f t="shared" si="419"/>
        <v>2</v>
      </c>
    </row>
    <row r="13433" spans="1:8" x14ac:dyDescent="0.2">
      <c r="A13433" t="s">
        <v>7</v>
      </c>
      <c r="B13433" t="s">
        <v>33</v>
      </c>
      <c r="C13433" t="str">
        <f t="shared" si="420"/>
        <v>No cumple</v>
      </c>
      <c r="D13433">
        <v>208</v>
      </c>
      <c r="E13433" t="s">
        <v>8</v>
      </c>
      <c r="F13433">
        <v>0</v>
      </c>
      <c r="G13433">
        <v>6</v>
      </c>
      <c r="H13433">
        <f t="shared" si="419"/>
        <v>-6</v>
      </c>
    </row>
    <row r="13434" spans="1:8" x14ac:dyDescent="0.2">
      <c r="A13434" t="s">
        <v>7</v>
      </c>
      <c r="B13434" t="s">
        <v>33</v>
      </c>
      <c r="C13434" t="str">
        <f t="shared" si="420"/>
        <v>No cumple</v>
      </c>
      <c r="D13434">
        <v>234</v>
      </c>
      <c r="E13434" t="s">
        <v>8</v>
      </c>
      <c r="F13434">
        <v>0</v>
      </c>
      <c r="G13434">
        <v>6</v>
      </c>
      <c r="H13434">
        <f t="shared" si="419"/>
        <v>-6</v>
      </c>
    </row>
    <row r="13435" spans="1:8" x14ac:dyDescent="0.2">
      <c r="A13435" t="s">
        <v>18</v>
      </c>
      <c r="B13435" t="s">
        <v>33</v>
      </c>
      <c r="C13435" t="str">
        <f t="shared" si="420"/>
        <v>No cumple</v>
      </c>
      <c r="D13435">
        <v>331</v>
      </c>
      <c r="E13435" t="s">
        <v>8</v>
      </c>
      <c r="F13435">
        <v>0</v>
      </c>
      <c r="G13435">
        <v>6</v>
      </c>
      <c r="H13435">
        <f t="shared" si="419"/>
        <v>-6</v>
      </c>
    </row>
    <row r="13436" spans="1:8" x14ac:dyDescent="0.2">
      <c r="A13436" t="s">
        <v>7</v>
      </c>
      <c r="B13436" t="s">
        <v>33</v>
      </c>
      <c r="C13436" t="str">
        <f t="shared" si="420"/>
        <v>No cumple</v>
      </c>
      <c r="D13436">
        <v>479</v>
      </c>
      <c r="E13436" t="s">
        <v>8</v>
      </c>
      <c r="F13436">
        <v>2</v>
      </c>
      <c r="G13436">
        <v>6</v>
      </c>
      <c r="H13436">
        <f t="shared" si="419"/>
        <v>-4</v>
      </c>
    </row>
    <row r="13437" spans="1:8" x14ac:dyDescent="0.2">
      <c r="A13437" t="s">
        <v>18</v>
      </c>
      <c r="B13437" t="s">
        <v>33</v>
      </c>
      <c r="C13437" t="str">
        <f t="shared" si="420"/>
        <v>No cumple</v>
      </c>
      <c r="D13437">
        <v>504</v>
      </c>
      <c r="E13437" t="s">
        <v>8</v>
      </c>
      <c r="F13437">
        <v>0</v>
      </c>
      <c r="G13437">
        <v>6</v>
      </c>
      <c r="H13437">
        <f t="shared" si="419"/>
        <v>-6</v>
      </c>
    </row>
    <row r="13438" spans="1:8" x14ac:dyDescent="0.2">
      <c r="A13438" t="s">
        <v>7</v>
      </c>
      <c r="B13438" t="s">
        <v>33</v>
      </c>
      <c r="C13438" t="str">
        <f t="shared" si="420"/>
        <v>No cumple</v>
      </c>
      <c r="D13438">
        <v>507</v>
      </c>
      <c r="E13438" t="s">
        <v>8</v>
      </c>
      <c r="F13438">
        <v>1</v>
      </c>
      <c r="G13438">
        <v>6</v>
      </c>
      <c r="H13438">
        <f t="shared" si="419"/>
        <v>-5</v>
      </c>
    </row>
    <row r="13439" spans="1:8" x14ac:dyDescent="0.2">
      <c r="A13439" t="s">
        <v>7</v>
      </c>
      <c r="B13439" t="s">
        <v>33</v>
      </c>
      <c r="C13439" t="str">
        <f t="shared" si="420"/>
        <v>No cumple</v>
      </c>
      <c r="D13439">
        <v>517</v>
      </c>
      <c r="E13439" t="s">
        <v>8</v>
      </c>
      <c r="F13439">
        <v>0</v>
      </c>
      <c r="G13439">
        <v>6</v>
      </c>
      <c r="H13439">
        <f t="shared" si="419"/>
        <v>-6</v>
      </c>
    </row>
    <row r="13440" spans="1:8" x14ac:dyDescent="0.2">
      <c r="A13440" t="s">
        <v>18</v>
      </c>
      <c r="B13440" t="s">
        <v>33</v>
      </c>
      <c r="C13440" t="str">
        <f t="shared" si="420"/>
        <v>No cumple</v>
      </c>
      <c r="D13440">
        <v>539</v>
      </c>
      <c r="E13440" t="s">
        <v>8</v>
      </c>
      <c r="F13440">
        <v>0</v>
      </c>
      <c r="G13440">
        <v>6</v>
      </c>
      <c r="H13440">
        <f t="shared" si="419"/>
        <v>-6</v>
      </c>
    </row>
    <row r="13441" spans="1:8" x14ac:dyDescent="0.2">
      <c r="A13441" t="s">
        <v>18</v>
      </c>
      <c r="B13441" t="s">
        <v>33</v>
      </c>
      <c r="C13441" t="str">
        <f t="shared" si="420"/>
        <v>No cumple</v>
      </c>
      <c r="D13441">
        <v>541</v>
      </c>
      <c r="E13441" t="s">
        <v>8</v>
      </c>
      <c r="F13441">
        <v>0</v>
      </c>
      <c r="G13441">
        <v>8</v>
      </c>
      <c r="H13441">
        <f t="shared" si="419"/>
        <v>-8</v>
      </c>
    </row>
    <row r="13442" spans="1:8" x14ac:dyDescent="0.2">
      <c r="A13442" t="s">
        <v>7</v>
      </c>
      <c r="B13442" t="s">
        <v>33</v>
      </c>
      <c r="C13442" t="str">
        <f t="shared" si="420"/>
        <v>No cumple</v>
      </c>
      <c r="D13442">
        <v>559</v>
      </c>
      <c r="E13442" t="s">
        <v>8</v>
      </c>
      <c r="F13442">
        <v>3</v>
      </c>
      <c r="G13442">
        <v>6</v>
      </c>
      <c r="H13442">
        <f t="shared" si="419"/>
        <v>-3</v>
      </c>
    </row>
    <row r="13443" spans="1:8" x14ac:dyDescent="0.2">
      <c r="A13443" t="s">
        <v>7</v>
      </c>
      <c r="B13443" t="s">
        <v>33</v>
      </c>
      <c r="C13443" t="str">
        <f t="shared" si="420"/>
        <v>No cumple</v>
      </c>
      <c r="D13443">
        <v>666</v>
      </c>
      <c r="E13443" t="s">
        <v>8</v>
      </c>
      <c r="F13443">
        <v>2</v>
      </c>
      <c r="G13443">
        <v>6</v>
      </c>
      <c r="H13443">
        <f t="shared" ref="H13443:H13506" si="421">F13443-G13443</f>
        <v>-4</v>
      </c>
    </row>
    <row r="13444" spans="1:8" x14ac:dyDescent="0.2">
      <c r="A13444" t="s">
        <v>7</v>
      </c>
      <c r="B13444" t="s">
        <v>33</v>
      </c>
      <c r="C13444" t="str">
        <f t="shared" si="420"/>
        <v>No cumple</v>
      </c>
      <c r="D13444">
        <v>680</v>
      </c>
      <c r="E13444" t="s">
        <v>8</v>
      </c>
      <c r="F13444">
        <v>3</v>
      </c>
      <c r="G13444">
        <v>6</v>
      </c>
      <c r="H13444">
        <f t="shared" si="421"/>
        <v>-3</v>
      </c>
    </row>
    <row r="13445" spans="1:8" x14ac:dyDescent="0.2">
      <c r="A13445" t="s">
        <v>18</v>
      </c>
      <c r="B13445" t="s">
        <v>33</v>
      </c>
      <c r="C13445" t="str">
        <f t="shared" ref="C13445:C13508" si="422">IF(H13445&gt;=0,"Cumple","No cumple")</f>
        <v>No cumple</v>
      </c>
      <c r="D13445">
        <v>761</v>
      </c>
      <c r="E13445" t="s">
        <v>8</v>
      </c>
      <c r="F13445">
        <v>0</v>
      </c>
      <c r="G13445">
        <v>6</v>
      </c>
      <c r="H13445">
        <f t="shared" si="421"/>
        <v>-6</v>
      </c>
    </row>
    <row r="13446" spans="1:8" x14ac:dyDescent="0.2">
      <c r="A13446" t="s">
        <v>7</v>
      </c>
      <c r="B13446" t="s">
        <v>33</v>
      </c>
      <c r="C13446" t="str">
        <f t="shared" si="422"/>
        <v>No cumple</v>
      </c>
      <c r="D13446">
        <v>797</v>
      </c>
      <c r="E13446" t="s">
        <v>8</v>
      </c>
      <c r="F13446">
        <v>2</v>
      </c>
      <c r="G13446">
        <v>6</v>
      </c>
      <c r="H13446">
        <f t="shared" si="421"/>
        <v>-4</v>
      </c>
    </row>
    <row r="13447" spans="1:8" x14ac:dyDescent="0.2">
      <c r="A13447" t="s">
        <v>7</v>
      </c>
      <c r="B13447" t="s">
        <v>33</v>
      </c>
      <c r="C13447" t="str">
        <f t="shared" si="422"/>
        <v>No cumple</v>
      </c>
      <c r="D13447">
        <v>828</v>
      </c>
      <c r="E13447" t="s">
        <v>8</v>
      </c>
      <c r="F13447">
        <v>5</v>
      </c>
      <c r="G13447">
        <v>6</v>
      </c>
      <c r="H13447">
        <f t="shared" si="421"/>
        <v>-1</v>
      </c>
    </row>
    <row r="13448" spans="1:8" x14ac:dyDescent="0.2">
      <c r="A13448" t="s">
        <v>7</v>
      </c>
      <c r="B13448" t="s">
        <v>33</v>
      </c>
      <c r="C13448" t="str">
        <f t="shared" si="422"/>
        <v>No cumple</v>
      </c>
      <c r="D13448">
        <v>1573</v>
      </c>
      <c r="E13448" t="s">
        <v>8</v>
      </c>
      <c r="F13448">
        <v>1</v>
      </c>
      <c r="G13448">
        <v>6</v>
      </c>
      <c r="H13448">
        <f t="shared" si="421"/>
        <v>-5</v>
      </c>
    </row>
    <row r="13449" spans="1:8" x14ac:dyDescent="0.2">
      <c r="A13449" t="s">
        <v>18</v>
      </c>
      <c r="B13449" t="s">
        <v>33</v>
      </c>
      <c r="C13449" t="str">
        <f t="shared" si="422"/>
        <v>No cumple</v>
      </c>
      <c r="D13449">
        <v>1714</v>
      </c>
      <c r="E13449" t="s">
        <v>8</v>
      </c>
      <c r="F13449">
        <v>0</v>
      </c>
      <c r="G13449">
        <v>6</v>
      </c>
      <c r="H13449">
        <f t="shared" si="421"/>
        <v>-6</v>
      </c>
    </row>
    <row r="13450" spans="1:8" x14ac:dyDescent="0.2">
      <c r="A13450" t="s">
        <v>18</v>
      </c>
      <c r="B13450" t="s">
        <v>33</v>
      </c>
      <c r="C13450" t="str">
        <f t="shared" si="422"/>
        <v>No cumple</v>
      </c>
      <c r="D13450">
        <v>1827</v>
      </c>
      <c r="E13450" t="s">
        <v>8</v>
      </c>
      <c r="F13450">
        <v>0</v>
      </c>
      <c r="G13450">
        <v>6</v>
      </c>
      <c r="H13450">
        <f t="shared" si="421"/>
        <v>-6</v>
      </c>
    </row>
    <row r="13451" spans="1:8" x14ac:dyDescent="0.2">
      <c r="A13451" t="s">
        <v>7</v>
      </c>
      <c r="B13451" t="s">
        <v>33</v>
      </c>
      <c r="C13451" t="str">
        <f t="shared" si="422"/>
        <v>No cumple</v>
      </c>
      <c r="D13451">
        <v>1981</v>
      </c>
      <c r="E13451" t="s">
        <v>8</v>
      </c>
      <c r="F13451">
        <v>1</v>
      </c>
      <c r="G13451">
        <v>6</v>
      </c>
      <c r="H13451">
        <f t="shared" si="421"/>
        <v>-5</v>
      </c>
    </row>
    <row r="13452" spans="1:8" x14ac:dyDescent="0.2">
      <c r="A13452" t="s">
        <v>7</v>
      </c>
      <c r="B13452" t="s">
        <v>33</v>
      </c>
      <c r="C13452" t="str">
        <f t="shared" si="422"/>
        <v>No cumple</v>
      </c>
      <c r="D13452">
        <v>2031</v>
      </c>
      <c r="E13452" t="s">
        <v>8</v>
      </c>
      <c r="F13452">
        <v>1</v>
      </c>
      <c r="G13452">
        <v>6</v>
      </c>
      <c r="H13452">
        <f t="shared" si="421"/>
        <v>-5</v>
      </c>
    </row>
    <row r="13453" spans="1:8" x14ac:dyDescent="0.2">
      <c r="A13453" t="s">
        <v>7</v>
      </c>
      <c r="B13453" t="s">
        <v>33</v>
      </c>
      <c r="C13453" t="str">
        <f t="shared" si="422"/>
        <v>No cumple</v>
      </c>
      <c r="D13453">
        <v>2051</v>
      </c>
      <c r="E13453" t="s">
        <v>8</v>
      </c>
      <c r="F13453">
        <v>1</v>
      </c>
      <c r="G13453">
        <v>6</v>
      </c>
      <c r="H13453">
        <f t="shared" si="421"/>
        <v>-5</v>
      </c>
    </row>
    <row r="13454" spans="1:8" x14ac:dyDescent="0.2">
      <c r="A13454" t="s">
        <v>7</v>
      </c>
      <c r="B13454" t="s">
        <v>33</v>
      </c>
      <c r="C13454" t="str">
        <f t="shared" si="422"/>
        <v>No cumple</v>
      </c>
      <c r="D13454">
        <v>2082</v>
      </c>
      <c r="E13454" t="s">
        <v>8</v>
      </c>
      <c r="F13454">
        <v>1</v>
      </c>
      <c r="G13454">
        <v>6</v>
      </c>
      <c r="H13454">
        <f t="shared" si="421"/>
        <v>-5</v>
      </c>
    </row>
    <row r="13455" spans="1:8" x14ac:dyDescent="0.2">
      <c r="A13455" t="s">
        <v>7</v>
      </c>
      <c r="B13455" t="s">
        <v>33</v>
      </c>
      <c r="C13455" t="str">
        <f t="shared" si="422"/>
        <v>No cumple</v>
      </c>
      <c r="D13455">
        <v>2102</v>
      </c>
      <c r="E13455" t="s">
        <v>8</v>
      </c>
      <c r="F13455">
        <v>0</v>
      </c>
      <c r="G13455">
        <v>6</v>
      </c>
      <c r="H13455">
        <f t="shared" si="421"/>
        <v>-6</v>
      </c>
    </row>
    <row r="13456" spans="1:8" x14ac:dyDescent="0.2">
      <c r="A13456" t="s">
        <v>18</v>
      </c>
      <c r="B13456" t="s">
        <v>33</v>
      </c>
      <c r="C13456" t="str">
        <f t="shared" si="422"/>
        <v>No cumple</v>
      </c>
      <c r="D13456">
        <v>2163</v>
      </c>
      <c r="E13456" t="s">
        <v>8</v>
      </c>
      <c r="F13456">
        <v>0</v>
      </c>
      <c r="G13456">
        <v>6</v>
      </c>
      <c r="H13456">
        <f t="shared" si="421"/>
        <v>-6</v>
      </c>
    </row>
    <row r="13457" spans="1:8" x14ac:dyDescent="0.2">
      <c r="A13457" t="s">
        <v>7</v>
      </c>
      <c r="B13457" t="s">
        <v>33</v>
      </c>
      <c r="C13457" t="str">
        <f t="shared" si="422"/>
        <v>No cumple</v>
      </c>
      <c r="D13457">
        <v>2331</v>
      </c>
      <c r="E13457" t="s">
        <v>8</v>
      </c>
      <c r="F13457">
        <v>1</v>
      </c>
      <c r="G13457">
        <v>6</v>
      </c>
      <c r="H13457">
        <f t="shared" si="421"/>
        <v>-5</v>
      </c>
    </row>
    <row r="13458" spans="1:8" x14ac:dyDescent="0.2">
      <c r="A13458" t="s">
        <v>7</v>
      </c>
      <c r="B13458" t="s">
        <v>33</v>
      </c>
      <c r="C13458" t="str">
        <f t="shared" si="422"/>
        <v>No cumple</v>
      </c>
      <c r="D13458">
        <v>2341</v>
      </c>
      <c r="E13458" t="s">
        <v>8</v>
      </c>
      <c r="F13458">
        <v>0</v>
      </c>
      <c r="G13458">
        <v>6</v>
      </c>
      <c r="H13458">
        <f t="shared" si="421"/>
        <v>-6</v>
      </c>
    </row>
    <row r="13459" spans="1:8" x14ac:dyDescent="0.2">
      <c r="A13459" t="s">
        <v>7</v>
      </c>
      <c r="B13459" t="s">
        <v>33</v>
      </c>
      <c r="C13459" t="str">
        <f t="shared" si="422"/>
        <v>No cumple</v>
      </c>
      <c r="D13459">
        <v>2364</v>
      </c>
      <c r="E13459" t="s">
        <v>8</v>
      </c>
      <c r="F13459">
        <v>1</v>
      </c>
      <c r="G13459">
        <v>6</v>
      </c>
      <c r="H13459">
        <f t="shared" si="421"/>
        <v>-5</v>
      </c>
    </row>
    <row r="13460" spans="1:8" x14ac:dyDescent="0.2">
      <c r="A13460" t="s">
        <v>18</v>
      </c>
      <c r="B13460" t="s">
        <v>33</v>
      </c>
      <c r="C13460" t="str">
        <f t="shared" si="422"/>
        <v>No cumple</v>
      </c>
      <c r="D13460">
        <v>2421</v>
      </c>
      <c r="E13460" t="s">
        <v>8</v>
      </c>
      <c r="F13460">
        <v>0</v>
      </c>
      <c r="G13460">
        <v>6</v>
      </c>
      <c r="H13460">
        <f t="shared" si="421"/>
        <v>-6</v>
      </c>
    </row>
    <row r="13461" spans="1:8" x14ac:dyDescent="0.2">
      <c r="A13461" t="s">
        <v>7</v>
      </c>
      <c r="B13461" t="s">
        <v>33</v>
      </c>
      <c r="C13461" t="str">
        <f t="shared" si="422"/>
        <v>No cumple</v>
      </c>
      <c r="D13461">
        <v>2463</v>
      </c>
      <c r="E13461" t="s">
        <v>8</v>
      </c>
      <c r="F13461">
        <v>1</v>
      </c>
      <c r="G13461">
        <v>6</v>
      </c>
      <c r="H13461">
        <f t="shared" si="421"/>
        <v>-5</v>
      </c>
    </row>
    <row r="13462" spans="1:8" x14ac:dyDescent="0.2">
      <c r="A13462" t="s">
        <v>7</v>
      </c>
      <c r="B13462" t="s">
        <v>33</v>
      </c>
      <c r="C13462" t="str">
        <f t="shared" si="422"/>
        <v>No cumple</v>
      </c>
      <c r="D13462">
        <v>2512</v>
      </c>
      <c r="E13462" t="s">
        <v>8</v>
      </c>
      <c r="F13462">
        <v>1</v>
      </c>
      <c r="G13462">
        <v>6</v>
      </c>
      <c r="H13462">
        <f t="shared" si="421"/>
        <v>-5</v>
      </c>
    </row>
    <row r="13463" spans="1:8" x14ac:dyDescent="0.2">
      <c r="A13463" t="s">
        <v>7</v>
      </c>
      <c r="B13463" t="s">
        <v>33</v>
      </c>
      <c r="C13463" t="str">
        <f t="shared" si="422"/>
        <v>No cumple</v>
      </c>
      <c r="D13463">
        <v>2626</v>
      </c>
      <c r="E13463" t="s">
        <v>8</v>
      </c>
      <c r="F13463">
        <v>0</v>
      </c>
      <c r="G13463">
        <v>6</v>
      </c>
      <c r="H13463">
        <f t="shared" si="421"/>
        <v>-6</v>
      </c>
    </row>
    <row r="13464" spans="1:8" x14ac:dyDescent="0.2">
      <c r="A13464" t="s">
        <v>7</v>
      </c>
      <c r="B13464" t="s">
        <v>33</v>
      </c>
      <c r="C13464" t="str">
        <f t="shared" si="422"/>
        <v>No cumple</v>
      </c>
      <c r="D13464">
        <v>2746</v>
      </c>
      <c r="E13464" t="s">
        <v>8</v>
      </c>
      <c r="F13464">
        <v>0</v>
      </c>
      <c r="G13464">
        <v>8</v>
      </c>
      <c r="H13464">
        <f t="shared" si="421"/>
        <v>-8</v>
      </c>
    </row>
    <row r="13465" spans="1:8" x14ac:dyDescent="0.2">
      <c r="A13465" t="s">
        <v>7</v>
      </c>
      <c r="B13465" t="s">
        <v>33</v>
      </c>
      <c r="C13465" t="str">
        <f t="shared" si="422"/>
        <v>No cumple</v>
      </c>
      <c r="D13465">
        <v>2753</v>
      </c>
      <c r="E13465" t="s">
        <v>8</v>
      </c>
      <c r="F13465">
        <v>0</v>
      </c>
      <c r="G13465">
        <v>6</v>
      </c>
      <c r="H13465">
        <f t="shared" si="421"/>
        <v>-6</v>
      </c>
    </row>
    <row r="13466" spans="1:8" x14ac:dyDescent="0.2">
      <c r="A13466" t="s">
        <v>7</v>
      </c>
      <c r="B13466" t="s">
        <v>33</v>
      </c>
      <c r="C13466" t="str">
        <f t="shared" si="422"/>
        <v>Cumple</v>
      </c>
      <c r="D13466">
        <v>2755</v>
      </c>
      <c r="E13466" t="s">
        <v>8</v>
      </c>
      <c r="F13466">
        <v>7</v>
      </c>
      <c r="G13466">
        <v>6</v>
      </c>
      <c r="H13466">
        <f t="shared" si="421"/>
        <v>1</v>
      </c>
    </row>
    <row r="13467" spans="1:8" x14ac:dyDescent="0.2">
      <c r="A13467" t="s">
        <v>18</v>
      </c>
      <c r="B13467" t="s">
        <v>33</v>
      </c>
      <c r="C13467" t="str">
        <f t="shared" si="422"/>
        <v>No cumple</v>
      </c>
      <c r="D13467">
        <v>2766</v>
      </c>
      <c r="E13467" t="s">
        <v>8</v>
      </c>
      <c r="F13467">
        <v>0</v>
      </c>
      <c r="G13467">
        <v>6</v>
      </c>
      <c r="H13467">
        <f t="shared" si="421"/>
        <v>-6</v>
      </c>
    </row>
    <row r="13468" spans="1:8" x14ac:dyDescent="0.2">
      <c r="A13468" t="s">
        <v>18</v>
      </c>
      <c r="B13468" t="s">
        <v>33</v>
      </c>
      <c r="C13468" t="str">
        <f t="shared" si="422"/>
        <v>No cumple</v>
      </c>
      <c r="D13468">
        <v>2795</v>
      </c>
      <c r="E13468" t="s">
        <v>8</v>
      </c>
      <c r="F13468">
        <v>0</v>
      </c>
      <c r="G13468">
        <v>6</v>
      </c>
      <c r="H13468">
        <f t="shared" si="421"/>
        <v>-6</v>
      </c>
    </row>
    <row r="13469" spans="1:8" x14ac:dyDescent="0.2">
      <c r="A13469" t="s">
        <v>18</v>
      </c>
      <c r="B13469" t="s">
        <v>33</v>
      </c>
      <c r="C13469" t="str">
        <f t="shared" si="422"/>
        <v>No cumple</v>
      </c>
      <c r="D13469">
        <v>2910</v>
      </c>
      <c r="E13469" t="s">
        <v>8</v>
      </c>
      <c r="F13469">
        <v>0</v>
      </c>
      <c r="G13469">
        <v>6</v>
      </c>
      <c r="H13469">
        <f t="shared" si="421"/>
        <v>-6</v>
      </c>
    </row>
    <row r="13470" spans="1:8" x14ac:dyDescent="0.2">
      <c r="A13470" t="s">
        <v>7</v>
      </c>
      <c r="B13470" t="s">
        <v>33</v>
      </c>
      <c r="C13470" t="str">
        <f t="shared" si="422"/>
        <v>No cumple</v>
      </c>
      <c r="D13470">
        <v>3368</v>
      </c>
      <c r="E13470" t="s">
        <v>8</v>
      </c>
      <c r="F13470">
        <v>1</v>
      </c>
      <c r="G13470">
        <v>6</v>
      </c>
      <c r="H13470">
        <f t="shared" si="421"/>
        <v>-5</v>
      </c>
    </row>
    <row r="13471" spans="1:8" x14ac:dyDescent="0.2">
      <c r="A13471" t="s">
        <v>7</v>
      </c>
      <c r="B13471" t="s">
        <v>33</v>
      </c>
      <c r="C13471" t="str">
        <f t="shared" si="422"/>
        <v>No cumple</v>
      </c>
      <c r="D13471">
        <v>3458</v>
      </c>
      <c r="E13471" t="s">
        <v>8</v>
      </c>
      <c r="F13471">
        <v>0</v>
      </c>
      <c r="G13471">
        <v>6</v>
      </c>
      <c r="H13471">
        <f t="shared" si="421"/>
        <v>-6</v>
      </c>
    </row>
    <row r="13472" spans="1:8" x14ac:dyDescent="0.2">
      <c r="A13472" t="s">
        <v>7</v>
      </c>
      <c r="B13472" t="s">
        <v>33</v>
      </c>
      <c r="C13472" t="str">
        <f t="shared" si="422"/>
        <v>No cumple</v>
      </c>
      <c r="D13472">
        <v>3547</v>
      </c>
      <c r="E13472" t="s">
        <v>8</v>
      </c>
      <c r="F13472">
        <v>3</v>
      </c>
      <c r="G13472">
        <v>6</v>
      </c>
      <c r="H13472">
        <f t="shared" si="421"/>
        <v>-3</v>
      </c>
    </row>
    <row r="13473" spans="1:8" x14ac:dyDescent="0.2">
      <c r="A13473" t="s">
        <v>7</v>
      </c>
      <c r="B13473" t="s">
        <v>33</v>
      </c>
      <c r="C13473" t="str">
        <f t="shared" si="422"/>
        <v>No cumple</v>
      </c>
      <c r="D13473">
        <v>3554</v>
      </c>
      <c r="E13473" t="s">
        <v>8</v>
      </c>
      <c r="F13473">
        <v>0</v>
      </c>
      <c r="G13473">
        <v>6</v>
      </c>
      <c r="H13473">
        <f t="shared" si="421"/>
        <v>-6</v>
      </c>
    </row>
    <row r="13474" spans="1:8" x14ac:dyDescent="0.2">
      <c r="A13474" t="s">
        <v>18</v>
      </c>
      <c r="B13474" t="s">
        <v>33</v>
      </c>
      <c r="C13474" t="str">
        <f t="shared" si="422"/>
        <v>No cumple</v>
      </c>
      <c r="D13474">
        <v>3555</v>
      </c>
      <c r="E13474" t="s">
        <v>8</v>
      </c>
      <c r="F13474">
        <v>0</v>
      </c>
      <c r="G13474">
        <v>6</v>
      </c>
      <c r="H13474">
        <f t="shared" si="421"/>
        <v>-6</v>
      </c>
    </row>
    <row r="13475" spans="1:8" x14ac:dyDescent="0.2">
      <c r="A13475" t="s">
        <v>7</v>
      </c>
      <c r="B13475" t="s">
        <v>33</v>
      </c>
      <c r="C13475" t="str">
        <f t="shared" si="422"/>
        <v>No cumple</v>
      </c>
      <c r="D13475">
        <v>3572</v>
      </c>
      <c r="E13475" t="s">
        <v>8</v>
      </c>
      <c r="F13475">
        <v>0</v>
      </c>
      <c r="G13475">
        <v>6</v>
      </c>
      <c r="H13475">
        <f t="shared" si="421"/>
        <v>-6</v>
      </c>
    </row>
    <row r="13476" spans="1:8" x14ac:dyDescent="0.2">
      <c r="A13476" t="s">
        <v>7</v>
      </c>
      <c r="B13476" t="s">
        <v>33</v>
      </c>
      <c r="C13476" t="str">
        <f t="shared" si="422"/>
        <v>No cumple</v>
      </c>
      <c r="D13476">
        <v>3575</v>
      </c>
      <c r="E13476" t="s">
        <v>8</v>
      </c>
      <c r="F13476">
        <v>0</v>
      </c>
      <c r="G13476">
        <v>6</v>
      </c>
      <c r="H13476">
        <f t="shared" si="421"/>
        <v>-6</v>
      </c>
    </row>
    <row r="13477" spans="1:8" x14ac:dyDescent="0.2">
      <c r="A13477" t="s">
        <v>7</v>
      </c>
      <c r="B13477" t="s">
        <v>33</v>
      </c>
      <c r="C13477" t="str">
        <f t="shared" si="422"/>
        <v>No cumple</v>
      </c>
      <c r="D13477">
        <v>3585</v>
      </c>
      <c r="E13477" t="s">
        <v>8</v>
      </c>
      <c r="F13477">
        <v>0</v>
      </c>
      <c r="G13477">
        <v>6</v>
      </c>
      <c r="H13477">
        <f t="shared" si="421"/>
        <v>-6</v>
      </c>
    </row>
    <row r="13478" spans="1:8" x14ac:dyDescent="0.2">
      <c r="A13478" t="s">
        <v>7</v>
      </c>
      <c r="B13478" t="s">
        <v>33</v>
      </c>
      <c r="C13478" t="str">
        <f t="shared" si="422"/>
        <v>No cumple</v>
      </c>
      <c r="D13478">
        <v>3628</v>
      </c>
      <c r="E13478" t="s">
        <v>8</v>
      </c>
      <c r="F13478">
        <v>0</v>
      </c>
      <c r="G13478">
        <v>6</v>
      </c>
      <c r="H13478">
        <f t="shared" si="421"/>
        <v>-6</v>
      </c>
    </row>
    <row r="13479" spans="1:8" x14ac:dyDescent="0.2">
      <c r="A13479" t="s">
        <v>7</v>
      </c>
      <c r="B13479" t="s">
        <v>33</v>
      </c>
      <c r="C13479" t="str">
        <f t="shared" si="422"/>
        <v>No cumple</v>
      </c>
      <c r="D13479">
        <v>3655</v>
      </c>
      <c r="E13479" t="s">
        <v>8</v>
      </c>
      <c r="F13479">
        <v>2</v>
      </c>
      <c r="G13479">
        <v>6</v>
      </c>
      <c r="H13479">
        <f t="shared" si="421"/>
        <v>-4</v>
      </c>
    </row>
    <row r="13480" spans="1:8" x14ac:dyDescent="0.2">
      <c r="A13480" t="s">
        <v>18</v>
      </c>
      <c r="B13480" t="s">
        <v>33</v>
      </c>
      <c r="C13480" t="str">
        <f t="shared" si="422"/>
        <v>No cumple</v>
      </c>
      <c r="D13480">
        <v>3778</v>
      </c>
      <c r="E13480" t="s">
        <v>8</v>
      </c>
      <c r="F13480">
        <v>0</v>
      </c>
      <c r="G13480">
        <v>6</v>
      </c>
      <c r="H13480">
        <f t="shared" si="421"/>
        <v>-6</v>
      </c>
    </row>
    <row r="13481" spans="1:8" x14ac:dyDescent="0.2">
      <c r="A13481" t="s">
        <v>18</v>
      </c>
      <c r="B13481" t="s">
        <v>33</v>
      </c>
      <c r="C13481" t="str">
        <f t="shared" si="422"/>
        <v>No cumple</v>
      </c>
      <c r="D13481">
        <v>3780</v>
      </c>
      <c r="E13481" t="s">
        <v>8</v>
      </c>
      <c r="F13481">
        <v>0</v>
      </c>
      <c r="G13481">
        <v>6</v>
      </c>
      <c r="H13481">
        <f t="shared" si="421"/>
        <v>-6</v>
      </c>
    </row>
    <row r="13482" spans="1:8" x14ac:dyDescent="0.2">
      <c r="A13482" t="s">
        <v>7</v>
      </c>
      <c r="B13482" t="s">
        <v>33</v>
      </c>
      <c r="C13482" t="str">
        <f t="shared" si="422"/>
        <v>No cumple</v>
      </c>
      <c r="D13482">
        <v>3820</v>
      </c>
      <c r="E13482" t="s">
        <v>8</v>
      </c>
      <c r="F13482">
        <v>3</v>
      </c>
      <c r="G13482">
        <v>6</v>
      </c>
      <c r="H13482">
        <f t="shared" si="421"/>
        <v>-3</v>
      </c>
    </row>
    <row r="13483" spans="1:8" x14ac:dyDescent="0.2">
      <c r="A13483" t="s">
        <v>18</v>
      </c>
      <c r="B13483" t="s">
        <v>33</v>
      </c>
      <c r="C13483" t="str">
        <f t="shared" si="422"/>
        <v>No cumple</v>
      </c>
      <c r="D13483">
        <v>3856</v>
      </c>
      <c r="E13483" t="s">
        <v>8</v>
      </c>
      <c r="F13483">
        <v>0</v>
      </c>
      <c r="G13483">
        <v>6</v>
      </c>
      <c r="H13483">
        <f t="shared" si="421"/>
        <v>-6</v>
      </c>
    </row>
    <row r="13484" spans="1:8" x14ac:dyDescent="0.2">
      <c r="A13484" t="s">
        <v>7</v>
      </c>
      <c r="B13484" t="s">
        <v>33</v>
      </c>
      <c r="C13484" t="str">
        <f t="shared" si="422"/>
        <v>No cumple</v>
      </c>
      <c r="D13484">
        <v>3857</v>
      </c>
      <c r="E13484" t="s">
        <v>8</v>
      </c>
      <c r="F13484">
        <v>1</v>
      </c>
      <c r="G13484">
        <v>6</v>
      </c>
      <c r="H13484">
        <f t="shared" si="421"/>
        <v>-5</v>
      </c>
    </row>
    <row r="13485" spans="1:8" x14ac:dyDescent="0.2">
      <c r="A13485" t="s">
        <v>18</v>
      </c>
      <c r="B13485" t="s">
        <v>33</v>
      </c>
      <c r="C13485" t="str">
        <f t="shared" si="422"/>
        <v>No cumple</v>
      </c>
      <c r="D13485">
        <v>3858</v>
      </c>
      <c r="E13485" t="s">
        <v>8</v>
      </c>
      <c r="F13485">
        <v>0</v>
      </c>
      <c r="G13485">
        <v>6</v>
      </c>
      <c r="H13485">
        <f t="shared" si="421"/>
        <v>-6</v>
      </c>
    </row>
    <row r="13486" spans="1:8" x14ac:dyDescent="0.2">
      <c r="A13486" t="s">
        <v>7</v>
      </c>
      <c r="B13486" t="s">
        <v>33</v>
      </c>
      <c r="C13486" t="str">
        <f t="shared" si="422"/>
        <v>No cumple</v>
      </c>
      <c r="D13486">
        <v>3875</v>
      </c>
      <c r="E13486" t="s">
        <v>8</v>
      </c>
      <c r="F13486">
        <v>0</v>
      </c>
      <c r="G13486">
        <v>6</v>
      </c>
      <c r="H13486">
        <f t="shared" si="421"/>
        <v>-6</v>
      </c>
    </row>
    <row r="13487" spans="1:8" x14ac:dyDescent="0.2">
      <c r="A13487" t="s">
        <v>7</v>
      </c>
      <c r="B13487" t="s">
        <v>33</v>
      </c>
      <c r="C13487" t="str">
        <f t="shared" si="422"/>
        <v>No cumple</v>
      </c>
      <c r="D13487">
        <v>3901</v>
      </c>
      <c r="E13487" t="s">
        <v>8</v>
      </c>
      <c r="F13487">
        <v>0</v>
      </c>
      <c r="G13487">
        <v>6</v>
      </c>
      <c r="H13487">
        <f t="shared" si="421"/>
        <v>-6</v>
      </c>
    </row>
    <row r="13488" spans="1:8" x14ac:dyDescent="0.2">
      <c r="A13488" t="s">
        <v>7</v>
      </c>
      <c r="B13488" t="s">
        <v>33</v>
      </c>
      <c r="C13488" t="str">
        <f t="shared" si="422"/>
        <v>No cumple</v>
      </c>
      <c r="D13488">
        <v>3902</v>
      </c>
      <c r="E13488" t="s">
        <v>8</v>
      </c>
      <c r="F13488">
        <v>2</v>
      </c>
      <c r="G13488">
        <v>6</v>
      </c>
      <c r="H13488">
        <f t="shared" si="421"/>
        <v>-4</v>
      </c>
    </row>
    <row r="13489" spans="1:8" x14ac:dyDescent="0.2">
      <c r="A13489" t="s">
        <v>18</v>
      </c>
      <c r="B13489" t="s">
        <v>33</v>
      </c>
      <c r="C13489" t="str">
        <f t="shared" si="422"/>
        <v>No cumple</v>
      </c>
      <c r="D13489">
        <v>3909</v>
      </c>
      <c r="E13489" t="s">
        <v>8</v>
      </c>
      <c r="F13489">
        <v>0</v>
      </c>
      <c r="G13489">
        <v>6</v>
      </c>
      <c r="H13489">
        <f t="shared" si="421"/>
        <v>-6</v>
      </c>
    </row>
    <row r="13490" spans="1:8" x14ac:dyDescent="0.2">
      <c r="A13490" t="s">
        <v>18</v>
      </c>
      <c r="B13490" t="s">
        <v>33</v>
      </c>
      <c r="C13490" t="str">
        <f t="shared" si="422"/>
        <v>No cumple</v>
      </c>
      <c r="D13490">
        <v>3916</v>
      </c>
      <c r="E13490" t="s">
        <v>8</v>
      </c>
      <c r="F13490">
        <v>0</v>
      </c>
      <c r="G13490">
        <v>6</v>
      </c>
      <c r="H13490">
        <f t="shared" si="421"/>
        <v>-6</v>
      </c>
    </row>
    <row r="13491" spans="1:8" x14ac:dyDescent="0.2">
      <c r="A13491" t="s">
        <v>18</v>
      </c>
      <c r="B13491" t="s">
        <v>33</v>
      </c>
      <c r="C13491" t="str">
        <f t="shared" si="422"/>
        <v>No cumple</v>
      </c>
      <c r="D13491">
        <v>3919</v>
      </c>
      <c r="E13491" t="s">
        <v>8</v>
      </c>
      <c r="F13491">
        <v>0</v>
      </c>
      <c r="G13491">
        <v>6</v>
      </c>
      <c r="H13491">
        <f t="shared" si="421"/>
        <v>-6</v>
      </c>
    </row>
    <row r="13492" spans="1:8" x14ac:dyDescent="0.2">
      <c r="A13492" t="s">
        <v>7</v>
      </c>
      <c r="B13492" t="s">
        <v>33</v>
      </c>
      <c r="C13492" t="str">
        <f t="shared" si="422"/>
        <v>No cumple</v>
      </c>
      <c r="D13492">
        <v>3929</v>
      </c>
      <c r="E13492" t="s">
        <v>8</v>
      </c>
      <c r="F13492">
        <v>1</v>
      </c>
      <c r="G13492">
        <v>6</v>
      </c>
      <c r="H13492">
        <f t="shared" si="421"/>
        <v>-5</v>
      </c>
    </row>
    <row r="13493" spans="1:8" x14ac:dyDescent="0.2">
      <c r="A13493" t="s">
        <v>7</v>
      </c>
      <c r="B13493" t="s">
        <v>33</v>
      </c>
      <c r="C13493" t="str">
        <f t="shared" si="422"/>
        <v>No cumple</v>
      </c>
      <c r="D13493">
        <v>3962</v>
      </c>
      <c r="E13493" t="s">
        <v>8</v>
      </c>
      <c r="F13493">
        <v>1</v>
      </c>
      <c r="G13493">
        <v>6</v>
      </c>
      <c r="H13493">
        <f t="shared" si="421"/>
        <v>-5</v>
      </c>
    </row>
    <row r="13494" spans="1:8" x14ac:dyDescent="0.2">
      <c r="A13494" t="s">
        <v>18</v>
      </c>
      <c r="B13494" t="s">
        <v>33</v>
      </c>
      <c r="C13494" t="str">
        <f t="shared" si="422"/>
        <v>No cumple</v>
      </c>
      <c r="D13494">
        <v>3965</v>
      </c>
      <c r="E13494" t="s">
        <v>8</v>
      </c>
      <c r="F13494">
        <v>0</v>
      </c>
      <c r="G13494">
        <v>6</v>
      </c>
      <c r="H13494">
        <f t="shared" si="421"/>
        <v>-6</v>
      </c>
    </row>
    <row r="13495" spans="1:8" x14ac:dyDescent="0.2">
      <c r="A13495" t="s">
        <v>18</v>
      </c>
      <c r="B13495" t="s">
        <v>33</v>
      </c>
      <c r="C13495" t="str">
        <f t="shared" si="422"/>
        <v>No cumple</v>
      </c>
      <c r="D13495">
        <v>3968</v>
      </c>
      <c r="E13495" t="s">
        <v>8</v>
      </c>
      <c r="F13495">
        <v>0</v>
      </c>
      <c r="G13495">
        <v>6</v>
      </c>
      <c r="H13495">
        <f t="shared" si="421"/>
        <v>-6</v>
      </c>
    </row>
    <row r="13496" spans="1:8" x14ac:dyDescent="0.2">
      <c r="A13496" t="s">
        <v>7</v>
      </c>
      <c r="B13496" t="s">
        <v>33</v>
      </c>
      <c r="C13496" t="str">
        <f t="shared" si="422"/>
        <v>No cumple</v>
      </c>
      <c r="D13496">
        <v>9031</v>
      </c>
      <c r="E13496" t="s">
        <v>8</v>
      </c>
      <c r="F13496">
        <v>2</v>
      </c>
      <c r="G13496">
        <v>6</v>
      </c>
      <c r="H13496">
        <f t="shared" si="421"/>
        <v>-4</v>
      </c>
    </row>
    <row r="13497" spans="1:8" x14ac:dyDescent="0.2">
      <c r="A13497" t="s">
        <v>18</v>
      </c>
      <c r="B13497" t="s">
        <v>33</v>
      </c>
      <c r="C13497" t="str">
        <f t="shared" si="422"/>
        <v>No cumple</v>
      </c>
      <c r="D13497">
        <v>9114</v>
      </c>
      <c r="E13497" t="s">
        <v>8</v>
      </c>
      <c r="F13497">
        <v>0</v>
      </c>
      <c r="G13497">
        <v>6</v>
      </c>
      <c r="H13497">
        <f t="shared" si="421"/>
        <v>-6</v>
      </c>
    </row>
    <row r="13498" spans="1:8" x14ac:dyDescent="0.2">
      <c r="A13498" t="s">
        <v>7</v>
      </c>
      <c r="B13498" t="s">
        <v>33</v>
      </c>
      <c r="C13498" t="str">
        <f t="shared" si="422"/>
        <v>No cumple</v>
      </c>
      <c r="D13498">
        <v>9121</v>
      </c>
      <c r="E13498" t="s">
        <v>8</v>
      </c>
      <c r="F13498">
        <v>0</v>
      </c>
      <c r="G13498">
        <v>6</v>
      </c>
      <c r="H13498">
        <f t="shared" si="421"/>
        <v>-6</v>
      </c>
    </row>
    <row r="13499" spans="1:8" x14ac:dyDescent="0.2">
      <c r="A13499" t="s">
        <v>18</v>
      </c>
      <c r="B13499" t="s">
        <v>33</v>
      </c>
      <c r="C13499" t="str">
        <f t="shared" si="422"/>
        <v>No cumple</v>
      </c>
      <c r="D13499">
        <v>9131</v>
      </c>
      <c r="E13499" t="s">
        <v>8</v>
      </c>
      <c r="F13499">
        <v>0</v>
      </c>
      <c r="G13499">
        <v>6</v>
      </c>
      <c r="H13499">
        <f t="shared" si="421"/>
        <v>-6</v>
      </c>
    </row>
    <row r="13500" spans="1:8" x14ac:dyDescent="0.2">
      <c r="A13500" t="s">
        <v>7</v>
      </c>
      <c r="B13500" t="s">
        <v>33</v>
      </c>
      <c r="C13500" t="str">
        <f t="shared" si="422"/>
        <v>No cumple</v>
      </c>
      <c r="D13500">
        <v>9161</v>
      </c>
      <c r="E13500" t="s">
        <v>8</v>
      </c>
      <c r="F13500">
        <v>0</v>
      </c>
      <c r="G13500">
        <v>6</v>
      </c>
      <c r="H13500">
        <f t="shared" si="421"/>
        <v>-6</v>
      </c>
    </row>
    <row r="13501" spans="1:8" x14ac:dyDescent="0.2">
      <c r="A13501" t="s">
        <v>7</v>
      </c>
      <c r="B13501" t="s">
        <v>33</v>
      </c>
      <c r="C13501" t="str">
        <f t="shared" si="422"/>
        <v>No cumple</v>
      </c>
      <c r="D13501">
        <v>9177</v>
      </c>
      <c r="E13501" t="s">
        <v>8</v>
      </c>
      <c r="F13501">
        <v>2</v>
      </c>
      <c r="G13501">
        <v>6</v>
      </c>
      <c r="H13501">
        <f t="shared" si="421"/>
        <v>-4</v>
      </c>
    </row>
    <row r="13502" spans="1:8" x14ac:dyDescent="0.2">
      <c r="A13502" t="s">
        <v>7</v>
      </c>
      <c r="B13502" t="s">
        <v>33</v>
      </c>
      <c r="C13502" t="str">
        <f t="shared" si="422"/>
        <v>No cumple</v>
      </c>
      <c r="D13502">
        <v>9218</v>
      </c>
      <c r="E13502" t="s">
        <v>8</v>
      </c>
      <c r="F13502">
        <v>0</v>
      </c>
      <c r="G13502">
        <v>6</v>
      </c>
      <c r="H13502">
        <f t="shared" si="421"/>
        <v>-6</v>
      </c>
    </row>
    <row r="13503" spans="1:8" x14ac:dyDescent="0.2">
      <c r="A13503" t="s">
        <v>18</v>
      </c>
      <c r="B13503" t="s">
        <v>33</v>
      </c>
      <c r="C13503" t="str">
        <f t="shared" si="422"/>
        <v>No cumple</v>
      </c>
      <c r="D13503">
        <v>9317</v>
      </c>
      <c r="E13503" t="s">
        <v>8</v>
      </c>
      <c r="F13503">
        <v>0</v>
      </c>
      <c r="G13503">
        <v>6</v>
      </c>
      <c r="H13503">
        <f t="shared" si="421"/>
        <v>-6</v>
      </c>
    </row>
    <row r="13504" spans="1:8" x14ac:dyDescent="0.2">
      <c r="A13504" t="s">
        <v>7</v>
      </c>
      <c r="B13504" t="s">
        <v>33</v>
      </c>
      <c r="C13504" t="str">
        <f t="shared" si="422"/>
        <v>No cumple</v>
      </c>
      <c r="D13504">
        <v>9340</v>
      </c>
      <c r="E13504" t="s">
        <v>8</v>
      </c>
      <c r="F13504">
        <v>1</v>
      </c>
      <c r="G13504">
        <v>6</v>
      </c>
      <c r="H13504">
        <f t="shared" si="421"/>
        <v>-5</v>
      </c>
    </row>
    <row r="13505" spans="1:8" x14ac:dyDescent="0.2">
      <c r="A13505" t="s">
        <v>18</v>
      </c>
      <c r="B13505" t="s">
        <v>33</v>
      </c>
      <c r="C13505" t="str">
        <f t="shared" si="422"/>
        <v>No cumple</v>
      </c>
      <c r="D13505">
        <v>9426</v>
      </c>
      <c r="E13505" t="s">
        <v>8</v>
      </c>
      <c r="F13505">
        <v>0</v>
      </c>
      <c r="G13505">
        <v>6</v>
      </c>
      <c r="H13505">
        <f t="shared" si="421"/>
        <v>-6</v>
      </c>
    </row>
    <row r="13506" spans="1:8" x14ac:dyDescent="0.2">
      <c r="A13506" t="s">
        <v>7</v>
      </c>
      <c r="B13506" t="s">
        <v>33</v>
      </c>
      <c r="C13506" t="str">
        <f t="shared" si="422"/>
        <v>No cumple</v>
      </c>
      <c r="D13506">
        <v>9468</v>
      </c>
      <c r="E13506" t="s">
        <v>8</v>
      </c>
      <c r="F13506">
        <v>0</v>
      </c>
      <c r="G13506">
        <v>6</v>
      </c>
      <c r="H13506">
        <f t="shared" si="421"/>
        <v>-6</v>
      </c>
    </row>
    <row r="13507" spans="1:8" x14ac:dyDescent="0.2">
      <c r="A13507" t="s">
        <v>7</v>
      </c>
      <c r="B13507" t="s">
        <v>33</v>
      </c>
      <c r="C13507" t="str">
        <f t="shared" si="422"/>
        <v>No cumple</v>
      </c>
      <c r="D13507">
        <v>9471</v>
      </c>
      <c r="E13507" t="s">
        <v>8</v>
      </c>
      <c r="F13507">
        <v>1</v>
      </c>
      <c r="G13507">
        <v>6</v>
      </c>
      <c r="H13507">
        <f t="shared" ref="H13507:H13570" si="423">F13507-G13507</f>
        <v>-5</v>
      </c>
    </row>
    <row r="13508" spans="1:8" x14ac:dyDescent="0.2">
      <c r="A13508" t="s">
        <v>7</v>
      </c>
      <c r="B13508" t="s">
        <v>33</v>
      </c>
      <c r="C13508" t="str">
        <f t="shared" si="422"/>
        <v>No cumple</v>
      </c>
      <c r="D13508">
        <v>9548</v>
      </c>
      <c r="E13508" t="s">
        <v>8</v>
      </c>
      <c r="F13508">
        <v>0</v>
      </c>
      <c r="G13508">
        <v>6</v>
      </c>
      <c r="H13508">
        <f t="shared" si="423"/>
        <v>-6</v>
      </c>
    </row>
    <row r="13509" spans="1:8" x14ac:dyDescent="0.2">
      <c r="A13509" t="s">
        <v>18</v>
      </c>
      <c r="B13509" t="s">
        <v>33</v>
      </c>
      <c r="C13509" t="str">
        <f t="shared" ref="C13509:C13572" si="424">IF(H13509&gt;=0,"Cumple","No cumple")</f>
        <v>No cumple</v>
      </c>
      <c r="D13509">
        <v>9670</v>
      </c>
      <c r="E13509" t="s">
        <v>8</v>
      </c>
      <c r="F13509">
        <v>0</v>
      </c>
      <c r="G13509">
        <v>6</v>
      </c>
      <c r="H13509">
        <f t="shared" si="423"/>
        <v>-6</v>
      </c>
    </row>
    <row r="13510" spans="1:8" x14ac:dyDescent="0.2">
      <c r="A13510" t="s">
        <v>7</v>
      </c>
      <c r="B13510" t="s">
        <v>33</v>
      </c>
      <c r="C13510" t="str">
        <f t="shared" si="424"/>
        <v>No cumple</v>
      </c>
      <c r="D13510">
        <v>9740</v>
      </c>
      <c r="E13510" t="s">
        <v>8</v>
      </c>
      <c r="F13510">
        <v>0</v>
      </c>
      <c r="G13510">
        <v>6</v>
      </c>
      <c r="H13510">
        <f t="shared" si="423"/>
        <v>-6</v>
      </c>
    </row>
    <row r="13511" spans="1:8" x14ac:dyDescent="0.2">
      <c r="A13511" t="s">
        <v>18</v>
      </c>
      <c r="B13511" t="s">
        <v>33</v>
      </c>
      <c r="C13511" t="str">
        <f t="shared" si="424"/>
        <v>No cumple</v>
      </c>
      <c r="D13511">
        <v>9794</v>
      </c>
      <c r="E13511" t="s">
        <v>8</v>
      </c>
      <c r="F13511">
        <v>0</v>
      </c>
      <c r="G13511">
        <v>6</v>
      </c>
      <c r="H13511">
        <f t="shared" si="423"/>
        <v>-6</v>
      </c>
    </row>
    <row r="13512" spans="1:8" x14ac:dyDescent="0.2">
      <c r="A13512" t="s">
        <v>18</v>
      </c>
      <c r="B13512" t="s">
        <v>33</v>
      </c>
      <c r="C13512" t="str">
        <f t="shared" si="424"/>
        <v>No cumple</v>
      </c>
      <c r="D13512">
        <v>9828</v>
      </c>
      <c r="E13512" t="s">
        <v>8</v>
      </c>
      <c r="F13512">
        <v>0</v>
      </c>
      <c r="G13512">
        <v>6</v>
      </c>
      <c r="H13512">
        <f t="shared" si="423"/>
        <v>-6</v>
      </c>
    </row>
    <row r="13513" spans="1:8" x14ac:dyDescent="0.2">
      <c r="A13513" t="s">
        <v>18</v>
      </c>
      <c r="B13513" t="s">
        <v>33</v>
      </c>
      <c r="C13513" t="str">
        <f t="shared" si="424"/>
        <v>No cumple</v>
      </c>
      <c r="D13513">
        <v>9839</v>
      </c>
      <c r="E13513" t="s">
        <v>8</v>
      </c>
      <c r="F13513">
        <v>0</v>
      </c>
      <c r="G13513">
        <v>6</v>
      </c>
      <c r="H13513">
        <f t="shared" si="423"/>
        <v>-6</v>
      </c>
    </row>
    <row r="13514" spans="1:8" x14ac:dyDescent="0.2">
      <c r="A13514" t="s">
        <v>18</v>
      </c>
      <c r="B13514" t="s">
        <v>33</v>
      </c>
      <c r="C13514" t="str">
        <f t="shared" si="424"/>
        <v>No cumple</v>
      </c>
      <c r="D13514">
        <v>9843</v>
      </c>
      <c r="E13514" t="s">
        <v>8</v>
      </c>
      <c r="F13514">
        <v>0</v>
      </c>
      <c r="G13514">
        <v>6</v>
      </c>
      <c r="H13514">
        <f t="shared" si="423"/>
        <v>-6</v>
      </c>
    </row>
    <row r="13515" spans="1:8" x14ac:dyDescent="0.2">
      <c r="A13515" t="s">
        <v>7</v>
      </c>
      <c r="B13515" t="s">
        <v>33</v>
      </c>
      <c r="C13515" t="str">
        <f t="shared" si="424"/>
        <v>No cumple</v>
      </c>
      <c r="D13515">
        <v>9844</v>
      </c>
      <c r="E13515" t="s">
        <v>8</v>
      </c>
      <c r="F13515">
        <v>0</v>
      </c>
      <c r="G13515">
        <v>6</v>
      </c>
      <c r="H13515">
        <f t="shared" si="423"/>
        <v>-6</v>
      </c>
    </row>
    <row r="13516" spans="1:8" x14ac:dyDescent="0.2">
      <c r="A13516" t="s">
        <v>18</v>
      </c>
      <c r="B13516" t="s">
        <v>33</v>
      </c>
      <c r="C13516" t="str">
        <f t="shared" si="424"/>
        <v>No cumple</v>
      </c>
      <c r="D13516">
        <v>9850</v>
      </c>
      <c r="E13516" t="s">
        <v>8</v>
      </c>
      <c r="F13516" s="9">
        <v>0</v>
      </c>
      <c r="G13516" s="9">
        <v>8</v>
      </c>
      <c r="H13516">
        <f t="shared" si="423"/>
        <v>-8</v>
      </c>
    </row>
    <row r="13517" spans="1:8" x14ac:dyDescent="0.2">
      <c r="A13517" t="s">
        <v>18</v>
      </c>
      <c r="B13517" t="s">
        <v>33</v>
      </c>
      <c r="C13517" t="str">
        <f t="shared" si="424"/>
        <v>No cumple</v>
      </c>
      <c r="D13517">
        <v>9943</v>
      </c>
      <c r="E13517" t="s">
        <v>8</v>
      </c>
      <c r="F13517">
        <v>0</v>
      </c>
      <c r="G13517">
        <v>6</v>
      </c>
      <c r="H13517">
        <f t="shared" si="423"/>
        <v>-6</v>
      </c>
    </row>
    <row r="13518" spans="1:8" x14ac:dyDescent="0.2">
      <c r="A13518" t="s">
        <v>7</v>
      </c>
      <c r="B13518" t="s">
        <v>33</v>
      </c>
      <c r="C13518" t="str">
        <f t="shared" si="424"/>
        <v>No cumple</v>
      </c>
      <c r="D13518">
        <v>9973</v>
      </c>
      <c r="E13518" t="s">
        <v>8</v>
      </c>
      <c r="F13518">
        <v>0</v>
      </c>
      <c r="G13518">
        <v>6</v>
      </c>
      <c r="H13518">
        <f t="shared" si="423"/>
        <v>-6</v>
      </c>
    </row>
    <row r="13519" spans="1:8" x14ac:dyDescent="0.2">
      <c r="A13519" t="s">
        <v>7</v>
      </c>
      <c r="B13519" t="s">
        <v>33</v>
      </c>
      <c r="C13519" t="str">
        <f t="shared" si="424"/>
        <v>No cumple</v>
      </c>
      <c r="D13519">
        <v>3592</v>
      </c>
      <c r="E13519" t="s">
        <v>8</v>
      </c>
      <c r="F13519">
        <v>0</v>
      </c>
      <c r="G13519">
        <v>6</v>
      </c>
      <c r="H13519">
        <f t="shared" si="423"/>
        <v>-6</v>
      </c>
    </row>
    <row r="13520" spans="1:8" x14ac:dyDescent="0.2">
      <c r="A13520" t="s">
        <v>18</v>
      </c>
      <c r="B13520" t="s">
        <v>33</v>
      </c>
      <c r="C13520" t="str">
        <f t="shared" si="424"/>
        <v>No cumple</v>
      </c>
      <c r="D13520">
        <v>9824</v>
      </c>
      <c r="E13520" t="s">
        <v>8</v>
      </c>
      <c r="F13520">
        <v>0</v>
      </c>
      <c r="G13520">
        <v>6</v>
      </c>
      <c r="H13520">
        <f t="shared" si="423"/>
        <v>-6</v>
      </c>
    </row>
    <row r="13521" spans="1:8" x14ac:dyDescent="0.2">
      <c r="A13521" t="s">
        <v>18</v>
      </c>
      <c r="B13521" t="s">
        <v>33</v>
      </c>
      <c r="C13521" t="str">
        <f t="shared" si="424"/>
        <v>No cumple</v>
      </c>
      <c r="D13521">
        <v>9060</v>
      </c>
      <c r="E13521" t="s">
        <v>8</v>
      </c>
      <c r="F13521">
        <v>0</v>
      </c>
      <c r="G13521">
        <v>6</v>
      </c>
      <c r="H13521">
        <f t="shared" si="423"/>
        <v>-6</v>
      </c>
    </row>
    <row r="13522" spans="1:8" x14ac:dyDescent="0.2">
      <c r="A13522" t="s">
        <v>7</v>
      </c>
      <c r="B13522" t="s">
        <v>33</v>
      </c>
      <c r="C13522" t="str">
        <f t="shared" si="424"/>
        <v>No cumple</v>
      </c>
      <c r="D13522">
        <v>3977</v>
      </c>
      <c r="E13522" t="s">
        <v>8</v>
      </c>
      <c r="F13522">
        <v>3</v>
      </c>
      <c r="G13522">
        <v>6</v>
      </c>
      <c r="H13522">
        <f t="shared" si="423"/>
        <v>-3</v>
      </c>
    </row>
    <row r="13523" spans="1:8" x14ac:dyDescent="0.2">
      <c r="A13523" t="s">
        <v>18</v>
      </c>
      <c r="B13523" t="s">
        <v>33</v>
      </c>
      <c r="C13523" t="str">
        <f t="shared" si="424"/>
        <v>No cumple</v>
      </c>
      <c r="D13523">
        <v>2695</v>
      </c>
      <c r="E13523" t="s">
        <v>8</v>
      </c>
      <c r="F13523">
        <v>0</v>
      </c>
      <c r="G13523">
        <v>6</v>
      </c>
      <c r="H13523">
        <f t="shared" si="423"/>
        <v>-6</v>
      </c>
    </row>
    <row r="13524" spans="1:8" x14ac:dyDescent="0.2">
      <c r="A13524" t="s">
        <v>7</v>
      </c>
      <c r="B13524" t="s">
        <v>33</v>
      </c>
      <c r="C13524" t="str">
        <f t="shared" si="424"/>
        <v>No cumple</v>
      </c>
      <c r="D13524">
        <v>3990</v>
      </c>
      <c r="E13524" t="s">
        <v>8</v>
      </c>
      <c r="F13524">
        <v>3</v>
      </c>
      <c r="G13524">
        <v>6</v>
      </c>
      <c r="H13524">
        <f t="shared" si="423"/>
        <v>-3</v>
      </c>
    </row>
    <row r="13525" spans="1:8" x14ac:dyDescent="0.2">
      <c r="A13525" t="s">
        <v>18</v>
      </c>
      <c r="B13525" t="s">
        <v>33</v>
      </c>
      <c r="C13525" t="str">
        <f t="shared" si="424"/>
        <v>No cumple</v>
      </c>
      <c r="D13525">
        <v>3992</v>
      </c>
      <c r="E13525" t="s">
        <v>8</v>
      </c>
      <c r="F13525">
        <v>0</v>
      </c>
      <c r="G13525">
        <v>6</v>
      </c>
      <c r="H13525">
        <f t="shared" si="423"/>
        <v>-6</v>
      </c>
    </row>
    <row r="13526" spans="1:8" x14ac:dyDescent="0.2">
      <c r="A13526" t="s">
        <v>18</v>
      </c>
      <c r="B13526" t="s">
        <v>33</v>
      </c>
      <c r="C13526" t="str">
        <f t="shared" si="424"/>
        <v>No cumple</v>
      </c>
      <c r="D13526">
        <v>3993</v>
      </c>
      <c r="E13526" t="s">
        <v>8</v>
      </c>
      <c r="F13526">
        <v>0</v>
      </c>
      <c r="G13526">
        <v>6</v>
      </c>
      <c r="H13526">
        <f t="shared" si="423"/>
        <v>-6</v>
      </c>
    </row>
    <row r="13527" spans="1:8" x14ac:dyDescent="0.2">
      <c r="A13527" t="s">
        <v>7</v>
      </c>
      <c r="B13527" t="s">
        <v>33</v>
      </c>
      <c r="C13527" t="str">
        <f t="shared" si="424"/>
        <v>No cumple</v>
      </c>
      <c r="D13527">
        <v>3995</v>
      </c>
      <c r="E13527" t="s">
        <v>8</v>
      </c>
      <c r="F13527">
        <v>0</v>
      </c>
      <c r="G13527">
        <v>6</v>
      </c>
      <c r="H13527">
        <f t="shared" si="423"/>
        <v>-6</v>
      </c>
    </row>
    <row r="13528" spans="1:8" x14ac:dyDescent="0.2">
      <c r="A13528" t="s">
        <v>7</v>
      </c>
      <c r="B13528" t="s">
        <v>33</v>
      </c>
      <c r="C13528" t="str">
        <f t="shared" si="424"/>
        <v>No cumple</v>
      </c>
      <c r="D13528">
        <v>4031</v>
      </c>
      <c r="E13528" t="s">
        <v>8</v>
      </c>
      <c r="F13528">
        <v>1</v>
      </c>
      <c r="G13528">
        <v>6</v>
      </c>
      <c r="H13528">
        <f t="shared" si="423"/>
        <v>-5</v>
      </c>
    </row>
    <row r="13529" spans="1:8" x14ac:dyDescent="0.2">
      <c r="A13529" t="s">
        <v>18</v>
      </c>
      <c r="B13529" t="s">
        <v>33</v>
      </c>
      <c r="C13529" t="str">
        <f t="shared" si="424"/>
        <v>No cumple</v>
      </c>
      <c r="D13529">
        <v>2194</v>
      </c>
      <c r="E13529" t="s">
        <v>8</v>
      </c>
      <c r="F13529">
        <v>0</v>
      </c>
      <c r="G13529">
        <v>6</v>
      </c>
      <c r="H13529">
        <f t="shared" si="423"/>
        <v>-6</v>
      </c>
    </row>
    <row r="13530" spans="1:8" x14ac:dyDescent="0.2">
      <c r="A13530" t="s">
        <v>18</v>
      </c>
      <c r="B13530" t="s">
        <v>33</v>
      </c>
      <c r="C13530" t="str">
        <f t="shared" si="424"/>
        <v>No cumple</v>
      </c>
      <c r="D13530">
        <v>1604</v>
      </c>
      <c r="E13530" t="s">
        <v>8</v>
      </c>
      <c r="F13530">
        <v>0</v>
      </c>
      <c r="G13530">
        <v>6</v>
      </c>
      <c r="H13530">
        <f t="shared" si="423"/>
        <v>-6</v>
      </c>
    </row>
    <row r="13531" spans="1:8" x14ac:dyDescent="0.2">
      <c r="A13531" t="s">
        <v>7</v>
      </c>
      <c r="B13531" t="s">
        <v>33</v>
      </c>
      <c r="C13531" t="str">
        <f t="shared" si="424"/>
        <v>No cumple</v>
      </c>
      <c r="D13531">
        <v>4038</v>
      </c>
      <c r="E13531" t="s">
        <v>8</v>
      </c>
      <c r="F13531">
        <v>0</v>
      </c>
      <c r="G13531">
        <v>6</v>
      </c>
      <c r="H13531">
        <f t="shared" si="423"/>
        <v>-6</v>
      </c>
    </row>
    <row r="13532" spans="1:8" x14ac:dyDescent="0.2">
      <c r="A13532" t="s">
        <v>18</v>
      </c>
      <c r="B13532" t="s">
        <v>33</v>
      </c>
      <c r="C13532" t="str">
        <f t="shared" si="424"/>
        <v>No cumple</v>
      </c>
      <c r="D13532">
        <v>4040</v>
      </c>
      <c r="E13532" t="s">
        <v>8</v>
      </c>
      <c r="F13532">
        <v>0</v>
      </c>
      <c r="G13532">
        <v>6</v>
      </c>
      <c r="H13532">
        <f t="shared" si="423"/>
        <v>-6</v>
      </c>
    </row>
    <row r="13533" spans="1:8" x14ac:dyDescent="0.2">
      <c r="A13533" t="s">
        <v>7</v>
      </c>
      <c r="B13533" t="s">
        <v>33</v>
      </c>
      <c r="C13533" t="str">
        <f t="shared" si="424"/>
        <v>No cumple</v>
      </c>
      <c r="D13533">
        <v>2724</v>
      </c>
      <c r="E13533" t="s">
        <v>8</v>
      </c>
      <c r="F13533">
        <v>1</v>
      </c>
      <c r="G13533">
        <v>6</v>
      </c>
      <c r="H13533">
        <f t="shared" si="423"/>
        <v>-5</v>
      </c>
    </row>
    <row r="13534" spans="1:8" x14ac:dyDescent="0.2">
      <c r="A13534" t="s">
        <v>18</v>
      </c>
      <c r="B13534" t="s">
        <v>33</v>
      </c>
      <c r="C13534" t="str">
        <f t="shared" si="424"/>
        <v>No cumple</v>
      </c>
      <c r="D13534">
        <v>1781</v>
      </c>
      <c r="E13534" t="s">
        <v>8</v>
      </c>
      <c r="F13534">
        <v>0</v>
      </c>
      <c r="G13534">
        <v>6</v>
      </c>
      <c r="H13534">
        <f t="shared" si="423"/>
        <v>-6</v>
      </c>
    </row>
    <row r="13535" spans="1:8" x14ac:dyDescent="0.2">
      <c r="A13535" t="s">
        <v>7</v>
      </c>
      <c r="B13535" t="s">
        <v>33</v>
      </c>
      <c r="C13535" t="str">
        <f t="shared" si="424"/>
        <v>No cumple</v>
      </c>
      <c r="D13535">
        <v>987</v>
      </c>
      <c r="E13535" t="s">
        <v>8</v>
      </c>
      <c r="F13535">
        <v>1</v>
      </c>
      <c r="G13535">
        <v>6</v>
      </c>
      <c r="H13535">
        <f t="shared" si="423"/>
        <v>-5</v>
      </c>
    </row>
    <row r="13536" spans="1:8" x14ac:dyDescent="0.2">
      <c r="A13536" t="s">
        <v>7</v>
      </c>
      <c r="B13536" t="s">
        <v>33</v>
      </c>
      <c r="C13536" t="str">
        <f t="shared" si="424"/>
        <v>No cumple</v>
      </c>
      <c r="D13536">
        <v>2099</v>
      </c>
      <c r="E13536" t="s">
        <v>8</v>
      </c>
      <c r="F13536">
        <v>0</v>
      </c>
      <c r="G13536">
        <v>6</v>
      </c>
      <c r="H13536">
        <f t="shared" si="423"/>
        <v>-6</v>
      </c>
    </row>
    <row r="13537" spans="1:8" x14ac:dyDescent="0.2">
      <c r="A13537" t="s">
        <v>7</v>
      </c>
      <c r="B13537" t="s">
        <v>33</v>
      </c>
      <c r="C13537" t="str">
        <f t="shared" si="424"/>
        <v>No cumple</v>
      </c>
      <c r="D13537">
        <v>9708</v>
      </c>
      <c r="E13537" t="s">
        <v>8</v>
      </c>
      <c r="F13537">
        <v>1</v>
      </c>
      <c r="G13537">
        <v>6</v>
      </c>
      <c r="H13537">
        <f t="shared" si="423"/>
        <v>-5</v>
      </c>
    </row>
    <row r="13538" spans="1:8" x14ac:dyDescent="0.2">
      <c r="A13538" t="s">
        <v>7</v>
      </c>
      <c r="B13538" t="s">
        <v>33</v>
      </c>
      <c r="C13538" t="str">
        <f t="shared" si="424"/>
        <v>No cumple</v>
      </c>
      <c r="D13538">
        <v>4046</v>
      </c>
      <c r="E13538" t="s">
        <v>8</v>
      </c>
      <c r="F13538">
        <v>3</v>
      </c>
      <c r="G13538">
        <v>6</v>
      </c>
      <c r="H13538">
        <f t="shared" si="423"/>
        <v>-3</v>
      </c>
    </row>
    <row r="13539" spans="1:8" x14ac:dyDescent="0.2">
      <c r="A13539" t="s">
        <v>18</v>
      </c>
      <c r="B13539" t="s">
        <v>33</v>
      </c>
      <c r="C13539" t="str">
        <f t="shared" si="424"/>
        <v>No cumple</v>
      </c>
      <c r="D13539">
        <v>315</v>
      </c>
      <c r="E13539" t="s">
        <v>8</v>
      </c>
      <c r="F13539">
        <v>0</v>
      </c>
      <c r="G13539">
        <v>6</v>
      </c>
      <c r="H13539">
        <f t="shared" si="423"/>
        <v>-6</v>
      </c>
    </row>
    <row r="13540" spans="1:8" x14ac:dyDescent="0.2">
      <c r="A13540" t="s">
        <v>18</v>
      </c>
      <c r="B13540" t="s">
        <v>33</v>
      </c>
      <c r="C13540" t="str">
        <f t="shared" si="424"/>
        <v>No cumple</v>
      </c>
      <c r="D13540">
        <v>2647</v>
      </c>
      <c r="E13540" t="s">
        <v>8</v>
      </c>
      <c r="F13540">
        <v>0</v>
      </c>
      <c r="G13540">
        <v>6</v>
      </c>
      <c r="H13540">
        <f t="shared" si="423"/>
        <v>-6</v>
      </c>
    </row>
    <row r="13541" spans="1:8" x14ac:dyDescent="0.2">
      <c r="A13541" t="s">
        <v>7</v>
      </c>
      <c r="B13541" t="s">
        <v>33</v>
      </c>
      <c r="C13541" t="str">
        <f t="shared" si="424"/>
        <v>Cumple</v>
      </c>
      <c r="D13541">
        <v>9476</v>
      </c>
      <c r="E13541" t="s">
        <v>11</v>
      </c>
      <c r="F13541">
        <v>57</v>
      </c>
      <c r="G13541">
        <v>20</v>
      </c>
      <c r="H13541">
        <f t="shared" si="423"/>
        <v>37</v>
      </c>
    </row>
    <row r="13542" spans="1:8" x14ac:dyDescent="0.2">
      <c r="A13542" t="s">
        <v>7</v>
      </c>
      <c r="B13542" t="s">
        <v>33</v>
      </c>
      <c r="C13542" t="str">
        <f t="shared" si="424"/>
        <v>Cumple</v>
      </c>
      <c r="D13542">
        <v>3950</v>
      </c>
      <c r="E13542" t="s">
        <v>11</v>
      </c>
      <c r="F13542">
        <v>49</v>
      </c>
      <c r="G13542">
        <v>15</v>
      </c>
      <c r="H13542">
        <f t="shared" si="423"/>
        <v>34</v>
      </c>
    </row>
    <row r="13543" spans="1:8" x14ac:dyDescent="0.2">
      <c r="A13543" t="s">
        <v>7</v>
      </c>
      <c r="B13543" t="s">
        <v>33</v>
      </c>
      <c r="C13543" t="str">
        <f t="shared" si="424"/>
        <v>Cumple</v>
      </c>
      <c r="D13543">
        <v>3683</v>
      </c>
      <c r="E13543" t="s">
        <v>11</v>
      </c>
      <c r="F13543">
        <v>46</v>
      </c>
      <c r="G13543">
        <v>20</v>
      </c>
      <c r="H13543">
        <f t="shared" si="423"/>
        <v>26</v>
      </c>
    </row>
    <row r="13544" spans="1:8" x14ac:dyDescent="0.2">
      <c r="A13544" t="s">
        <v>7</v>
      </c>
      <c r="B13544" t="s">
        <v>33</v>
      </c>
      <c r="C13544" t="str">
        <f t="shared" si="424"/>
        <v>Cumple</v>
      </c>
      <c r="D13544">
        <v>9245</v>
      </c>
      <c r="E13544" t="s">
        <v>11</v>
      </c>
      <c r="F13544">
        <v>45</v>
      </c>
      <c r="G13544">
        <v>20</v>
      </c>
      <c r="H13544">
        <f t="shared" si="423"/>
        <v>25</v>
      </c>
    </row>
    <row r="13545" spans="1:8" x14ac:dyDescent="0.2">
      <c r="A13545" t="s">
        <v>7</v>
      </c>
      <c r="B13545" t="s">
        <v>33</v>
      </c>
      <c r="C13545" t="str">
        <f t="shared" si="424"/>
        <v>Cumple</v>
      </c>
      <c r="D13545">
        <v>1875</v>
      </c>
      <c r="E13545" t="s">
        <v>10</v>
      </c>
      <c r="F13545">
        <v>42</v>
      </c>
      <c r="G13545">
        <v>20</v>
      </c>
      <c r="H13545">
        <f t="shared" si="423"/>
        <v>22</v>
      </c>
    </row>
    <row r="13546" spans="1:8" x14ac:dyDescent="0.2">
      <c r="A13546" t="s">
        <v>7</v>
      </c>
      <c r="B13546" t="s">
        <v>33</v>
      </c>
      <c r="C13546" t="str">
        <f t="shared" si="424"/>
        <v>Cumple</v>
      </c>
      <c r="D13546">
        <v>9360</v>
      </c>
      <c r="E13546" t="s">
        <v>11</v>
      </c>
      <c r="F13546">
        <v>42</v>
      </c>
      <c r="G13546">
        <v>20</v>
      </c>
      <c r="H13546">
        <f t="shared" si="423"/>
        <v>22</v>
      </c>
    </row>
    <row r="13547" spans="1:8" x14ac:dyDescent="0.2">
      <c r="A13547" t="s">
        <v>7</v>
      </c>
      <c r="B13547" t="s">
        <v>33</v>
      </c>
      <c r="C13547" t="str">
        <f t="shared" si="424"/>
        <v>Cumple</v>
      </c>
      <c r="D13547">
        <v>3169</v>
      </c>
      <c r="E13547" t="s">
        <v>10</v>
      </c>
      <c r="F13547">
        <v>42</v>
      </c>
      <c r="G13547">
        <v>20</v>
      </c>
      <c r="H13547">
        <f t="shared" si="423"/>
        <v>22</v>
      </c>
    </row>
    <row r="13548" spans="1:8" x14ac:dyDescent="0.2">
      <c r="A13548" t="s">
        <v>7</v>
      </c>
      <c r="B13548" t="s">
        <v>33</v>
      </c>
      <c r="C13548" t="str">
        <f t="shared" si="424"/>
        <v>Cumple</v>
      </c>
      <c r="D13548">
        <v>3047</v>
      </c>
      <c r="E13548" t="s">
        <v>10</v>
      </c>
      <c r="F13548">
        <v>42</v>
      </c>
      <c r="G13548">
        <v>20</v>
      </c>
      <c r="H13548">
        <f t="shared" si="423"/>
        <v>22</v>
      </c>
    </row>
    <row r="13549" spans="1:8" x14ac:dyDescent="0.2">
      <c r="A13549" t="s">
        <v>7</v>
      </c>
      <c r="B13549" t="s">
        <v>33</v>
      </c>
      <c r="C13549" t="str">
        <f t="shared" si="424"/>
        <v>Cumple</v>
      </c>
      <c r="D13549">
        <v>9982</v>
      </c>
      <c r="E13549" t="s">
        <v>10</v>
      </c>
      <c r="F13549">
        <v>39</v>
      </c>
      <c r="G13549">
        <v>20</v>
      </c>
      <c r="H13549">
        <f t="shared" si="423"/>
        <v>19</v>
      </c>
    </row>
    <row r="13550" spans="1:8" x14ac:dyDescent="0.2">
      <c r="A13550" t="s">
        <v>7</v>
      </c>
      <c r="B13550" t="s">
        <v>33</v>
      </c>
      <c r="C13550" t="str">
        <f t="shared" si="424"/>
        <v>Cumple</v>
      </c>
      <c r="D13550">
        <v>9633</v>
      </c>
      <c r="E13550" t="s">
        <v>11</v>
      </c>
      <c r="F13550">
        <v>36</v>
      </c>
      <c r="G13550">
        <v>20</v>
      </c>
      <c r="H13550">
        <f t="shared" si="423"/>
        <v>16</v>
      </c>
    </row>
    <row r="13551" spans="1:8" x14ac:dyDescent="0.2">
      <c r="A13551" t="s">
        <v>7</v>
      </c>
      <c r="B13551" t="s">
        <v>33</v>
      </c>
      <c r="C13551" t="str">
        <f t="shared" si="424"/>
        <v>Cumple</v>
      </c>
      <c r="D13551">
        <v>3125</v>
      </c>
      <c r="E13551" t="s">
        <v>10</v>
      </c>
      <c r="F13551">
        <v>36</v>
      </c>
      <c r="G13551">
        <v>20</v>
      </c>
      <c r="H13551">
        <f t="shared" si="423"/>
        <v>16</v>
      </c>
    </row>
    <row r="13552" spans="1:8" x14ac:dyDescent="0.2">
      <c r="A13552" t="s">
        <v>7</v>
      </c>
      <c r="B13552" t="s">
        <v>33</v>
      </c>
      <c r="C13552" t="str">
        <f t="shared" si="424"/>
        <v>Cumple</v>
      </c>
      <c r="D13552">
        <v>3038</v>
      </c>
      <c r="E13552" t="s">
        <v>11</v>
      </c>
      <c r="F13552">
        <v>36</v>
      </c>
      <c r="G13552">
        <v>20</v>
      </c>
      <c r="H13552">
        <f t="shared" si="423"/>
        <v>16</v>
      </c>
    </row>
    <row r="13553" spans="1:8" x14ac:dyDescent="0.2">
      <c r="A13553" t="s">
        <v>7</v>
      </c>
      <c r="B13553" t="s">
        <v>33</v>
      </c>
      <c r="C13553" t="str">
        <f t="shared" si="424"/>
        <v>Cumple</v>
      </c>
      <c r="D13553">
        <v>1537</v>
      </c>
      <c r="E13553" t="s">
        <v>11</v>
      </c>
      <c r="F13553">
        <v>36</v>
      </c>
      <c r="G13553">
        <v>20</v>
      </c>
      <c r="H13553">
        <f t="shared" si="423"/>
        <v>16</v>
      </c>
    </row>
    <row r="13554" spans="1:8" x14ac:dyDescent="0.2">
      <c r="A13554" t="s">
        <v>7</v>
      </c>
      <c r="B13554" t="s">
        <v>33</v>
      </c>
      <c r="C13554" t="str">
        <f t="shared" si="424"/>
        <v>Cumple</v>
      </c>
      <c r="D13554">
        <v>9431</v>
      </c>
      <c r="E13554" t="s">
        <v>12</v>
      </c>
      <c r="F13554">
        <v>36</v>
      </c>
      <c r="G13554">
        <v>20</v>
      </c>
      <c r="H13554">
        <f t="shared" si="423"/>
        <v>16</v>
      </c>
    </row>
    <row r="13555" spans="1:8" x14ac:dyDescent="0.2">
      <c r="A13555" t="s">
        <v>7</v>
      </c>
      <c r="B13555" t="s">
        <v>33</v>
      </c>
      <c r="C13555" t="str">
        <f t="shared" si="424"/>
        <v>Cumple</v>
      </c>
      <c r="D13555">
        <v>3364</v>
      </c>
      <c r="E13555" t="s">
        <v>11</v>
      </c>
      <c r="F13555">
        <v>35</v>
      </c>
      <c r="G13555">
        <v>20</v>
      </c>
      <c r="H13555">
        <f t="shared" si="423"/>
        <v>15</v>
      </c>
    </row>
    <row r="13556" spans="1:8" x14ac:dyDescent="0.2">
      <c r="A13556" t="s">
        <v>7</v>
      </c>
      <c r="B13556" t="s">
        <v>33</v>
      </c>
      <c r="C13556" t="str">
        <f t="shared" si="424"/>
        <v>Cumple</v>
      </c>
      <c r="D13556">
        <v>3414</v>
      </c>
      <c r="E13556" t="s">
        <v>11</v>
      </c>
      <c r="F13556">
        <v>35</v>
      </c>
      <c r="G13556">
        <v>20</v>
      </c>
      <c r="H13556">
        <f t="shared" si="423"/>
        <v>15</v>
      </c>
    </row>
    <row r="13557" spans="1:8" x14ac:dyDescent="0.2">
      <c r="A13557" t="s">
        <v>7</v>
      </c>
      <c r="B13557" t="s">
        <v>33</v>
      </c>
      <c r="C13557" t="str">
        <f t="shared" si="424"/>
        <v>Cumple</v>
      </c>
      <c r="D13557">
        <v>9045</v>
      </c>
      <c r="E13557" t="s">
        <v>12</v>
      </c>
      <c r="F13557">
        <v>35</v>
      </c>
      <c r="G13557">
        <v>15</v>
      </c>
      <c r="H13557">
        <f t="shared" si="423"/>
        <v>20</v>
      </c>
    </row>
    <row r="13558" spans="1:8" x14ac:dyDescent="0.2">
      <c r="A13558" t="s">
        <v>7</v>
      </c>
      <c r="B13558" t="s">
        <v>33</v>
      </c>
      <c r="C13558" t="str">
        <f t="shared" si="424"/>
        <v>Cumple</v>
      </c>
      <c r="D13558">
        <v>3730</v>
      </c>
      <c r="E13558" t="s">
        <v>12</v>
      </c>
      <c r="F13558">
        <v>35</v>
      </c>
      <c r="G13558">
        <v>20</v>
      </c>
      <c r="H13558">
        <f t="shared" si="423"/>
        <v>15</v>
      </c>
    </row>
    <row r="13559" spans="1:8" x14ac:dyDescent="0.2">
      <c r="A13559" t="s">
        <v>7</v>
      </c>
      <c r="B13559" t="s">
        <v>33</v>
      </c>
      <c r="C13559" t="str">
        <f t="shared" si="424"/>
        <v>Cumple</v>
      </c>
      <c r="D13559">
        <v>1844</v>
      </c>
      <c r="E13559" t="s">
        <v>12</v>
      </c>
      <c r="F13559">
        <v>35</v>
      </c>
      <c r="G13559">
        <v>20</v>
      </c>
      <c r="H13559">
        <f t="shared" si="423"/>
        <v>15</v>
      </c>
    </row>
    <row r="13560" spans="1:8" x14ac:dyDescent="0.2">
      <c r="A13560" t="s">
        <v>7</v>
      </c>
      <c r="B13560" t="s">
        <v>33</v>
      </c>
      <c r="C13560" t="str">
        <f t="shared" si="424"/>
        <v>Cumple</v>
      </c>
      <c r="D13560">
        <v>3036</v>
      </c>
      <c r="E13560" t="s">
        <v>11</v>
      </c>
      <c r="F13560">
        <v>34</v>
      </c>
      <c r="G13560">
        <v>15</v>
      </c>
      <c r="H13560">
        <f t="shared" si="423"/>
        <v>19</v>
      </c>
    </row>
    <row r="13561" spans="1:8" x14ac:dyDescent="0.2">
      <c r="A13561" t="s">
        <v>7</v>
      </c>
      <c r="B13561" t="s">
        <v>33</v>
      </c>
      <c r="C13561" t="str">
        <f t="shared" si="424"/>
        <v>Cumple</v>
      </c>
      <c r="D13561">
        <v>3938</v>
      </c>
      <c r="E13561" t="s">
        <v>11</v>
      </c>
      <c r="F13561">
        <v>34</v>
      </c>
      <c r="G13561">
        <v>15</v>
      </c>
      <c r="H13561">
        <f t="shared" si="423"/>
        <v>19</v>
      </c>
    </row>
    <row r="13562" spans="1:8" x14ac:dyDescent="0.2">
      <c r="A13562" t="s">
        <v>7</v>
      </c>
      <c r="B13562" t="s">
        <v>33</v>
      </c>
      <c r="C13562" t="str">
        <f t="shared" si="424"/>
        <v>Cumple</v>
      </c>
      <c r="D13562">
        <v>3567</v>
      </c>
      <c r="E13562" t="s">
        <v>12</v>
      </c>
      <c r="F13562">
        <v>34</v>
      </c>
      <c r="G13562">
        <v>20</v>
      </c>
      <c r="H13562">
        <f t="shared" si="423"/>
        <v>14</v>
      </c>
    </row>
    <row r="13563" spans="1:8" x14ac:dyDescent="0.2">
      <c r="A13563" t="s">
        <v>7</v>
      </c>
      <c r="B13563" t="s">
        <v>33</v>
      </c>
      <c r="C13563" t="str">
        <f t="shared" si="424"/>
        <v>Cumple</v>
      </c>
      <c r="D13563">
        <v>3411</v>
      </c>
      <c r="E13563" t="s">
        <v>11</v>
      </c>
      <c r="F13563">
        <v>33</v>
      </c>
      <c r="G13563">
        <v>15</v>
      </c>
      <c r="H13563">
        <f t="shared" si="423"/>
        <v>18</v>
      </c>
    </row>
    <row r="13564" spans="1:8" x14ac:dyDescent="0.2">
      <c r="A13564" t="s">
        <v>7</v>
      </c>
      <c r="B13564" t="s">
        <v>33</v>
      </c>
      <c r="C13564" t="str">
        <f t="shared" si="424"/>
        <v>Cumple</v>
      </c>
      <c r="D13564">
        <v>952</v>
      </c>
      <c r="E13564" t="s">
        <v>10</v>
      </c>
      <c r="F13564">
        <v>33</v>
      </c>
      <c r="G13564">
        <v>20</v>
      </c>
      <c r="H13564">
        <f t="shared" si="423"/>
        <v>13</v>
      </c>
    </row>
    <row r="13565" spans="1:8" x14ac:dyDescent="0.2">
      <c r="A13565" t="s">
        <v>7</v>
      </c>
      <c r="B13565" t="s">
        <v>33</v>
      </c>
      <c r="C13565" t="str">
        <f t="shared" si="424"/>
        <v>Cumple</v>
      </c>
      <c r="D13565">
        <v>3460</v>
      </c>
      <c r="E13565" t="s">
        <v>11</v>
      </c>
      <c r="F13565">
        <v>33</v>
      </c>
      <c r="G13565">
        <v>20</v>
      </c>
      <c r="H13565">
        <f t="shared" si="423"/>
        <v>13</v>
      </c>
    </row>
    <row r="13566" spans="1:8" x14ac:dyDescent="0.2">
      <c r="A13566" t="s">
        <v>7</v>
      </c>
      <c r="B13566" t="s">
        <v>33</v>
      </c>
      <c r="C13566" t="str">
        <f t="shared" si="424"/>
        <v>Cumple</v>
      </c>
      <c r="D13566">
        <v>3118</v>
      </c>
      <c r="E13566" t="s">
        <v>11</v>
      </c>
      <c r="F13566">
        <v>33</v>
      </c>
      <c r="G13566">
        <v>20</v>
      </c>
      <c r="H13566">
        <f t="shared" si="423"/>
        <v>13</v>
      </c>
    </row>
    <row r="13567" spans="1:8" x14ac:dyDescent="0.2">
      <c r="A13567" t="s">
        <v>7</v>
      </c>
      <c r="B13567" t="s">
        <v>33</v>
      </c>
      <c r="C13567" t="str">
        <f t="shared" si="424"/>
        <v>Cumple</v>
      </c>
      <c r="D13567">
        <v>3299</v>
      </c>
      <c r="E13567" t="s">
        <v>11</v>
      </c>
      <c r="F13567">
        <v>33</v>
      </c>
      <c r="G13567">
        <v>20</v>
      </c>
      <c r="H13567">
        <f t="shared" si="423"/>
        <v>13</v>
      </c>
    </row>
    <row r="13568" spans="1:8" x14ac:dyDescent="0.2">
      <c r="A13568" t="s">
        <v>7</v>
      </c>
      <c r="B13568" t="s">
        <v>33</v>
      </c>
      <c r="C13568" t="str">
        <f t="shared" si="424"/>
        <v>Cumple</v>
      </c>
      <c r="D13568">
        <v>1131</v>
      </c>
      <c r="E13568" t="s">
        <v>12</v>
      </c>
      <c r="F13568">
        <v>33</v>
      </c>
      <c r="G13568">
        <v>15</v>
      </c>
      <c r="H13568">
        <f t="shared" si="423"/>
        <v>18</v>
      </c>
    </row>
    <row r="13569" spans="1:8" x14ac:dyDescent="0.2">
      <c r="A13569" t="s">
        <v>7</v>
      </c>
      <c r="B13569" t="s">
        <v>33</v>
      </c>
      <c r="C13569" t="str">
        <f t="shared" si="424"/>
        <v>Cumple</v>
      </c>
      <c r="D13569">
        <v>709</v>
      </c>
      <c r="E13569" t="s">
        <v>12</v>
      </c>
      <c r="F13569">
        <v>33</v>
      </c>
      <c r="G13569">
        <v>20</v>
      </c>
      <c r="H13569">
        <f t="shared" si="423"/>
        <v>13</v>
      </c>
    </row>
    <row r="13570" spans="1:8" x14ac:dyDescent="0.2">
      <c r="A13570" t="s">
        <v>7</v>
      </c>
      <c r="B13570" t="s">
        <v>33</v>
      </c>
      <c r="C13570" t="str">
        <f t="shared" si="424"/>
        <v>Cumple</v>
      </c>
      <c r="D13570">
        <v>1894</v>
      </c>
      <c r="E13570" t="s">
        <v>11</v>
      </c>
      <c r="F13570">
        <v>32</v>
      </c>
      <c r="G13570">
        <v>20</v>
      </c>
      <c r="H13570">
        <f t="shared" si="423"/>
        <v>12</v>
      </c>
    </row>
    <row r="13571" spans="1:8" x14ac:dyDescent="0.2">
      <c r="A13571" t="s">
        <v>7</v>
      </c>
      <c r="B13571" t="s">
        <v>33</v>
      </c>
      <c r="C13571" t="str">
        <f t="shared" si="424"/>
        <v>Cumple</v>
      </c>
      <c r="D13571">
        <v>1576</v>
      </c>
      <c r="E13571" t="s">
        <v>11</v>
      </c>
      <c r="F13571">
        <v>32</v>
      </c>
      <c r="G13571">
        <v>20</v>
      </c>
      <c r="H13571">
        <f t="shared" ref="H13571:H13634" si="425">F13571-G13571</f>
        <v>12</v>
      </c>
    </row>
    <row r="13572" spans="1:8" x14ac:dyDescent="0.2">
      <c r="A13572" t="s">
        <v>7</v>
      </c>
      <c r="B13572" t="s">
        <v>33</v>
      </c>
      <c r="C13572" t="str">
        <f t="shared" si="424"/>
        <v>Cumple</v>
      </c>
      <c r="D13572">
        <v>3378</v>
      </c>
      <c r="E13572" t="s">
        <v>10</v>
      </c>
      <c r="F13572">
        <v>32</v>
      </c>
      <c r="G13572">
        <v>20</v>
      </c>
      <c r="H13572">
        <f t="shared" si="425"/>
        <v>12</v>
      </c>
    </row>
    <row r="13573" spans="1:8" x14ac:dyDescent="0.2">
      <c r="A13573" t="s">
        <v>7</v>
      </c>
      <c r="B13573" t="s">
        <v>33</v>
      </c>
      <c r="C13573" t="str">
        <f t="shared" ref="C13573:C13636" si="426">IF(H13573&gt;=0,"Cumple","No cumple")</f>
        <v>Cumple</v>
      </c>
      <c r="D13573">
        <v>9099</v>
      </c>
      <c r="E13573" t="s">
        <v>10</v>
      </c>
      <c r="F13573">
        <v>32</v>
      </c>
      <c r="G13573">
        <v>20</v>
      </c>
      <c r="H13573">
        <f t="shared" si="425"/>
        <v>12</v>
      </c>
    </row>
    <row r="13574" spans="1:8" x14ac:dyDescent="0.2">
      <c r="A13574" t="s">
        <v>7</v>
      </c>
      <c r="B13574" t="s">
        <v>33</v>
      </c>
      <c r="C13574" t="str">
        <f t="shared" si="426"/>
        <v>Cumple</v>
      </c>
      <c r="D13574">
        <v>3708</v>
      </c>
      <c r="E13574" t="s">
        <v>10</v>
      </c>
      <c r="F13574">
        <v>32</v>
      </c>
      <c r="G13574">
        <v>20</v>
      </c>
      <c r="H13574">
        <f t="shared" si="425"/>
        <v>12</v>
      </c>
    </row>
    <row r="13575" spans="1:8" x14ac:dyDescent="0.2">
      <c r="A13575" t="s">
        <v>7</v>
      </c>
      <c r="B13575" t="s">
        <v>33</v>
      </c>
      <c r="C13575" t="str">
        <f t="shared" si="426"/>
        <v>Cumple</v>
      </c>
      <c r="D13575">
        <v>3830</v>
      </c>
      <c r="E13575" t="s">
        <v>11</v>
      </c>
      <c r="F13575">
        <v>31</v>
      </c>
      <c r="G13575">
        <v>15</v>
      </c>
      <c r="H13575">
        <f t="shared" si="425"/>
        <v>16</v>
      </c>
    </row>
    <row r="13576" spans="1:8" x14ac:dyDescent="0.2">
      <c r="A13576" t="s">
        <v>7</v>
      </c>
      <c r="B13576" t="s">
        <v>33</v>
      </c>
      <c r="C13576" t="str">
        <f t="shared" si="426"/>
        <v>Cumple</v>
      </c>
      <c r="D13576">
        <v>3850</v>
      </c>
      <c r="E13576" t="s">
        <v>11</v>
      </c>
      <c r="F13576">
        <v>31</v>
      </c>
      <c r="G13576">
        <v>20</v>
      </c>
      <c r="H13576">
        <f t="shared" si="425"/>
        <v>11</v>
      </c>
    </row>
    <row r="13577" spans="1:8" x14ac:dyDescent="0.2">
      <c r="A13577" t="s">
        <v>7</v>
      </c>
      <c r="B13577" t="s">
        <v>33</v>
      </c>
      <c r="C13577" t="str">
        <f t="shared" si="426"/>
        <v>Cumple</v>
      </c>
      <c r="D13577">
        <v>1738</v>
      </c>
      <c r="E13577" t="s">
        <v>11</v>
      </c>
      <c r="F13577">
        <v>31</v>
      </c>
      <c r="G13577">
        <v>20</v>
      </c>
      <c r="H13577">
        <f t="shared" si="425"/>
        <v>11</v>
      </c>
    </row>
    <row r="13578" spans="1:8" x14ac:dyDescent="0.2">
      <c r="A13578" t="s">
        <v>7</v>
      </c>
      <c r="B13578" t="s">
        <v>33</v>
      </c>
      <c r="C13578" t="str">
        <f t="shared" si="426"/>
        <v>Cumple</v>
      </c>
      <c r="D13578">
        <v>3102</v>
      </c>
      <c r="E13578" t="s">
        <v>10</v>
      </c>
      <c r="F13578">
        <v>31</v>
      </c>
      <c r="G13578">
        <v>20</v>
      </c>
      <c r="H13578">
        <f t="shared" si="425"/>
        <v>11</v>
      </c>
    </row>
    <row r="13579" spans="1:8" x14ac:dyDescent="0.2">
      <c r="A13579" t="s">
        <v>7</v>
      </c>
      <c r="B13579" t="s">
        <v>33</v>
      </c>
      <c r="C13579" t="str">
        <f t="shared" si="426"/>
        <v>Cumple</v>
      </c>
      <c r="D13579">
        <v>3061</v>
      </c>
      <c r="E13579" t="s">
        <v>10</v>
      </c>
      <c r="F13579">
        <v>31</v>
      </c>
      <c r="G13579">
        <v>20</v>
      </c>
      <c r="H13579">
        <f t="shared" si="425"/>
        <v>11</v>
      </c>
    </row>
    <row r="13580" spans="1:8" x14ac:dyDescent="0.2">
      <c r="A13580" t="s">
        <v>7</v>
      </c>
      <c r="B13580" t="s">
        <v>33</v>
      </c>
      <c r="C13580" t="str">
        <f t="shared" si="426"/>
        <v>Cumple</v>
      </c>
      <c r="D13580">
        <v>3800</v>
      </c>
      <c r="E13580" t="s">
        <v>10</v>
      </c>
      <c r="F13580">
        <v>31</v>
      </c>
      <c r="G13580">
        <v>20</v>
      </c>
      <c r="H13580">
        <f t="shared" si="425"/>
        <v>11</v>
      </c>
    </row>
    <row r="13581" spans="1:8" x14ac:dyDescent="0.2">
      <c r="A13581" t="s">
        <v>7</v>
      </c>
      <c r="B13581" t="s">
        <v>33</v>
      </c>
      <c r="C13581" t="str">
        <f t="shared" si="426"/>
        <v>Cumple</v>
      </c>
      <c r="D13581">
        <v>1893</v>
      </c>
      <c r="E13581" t="s">
        <v>12</v>
      </c>
      <c r="F13581">
        <v>31</v>
      </c>
      <c r="G13581">
        <v>20</v>
      </c>
      <c r="H13581">
        <f t="shared" si="425"/>
        <v>11</v>
      </c>
    </row>
    <row r="13582" spans="1:8" x14ac:dyDescent="0.2">
      <c r="A13582" t="s">
        <v>7</v>
      </c>
      <c r="B13582" t="s">
        <v>33</v>
      </c>
      <c r="C13582" t="str">
        <f t="shared" si="426"/>
        <v>Cumple</v>
      </c>
      <c r="D13582">
        <v>4027</v>
      </c>
      <c r="E13582" t="s">
        <v>11</v>
      </c>
      <c r="F13582">
        <v>30</v>
      </c>
      <c r="G13582">
        <v>15</v>
      </c>
      <c r="H13582">
        <f t="shared" si="425"/>
        <v>15</v>
      </c>
    </row>
    <row r="13583" spans="1:8" x14ac:dyDescent="0.2">
      <c r="A13583" t="s">
        <v>7</v>
      </c>
      <c r="B13583" t="s">
        <v>33</v>
      </c>
      <c r="C13583" t="str">
        <f t="shared" si="426"/>
        <v>Cumple</v>
      </c>
      <c r="D13583">
        <v>9480</v>
      </c>
      <c r="E13583" t="s">
        <v>11</v>
      </c>
      <c r="F13583">
        <v>30</v>
      </c>
      <c r="G13583">
        <v>20</v>
      </c>
      <c r="H13583">
        <f t="shared" si="425"/>
        <v>10</v>
      </c>
    </row>
    <row r="13584" spans="1:8" x14ac:dyDescent="0.2">
      <c r="A13584" t="s">
        <v>7</v>
      </c>
      <c r="B13584" t="s">
        <v>33</v>
      </c>
      <c r="C13584" t="str">
        <f t="shared" si="426"/>
        <v>Cumple</v>
      </c>
      <c r="D13584">
        <v>3621</v>
      </c>
      <c r="E13584" t="s">
        <v>11</v>
      </c>
      <c r="F13584">
        <v>30</v>
      </c>
      <c r="G13584">
        <v>20</v>
      </c>
      <c r="H13584">
        <f t="shared" si="425"/>
        <v>10</v>
      </c>
    </row>
    <row r="13585" spans="1:8" x14ac:dyDescent="0.2">
      <c r="A13585" t="s">
        <v>7</v>
      </c>
      <c r="B13585" t="s">
        <v>33</v>
      </c>
      <c r="C13585" t="str">
        <f t="shared" si="426"/>
        <v>Cumple</v>
      </c>
      <c r="D13585">
        <v>3471</v>
      </c>
      <c r="E13585" t="s">
        <v>10</v>
      </c>
      <c r="F13585">
        <v>30</v>
      </c>
      <c r="G13585">
        <v>20</v>
      </c>
      <c r="H13585">
        <f t="shared" si="425"/>
        <v>10</v>
      </c>
    </row>
    <row r="13586" spans="1:8" x14ac:dyDescent="0.2">
      <c r="A13586" t="s">
        <v>7</v>
      </c>
      <c r="B13586" t="s">
        <v>33</v>
      </c>
      <c r="C13586" t="str">
        <f t="shared" si="426"/>
        <v>Cumple</v>
      </c>
      <c r="D13586">
        <v>9948</v>
      </c>
      <c r="E13586" t="s">
        <v>12</v>
      </c>
      <c r="F13586">
        <v>30</v>
      </c>
      <c r="G13586">
        <v>20</v>
      </c>
      <c r="H13586">
        <f t="shared" si="425"/>
        <v>10</v>
      </c>
    </row>
    <row r="13587" spans="1:8" x14ac:dyDescent="0.2">
      <c r="A13587" t="s">
        <v>7</v>
      </c>
      <c r="B13587" t="s">
        <v>33</v>
      </c>
      <c r="C13587" t="str">
        <f t="shared" si="426"/>
        <v>Cumple</v>
      </c>
      <c r="D13587">
        <v>3638</v>
      </c>
      <c r="E13587" t="s">
        <v>12</v>
      </c>
      <c r="F13587">
        <v>30</v>
      </c>
      <c r="G13587">
        <v>20</v>
      </c>
      <c r="H13587">
        <f t="shared" si="425"/>
        <v>10</v>
      </c>
    </row>
    <row r="13588" spans="1:8" x14ac:dyDescent="0.2">
      <c r="A13588" t="s">
        <v>7</v>
      </c>
      <c r="B13588" t="s">
        <v>33</v>
      </c>
      <c r="C13588" t="str">
        <f t="shared" si="426"/>
        <v>Cumple</v>
      </c>
      <c r="D13588">
        <v>2440</v>
      </c>
      <c r="E13588" t="s">
        <v>11</v>
      </c>
      <c r="F13588">
        <v>29</v>
      </c>
      <c r="G13588">
        <v>20</v>
      </c>
      <c r="H13588">
        <f t="shared" si="425"/>
        <v>9</v>
      </c>
    </row>
    <row r="13589" spans="1:8" x14ac:dyDescent="0.2">
      <c r="A13589" t="s">
        <v>7</v>
      </c>
      <c r="B13589" t="s">
        <v>33</v>
      </c>
      <c r="C13589" t="str">
        <f t="shared" si="426"/>
        <v>Cumple</v>
      </c>
      <c r="D13589">
        <v>3934</v>
      </c>
      <c r="E13589" t="s">
        <v>11</v>
      </c>
      <c r="F13589">
        <v>29</v>
      </c>
      <c r="G13589">
        <v>15</v>
      </c>
      <c r="H13589">
        <f t="shared" si="425"/>
        <v>14</v>
      </c>
    </row>
    <row r="13590" spans="1:8" x14ac:dyDescent="0.2">
      <c r="A13590" t="s">
        <v>7</v>
      </c>
      <c r="B13590" t="s">
        <v>33</v>
      </c>
      <c r="C13590" t="str">
        <f t="shared" si="426"/>
        <v>Cumple</v>
      </c>
      <c r="D13590">
        <v>2777</v>
      </c>
      <c r="E13590" t="s">
        <v>11</v>
      </c>
      <c r="F13590">
        <v>29</v>
      </c>
      <c r="G13590">
        <v>15</v>
      </c>
      <c r="H13590">
        <f t="shared" si="425"/>
        <v>14</v>
      </c>
    </row>
    <row r="13591" spans="1:8" x14ac:dyDescent="0.2">
      <c r="A13591" t="s">
        <v>7</v>
      </c>
      <c r="B13591" t="s">
        <v>33</v>
      </c>
      <c r="C13591" t="str">
        <f t="shared" si="426"/>
        <v>Cumple</v>
      </c>
      <c r="D13591">
        <v>3707</v>
      </c>
      <c r="E13591" t="s">
        <v>11</v>
      </c>
      <c r="F13591">
        <v>29</v>
      </c>
      <c r="G13591">
        <v>20</v>
      </c>
      <c r="H13591">
        <f t="shared" si="425"/>
        <v>9</v>
      </c>
    </row>
    <row r="13592" spans="1:8" x14ac:dyDescent="0.2">
      <c r="A13592" t="s">
        <v>7</v>
      </c>
      <c r="B13592" t="s">
        <v>33</v>
      </c>
      <c r="C13592" t="str">
        <f t="shared" si="426"/>
        <v>Cumple</v>
      </c>
      <c r="D13592">
        <v>629</v>
      </c>
      <c r="E13592" t="s">
        <v>10</v>
      </c>
      <c r="F13592">
        <v>29</v>
      </c>
      <c r="G13592">
        <v>20</v>
      </c>
      <c r="H13592">
        <f t="shared" si="425"/>
        <v>9</v>
      </c>
    </row>
    <row r="13593" spans="1:8" x14ac:dyDescent="0.2">
      <c r="A13593" t="s">
        <v>7</v>
      </c>
      <c r="B13593" t="s">
        <v>33</v>
      </c>
      <c r="C13593" t="str">
        <f t="shared" si="426"/>
        <v>Cumple</v>
      </c>
      <c r="D13593">
        <v>3487</v>
      </c>
      <c r="E13593" t="s">
        <v>10</v>
      </c>
      <c r="F13593">
        <v>29</v>
      </c>
      <c r="G13593">
        <v>20</v>
      </c>
      <c r="H13593">
        <f t="shared" si="425"/>
        <v>9</v>
      </c>
    </row>
    <row r="13594" spans="1:8" x14ac:dyDescent="0.2">
      <c r="A13594" t="s">
        <v>7</v>
      </c>
      <c r="B13594" t="s">
        <v>33</v>
      </c>
      <c r="C13594" t="str">
        <f t="shared" si="426"/>
        <v>Cumple</v>
      </c>
      <c r="D13594">
        <v>3461</v>
      </c>
      <c r="E13594" t="s">
        <v>12</v>
      </c>
      <c r="F13594">
        <v>29</v>
      </c>
      <c r="G13594">
        <v>20</v>
      </c>
      <c r="H13594">
        <f t="shared" si="425"/>
        <v>9</v>
      </c>
    </row>
    <row r="13595" spans="1:8" x14ac:dyDescent="0.2">
      <c r="A13595" t="s">
        <v>7</v>
      </c>
      <c r="B13595" t="s">
        <v>33</v>
      </c>
      <c r="C13595" t="str">
        <f t="shared" si="426"/>
        <v>Cumple</v>
      </c>
      <c r="D13595">
        <v>1874</v>
      </c>
      <c r="E13595" t="s">
        <v>12</v>
      </c>
      <c r="F13595">
        <v>29</v>
      </c>
      <c r="G13595">
        <v>20</v>
      </c>
      <c r="H13595">
        <f t="shared" si="425"/>
        <v>9</v>
      </c>
    </row>
    <row r="13596" spans="1:8" x14ac:dyDescent="0.2">
      <c r="A13596" t="s">
        <v>7</v>
      </c>
      <c r="B13596" t="s">
        <v>33</v>
      </c>
      <c r="C13596" t="str">
        <f t="shared" si="426"/>
        <v>Cumple</v>
      </c>
      <c r="D13596">
        <v>3948</v>
      </c>
      <c r="E13596" t="s">
        <v>11</v>
      </c>
      <c r="F13596">
        <v>28</v>
      </c>
      <c r="G13596">
        <v>15</v>
      </c>
      <c r="H13596">
        <f t="shared" si="425"/>
        <v>13</v>
      </c>
    </row>
    <row r="13597" spans="1:8" x14ac:dyDescent="0.2">
      <c r="A13597" t="s">
        <v>7</v>
      </c>
      <c r="B13597" t="s">
        <v>33</v>
      </c>
      <c r="C13597" t="str">
        <f t="shared" si="426"/>
        <v>Cumple</v>
      </c>
      <c r="D13597">
        <v>3132</v>
      </c>
      <c r="E13597" t="s">
        <v>11</v>
      </c>
      <c r="F13597">
        <v>28</v>
      </c>
      <c r="G13597">
        <v>15</v>
      </c>
      <c r="H13597">
        <f t="shared" si="425"/>
        <v>13</v>
      </c>
    </row>
    <row r="13598" spans="1:8" x14ac:dyDescent="0.2">
      <c r="A13598" t="s">
        <v>7</v>
      </c>
      <c r="B13598" t="s">
        <v>33</v>
      </c>
      <c r="C13598" t="str">
        <f t="shared" si="426"/>
        <v>Cumple</v>
      </c>
      <c r="D13598">
        <v>4041</v>
      </c>
      <c r="E13598" t="s">
        <v>11</v>
      </c>
      <c r="F13598">
        <v>28</v>
      </c>
      <c r="G13598">
        <v>15</v>
      </c>
      <c r="H13598">
        <f t="shared" si="425"/>
        <v>13</v>
      </c>
    </row>
    <row r="13599" spans="1:8" x14ac:dyDescent="0.2">
      <c r="A13599" t="s">
        <v>7</v>
      </c>
      <c r="B13599" t="s">
        <v>33</v>
      </c>
      <c r="C13599" t="str">
        <f t="shared" si="426"/>
        <v>Cumple</v>
      </c>
      <c r="D13599">
        <v>1771</v>
      </c>
      <c r="E13599" t="s">
        <v>11</v>
      </c>
      <c r="F13599">
        <v>28</v>
      </c>
      <c r="G13599">
        <v>15</v>
      </c>
      <c r="H13599">
        <f t="shared" si="425"/>
        <v>13</v>
      </c>
    </row>
    <row r="13600" spans="1:8" x14ac:dyDescent="0.2">
      <c r="A13600" t="s">
        <v>7</v>
      </c>
      <c r="B13600" t="s">
        <v>33</v>
      </c>
      <c r="C13600" t="str">
        <f t="shared" si="426"/>
        <v>Cumple</v>
      </c>
      <c r="D13600">
        <v>3432</v>
      </c>
      <c r="E13600" t="s">
        <v>11</v>
      </c>
      <c r="F13600">
        <v>28</v>
      </c>
      <c r="G13600">
        <v>20</v>
      </c>
      <c r="H13600">
        <f t="shared" si="425"/>
        <v>8</v>
      </c>
    </row>
    <row r="13601" spans="1:8" x14ac:dyDescent="0.2">
      <c r="A13601" t="s">
        <v>7</v>
      </c>
      <c r="B13601" t="s">
        <v>33</v>
      </c>
      <c r="C13601" t="str">
        <f t="shared" si="426"/>
        <v>Cumple</v>
      </c>
      <c r="D13601">
        <v>3682</v>
      </c>
      <c r="E13601" t="s">
        <v>10</v>
      </c>
      <c r="F13601">
        <v>28</v>
      </c>
      <c r="G13601">
        <v>15</v>
      </c>
      <c r="H13601">
        <f t="shared" si="425"/>
        <v>13</v>
      </c>
    </row>
    <row r="13602" spans="1:8" x14ac:dyDescent="0.2">
      <c r="A13602" t="s">
        <v>7</v>
      </c>
      <c r="B13602" t="s">
        <v>33</v>
      </c>
      <c r="C13602" t="str">
        <f t="shared" si="426"/>
        <v>Cumple</v>
      </c>
      <c r="D13602">
        <v>9376</v>
      </c>
      <c r="E13602" t="s">
        <v>11</v>
      </c>
      <c r="F13602">
        <v>28</v>
      </c>
      <c r="G13602">
        <v>15</v>
      </c>
      <c r="H13602">
        <f t="shared" si="425"/>
        <v>13</v>
      </c>
    </row>
    <row r="13603" spans="1:8" x14ac:dyDescent="0.2">
      <c r="A13603" t="s">
        <v>7</v>
      </c>
      <c r="B13603" t="s">
        <v>33</v>
      </c>
      <c r="C13603" t="str">
        <f t="shared" si="426"/>
        <v>Cumple</v>
      </c>
      <c r="D13603">
        <v>2609</v>
      </c>
      <c r="E13603" t="s">
        <v>10</v>
      </c>
      <c r="F13603">
        <v>28</v>
      </c>
      <c r="G13603">
        <v>20</v>
      </c>
      <c r="H13603">
        <f t="shared" si="425"/>
        <v>8</v>
      </c>
    </row>
    <row r="13604" spans="1:8" x14ac:dyDescent="0.2">
      <c r="A13604" t="s">
        <v>7</v>
      </c>
      <c r="B13604" t="s">
        <v>33</v>
      </c>
      <c r="C13604" t="str">
        <f t="shared" si="426"/>
        <v>Cumple</v>
      </c>
      <c r="D13604">
        <v>3153</v>
      </c>
      <c r="E13604" t="s">
        <v>10</v>
      </c>
      <c r="F13604">
        <v>27</v>
      </c>
      <c r="G13604">
        <v>20</v>
      </c>
      <c r="H13604">
        <f t="shared" si="425"/>
        <v>7</v>
      </c>
    </row>
    <row r="13605" spans="1:8" x14ac:dyDescent="0.2">
      <c r="A13605" t="s">
        <v>7</v>
      </c>
      <c r="B13605" t="s">
        <v>33</v>
      </c>
      <c r="C13605" t="str">
        <f t="shared" si="426"/>
        <v>Cumple</v>
      </c>
      <c r="D13605">
        <v>2889</v>
      </c>
      <c r="E13605" t="s">
        <v>10</v>
      </c>
      <c r="F13605">
        <v>27</v>
      </c>
      <c r="G13605">
        <v>20</v>
      </c>
      <c r="H13605">
        <f t="shared" si="425"/>
        <v>7</v>
      </c>
    </row>
    <row r="13606" spans="1:8" x14ac:dyDescent="0.2">
      <c r="A13606" t="s">
        <v>7</v>
      </c>
      <c r="B13606" t="s">
        <v>33</v>
      </c>
      <c r="C13606" t="str">
        <f t="shared" si="426"/>
        <v>Cumple</v>
      </c>
      <c r="D13606">
        <v>3521</v>
      </c>
      <c r="E13606" t="s">
        <v>10</v>
      </c>
      <c r="F13606">
        <v>27</v>
      </c>
      <c r="G13606">
        <v>20</v>
      </c>
      <c r="H13606">
        <f t="shared" si="425"/>
        <v>7</v>
      </c>
    </row>
    <row r="13607" spans="1:8" x14ac:dyDescent="0.2">
      <c r="A13607" t="s">
        <v>7</v>
      </c>
      <c r="B13607" t="s">
        <v>33</v>
      </c>
      <c r="C13607" t="str">
        <f t="shared" si="426"/>
        <v>Cumple</v>
      </c>
      <c r="D13607">
        <v>3014</v>
      </c>
      <c r="E13607" t="s">
        <v>10</v>
      </c>
      <c r="F13607">
        <v>27</v>
      </c>
      <c r="G13607">
        <v>20</v>
      </c>
      <c r="H13607">
        <f t="shared" si="425"/>
        <v>7</v>
      </c>
    </row>
    <row r="13608" spans="1:8" x14ac:dyDescent="0.2">
      <c r="A13608" t="s">
        <v>7</v>
      </c>
      <c r="B13608" t="s">
        <v>33</v>
      </c>
      <c r="C13608" t="str">
        <f t="shared" si="426"/>
        <v>Cumple</v>
      </c>
      <c r="D13608">
        <v>3924</v>
      </c>
      <c r="E13608" s="19" t="s">
        <v>12</v>
      </c>
      <c r="F13608">
        <v>27</v>
      </c>
      <c r="G13608">
        <v>20</v>
      </c>
      <c r="H13608">
        <f t="shared" si="425"/>
        <v>7</v>
      </c>
    </row>
    <row r="13609" spans="1:8" x14ac:dyDescent="0.2">
      <c r="A13609" t="s">
        <v>7</v>
      </c>
      <c r="B13609" t="s">
        <v>33</v>
      </c>
      <c r="C13609" t="str">
        <f t="shared" si="426"/>
        <v>Cumple</v>
      </c>
      <c r="D13609">
        <v>1532</v>
      </c>
      <c r="E13609" t="s">
        <v>11</v>
      </c>
      <c r="F13609">
        <v>26</v>
      </c>
      <c r="G13609">
        <v>20</v>
      </c>
      <c r="H13609">
        <f t="shared" si="425"/>
        <v>6</v>
      </c>
    </row>
    <row r="13610" spans="1:8" x14ac:dyDescent="0.2">
      <c r="A13610" t="s">
        <v>7</v>
      </c>
      <c r="B13610" t="s">
        <v>33</v>
      </c>
      <c r="C13610" t="str">
        <f t="shared" si="426"/>
        <v>Cumple</v>
      </c>
      <c r="D13610">
        <v>3829</v>
      </c>
      <c r="E13610" t="s">
        <v>11</v>
      </c>
      <c r="F13610">
        <v>26</v>
      </c>
      <c r="G13610">
        <v>20</v>
      </c>
      <c r="H13610">
        <f t="shared" si="425"/>
        <v>6</v>
      </c>
    </row>
    <row r="13611" spans="1:8" x14ac:dyDescent="0.2">
      <c r="A13611" t="s">
        <v>7</v>
      </c>
      <c r="B13611" t="s">
        <v>33</v>
      </c>
      <c r="C13611" t="str">
        <f t="shared" si="426"/>
        <v>Cumple</v>
      </c>
      <c r="D13611">
        <v>3457</v>
      </c>
      <c r="E13611" t="s">
        <v>11</v>
      </c>
      <c r="F13611">
        <v>26</v>
      </c>
      <c r="G13611">
        <v>20</v>
      </c>
      <c r="H13611">
        <f t="shared" si="425"/>
        <v>6</v>
      </c>
    </row>
    <row r="13612" spans="1:8" x14ac:dyDescent="0.2">
      <c r="A13612" t="s">
        <v>7</v>
      </c>
      <c r="B13612" t="s">
        <v>33</v>
      </c>
      <c r="C13612" t="str">
        <f t="shared" si="426"/>
        <v>Cumple</v>
      </c>
      <c r="D13612">
        <v>3786</v>
      </c>
      <c r="E13612" t="s">
        <v>11</v>
      </c>
      <c r="F13612">
        <v>26</v>
      </c>
      <c r="G13612">
        <v>20</v>
      </c>
      <c r="H13612">
        <f t="shared" si="425"/>
        <v>6</v>
      </c>
    </row>
    <row r="13613" spans="1:8" x14ac:dyDescent="0.2">
      <c r="A13613" t="s">
        <v>7</v>
      </c>
      <c r="B13613" t="s">
        <v>33</v>
      </c>
      <c r="C13613" t="str">
        <f t="shared" si="426"/>
        <v>Cumple</v>
      </c>
      <c r="D13613">
        <v>9461</v>
      </c>
      <c r="E13613" t="s">
        <v>11</v>
      </c>
      <c r="F13613">
        <v>26</v>
      </c>
      <c r="G13613">
        <v>20</v>
      </c>
      <c r="H13613">
        <f t="shared" si="425"/>
        <v>6</v>
      </c>
    </row>
    <row r="13614" spans="1:8" x14ac:dyDescent="0.2">
      <c r="A13614" t="s">
        <v>7</v>
      </c>
      <c r="B13614" t="s">
        <v>33</v>
      </c>
      <c r="C13614" t="str">
        <f t="shared" si="426"/>
        <v>Cumple</v>
      </c>
      <c r="D13614">
        <v>9172</v>
      </c>
      <c r="E13614" t="s">
        <v>12</v>
      </c>
      <c r="F13614">
        <v>26</v>
      </c>
      <c r="G13614">
        <v>20</v>
      </c>
      <c r="H13614">
        <f t="shared" si="425"/>
        <v>6</v>
      </c>
    </row>
    <row r="13615" spans="1:8" x14ac:dyDescent="0.2">
      <c r="A13615" t="s">
        <v>7</v>
      </c>
      <c r="B13615" t="s">
        <v>33</v>
      </c>
      <c r="C13615" t="str">
        <f t="shared" si="426"/>
        <v>Cumple</v>
      </c>
      <c r="D13615">
        <v>2961</v>
      </c>
      <c r="E13615" t="s">
        <v>12</v>
      </c>
      <c r="F13615">
        <v>26</v>
      </c>
      <c r="G13615">
        <v>20</v>
      </c>
      <c r="H13615">
        <f t="shared" si="425"/>
        <v>6</v>
      </c>
    </row>
    <row r="13616" spans="1:8" x14ac:dyDescent="0.2">
      <c r="A13616" t="s">
        <v>7</v>
      </c>
      <c r="B13616" t="s">
        <v>33</v>
      </c>
      <c r="C13616" t="str">
        <f t="shared" si="426"/>
        <v>Cumple</v>
      </c>
      <c r="D13616">
        <v>3568</v>
      </c>
      <c r="E13616" t="s">
        <v>12</v>
      </c>
      <c r="F13616">
        <v>26</v>
      </c>
      <c r="G13616">
        <v>20</v>
      </c>
      <c r="H13616">
        <f t="shared" si="425"/>
        <v>6</v>
      </c>
    </row>
    <row r="13617" spans="1:8" x14ac:dyDescent="0.2">
      <c r="A13617" t="s">
        <v>7</v>
      </c>
      <c r="B13617" t="s">
        <v>33</v>
      </c>
      <c r="C13617" t="str">
        <f t="shared" si="426"/>
        <v>Cumple</v>
      </c>
      <c r="D13617">
        <v>127</v>
      </c>
      <c r="E13617" t="s">
        <v>11</v>
      </c>
      <c r="F13617">
        <v>25</v>
      </c>
      <c r="G13617">
        <v>15</v>
      </c>
      <c r="H13617">
        <f t="shared" si="425"/>
        <v>10</v>
      </c>
    </row>
    <row r="13618" spans="1:8" x14ac:dyDescent="0.2">
      <c r="A13618" t="s">
        <v>7</v>
      </c>
      <c r="B13618" t="s">
        <v>33</v>
      </c>
      <c r="C13618" t="str">
        <f t="shared" si="426"/>
        <v>Cumple</v>
      </c>
      <c r="D13618">
        <v>3006</v>
      </c>
      <c r="E13618" t="s">
        <v>11</v>
      </c>
      <c r="F13618">
        <v>25</v>
      </c>
      <c r="G13618">
        <v>20</v>
      </c>
      <c r="H13618">
        <f t="shared" si="425"/>
        <v>5</v>
      </c>
    </row>
    <row r="13619" spans="1:8" x14ac:dyDescent="0.2">
      <c r="A13619" t="s">
        <v>7</v>
      </c>
      <c r="B13619" t="s">
        <v>33</v>
      </c>
      <c r="C13619" t="str">
        <f t="shared" si="426"/>
        <v>Cumple</v>
      </c>
      <c r="D13619">
        <v>3113</v>
      </c>
      <c r="E13619" t="s">
        <v>11</v>
      </c>
      <c r="F13619">
        <v>25</v>
      </c>
      <c r="G13619">
        <v>15</v>
      </c>
      <c r="H13619">
        <f t="shared" si="425"/>
        <v>10</v>
      </c>
    </row>
    <row r="13620" spans="1:8" x14ac:dyDescent="0.2">
      <c r="A13620" t="s">
        <v>7</v>
      </c>
      <c r="B13620" t="s">
        <v>33</v>
      </c>
      <c r="C13620" t="str">
        <f t="shared" si="426"/>
        <v>Cumple</v>
      </c>
      <c r="D13620">
        <v>3686</v>
      </c>
      <c r="E13620" t="s">
        <v>11</v>
      </c>
      <c r="F13620">
        <v>25</v>
      </c>
      <c r="G13620">
        <v>15</v>
      </c>
      <c r="H13620">
        <f t="shared" si="425"/>
        <v>10</v>
      </c>
    </row>
    <row r="13621" spans="1:8" x14ac:dyDescent="0.2">
      <c r="A13621" t="s">
        <v>7</v>
      </c>
      <c r="B13621" t="s">
        <v>33</v>
      </c>
      <c r="C13621" t="str">
        <f t="shared" si="426"/>
        <v>Cumple</v>
      </c>
      <c r="D13621">
        <v>9630</v>
      </c>
      <c r="E13621" t="s">
        <v>10</v>
      </c>
      <c r="F13621">
        <v>25</v>
      </c>
      <c r="G13621">
        <v>20</v>
      </c>
      <c r="H13621">
        <f t="shared" si="425"/>
        <v>5</v>
      </c>
    </row>
    <row r="13622" spans="1:8" x14ac:dyDescent="0.2">
      <c r="A13622" t="s">
        <v>7</v>
      </c>
      <c r="B13622" t="s">
        <v>33</v>
      </c>
      <c r="C13622" t="str">
        <f t="shared" si="426"/>
        <v>Cumple</v>
      </c>
      <c r="D13622">
        <v>9769</v>
      </c>
      <c r="E13622" t="s">
        <v>10</v>
      </c>
      <c r="F13622">
        <v>25</v>
      </c>
      <c r="G13622">
        <v>20</v>
      </c>
      <c r="H13622">
        <f t="shared" si="425"/>
        <v>5</v>
      </c>
    </row>
    <row r="13623" spans="1:8" x14ac:dyDescent="0.2">
      <c r="A13623" t="s">
        <v>7</v>
      </c>
      <c r="B13623" t="s">
        <v>33</v>
      </c>
      <c r="C13623" t="str">
        <f t="shared" si="426"/>
        <v>Cumple</v>
      </c>
      <c r="D13623">
        <v>3488</v>
      </c>
      <c r="E13623" t="s">
        <v>10</v>
      </c>
      <c r="F13623">
        <v>25</v>
      </c>
      <c r="G13623">
        <v>20</v>
      </c>
      <c r="H13623">
        <f t="shared" si="425"/>
        <v>5</v>
      </c>
    </row>
    <row r="13624" spans="1:8" x14ac:dyDescent="0.2">
      <c r="A13624" t="s">
        <v>7</v>
      </c>
      <c r="B13624" t="s">
        <v>33</v>
      </c>
      <c r="C13624" t="str">
        <f t="shared" si="426"/>
        <v>Cumple</v>
      </c>
      <c r="D13624">
        <v>3504</v>
      </c>
      <c r="E13624" t="s">
        <v>11</v>
      </c>
      <c r="F13624">
        <v>25</v>
      </c>
      <c r="G13624">
        <v>15</v>
      </c>
      <c r="H13624">
        <f t="shared" si="425"/>
        <v>10</v>
      </c>
    </row>
    <row r="13625" spans="1:8" x14ac:dyDescent="0.2">
      <c r="A13625" t="s">
        <v>7</v>
      </c>
      <c r="B13625" t="s">
        <v>33</v>
      </c>
      <c r="C13625" t="str">
        <f t="shared" si="426"/>
        <v>Cumple</v>
      </c>
      <c r="D13625">
        <v>3238</v>
      </c>
      <c r="E13625" t="s">
        <v>11</v>
      </c>
      <c r="F13625">
        <v>25</v>
      </c>
      <c r="G13625">
        <v>15</v>
      </c>
      <c r="H13625">
        <f t="shared" si="425"/>
        <v>10</v>
      </c>
    </row>
    <row r="13626" spans="1:8" x14ac:dyDescent="0.2">
      <c r="A13626" t="s">
        <v>7</v>
      </c>
      <c r="B13626" t="s">
        <v>33</v>
      </c>
      <c r="C13626" t="str">
        <f t="shared" si="426"/>
        <v>Cumple</v>
      </c>
      <c r="D13626">
        <v>9084</v>
      </c>
      <c r="E13626" t="s">
        <v>12</v>
      </c>
      <c r="F13626">
        <v>25</v>
      </c>
      <c r="G13626">
        <v>20</v>
      </c>
      <c r="H13626">
        <f t="shared" si="425"/>
        <v>5</v>
      </c>
    </row>
    <row r="13627" spans="1:8" x14ac:dyDescent="0.2">
      <c r="A13627" t="s">
        <v>7</v>
      </c>
      <c r="B13627" t="s">
        <v>33</v>
      </c>
      <c r="C13627" t="str">
        <f t="shared" si="426"/>
        <v>Cumple</v>
      </c>
      <c r="D13627">
        <v>3159</v>
      </c>
      <c r="E13627" t="s">
        <v>11</v>
      </c>
      <c r="F13627">
        <v>24</v>
      </c>
      <c r="G13627">
        <v>15</v>
      </c>
      <c r="H13627">
        <f t="shared" si="425"/>
        <v>9</v>
      </c>
    </row>
    <row r="13628" spans="1:8" x14ac:dyDescent="0.2">
      <c r="A13628" t="s">
        <v>7</v>
      </c>
      <c r="B13628" t="s">
        <v>33</v>
      </c>
      <c r="C13628" t="str">
        <f t="shared" si="426"/>
        <v>Cumple</v>
      </c>
      <c r="D13628">
        <v>3039</v>
      </c>
      <c r="E13628" t="s">
        <v>10</v>
      </c>
      <c r="F13628">
        <v>24</v>
      </c>
      <c r="G13628">
        <v>20</v>
      </c>
      <c r="H13628">
        <f t="shared" si="425"/>
        <v>4</v>
      </c>
    </row>
    <row r="13629" spans="1:8" x14ac:dyDescent="0.2">
      <c r="A13629" t="s">
        <v>7</v>
      </c>
      <c r="B13629" t="s">
        <v>33</v>
      </c>
      <c r="C13629" t="str">
        <f t="shared" si="426"/>
        <v>Cumple</v>
      </c>
      <c r="D13629">
        <v>3289</v>
      </c>
      <c r="E13629" t="s">
        <v>11</v>
      </c>
      <c r="F13629">
        <v>24</v>
      </c>
      <c r="G13629">
        <v>20</v>
      </c>
      <c r="H13629">
        <f t="shared" si="425"/>
        <v>4</v>
      </c>
    </row>
    <row r="13630" spans="1:8" x14ac:dyDescent="0.2">
      <c r="A13630" t="s">
        <v>7</v>
      </c>
      <c r="B13630" t="s">
        <v>33</v>
      </c>
      <c r="C13630" t="str">
        <f t="shared" si="426"/>
        <v>Cumple</v>
      </c>
      <c r="D13630">
        <v>2118</v>
      </c>
      <c r="E13630" t="s">
        <v>10</v>
      </c>
      <c r="F13630">
        <v>24</v>
      </c>
      <c r="G13630">
        <v>20</v>
      </c>
      <c r="H13630">
        <f t="shared" si="425"/>
        <v>4</v>
      </c>
    </row>
    <row r="13631" spans="1:8" x14ac:dyDescent="0.2">
      <c r="A13631" t="s">
        <v>7</v>
      </c>
      <c r="B13631" t="s">
        <v>33</v>
      </c>
      <c r="C13631" t="str">
        <f t="shared" si="426"/>
        <v>Cumple</v>
      </c>
      <c r="D13631">
        <v>3951</v>
      </c>
      <c r="E13631" t="s">
        <v>11</v>
      </c>
      <c r="F13631">
        <v>23</v>
      </c>
      <c r="G13631">
        <v>15</v>
      </c>
      <c r="H13631">
        <f t="shared" si="425"/>
        <v>8</v>
      </c>
    </row>
    <row r="13632" spans="1:8" x14ac:dyDescent="0.2">
      <c r="A13632" t="s">
        <v>7</v>
      </c>
      <c r="B13632" t="s">
        <v>33</v>
      </c>
      <c r="C13632" t="str">
        <f t="shared" si="426"/>
        <v>Cumple</v>
      </c>
      <c r="D13632">
        <v>9875</v>
      </c>
      <c r="E13632" t="s">
        <v>11</v>
      </c>
      <c r="F13632">
        <v>23</v>
      </c>
      <c r="G13632">
        <v>20</v>
      </c>
      <c r="H13632">
        <f t="shared" si="425"/>
        <v>3</v>
      </c>
    </row>
    <row r="13633" spans="1:8" x14ac:dyDescent="0.2">
      <c r="A13633" t="s">
        <v>7</v>
      </c>
      <c r="B13633" t="s">
        <v>33</v>
      </c>
      <c r="C13633" t="str">
        <f t="shared" si="426"/>
        <v>Cumple</v>
      </c>
      <c r="D13633">
        <v>4050</v>
      </c>
      <c r="E13633" t="s">
        <v>11</v>
      </c>
      <c r="F13633">
        <v>23</v>
      </c>
      <c r="G13633">
        <v>15</v>
      </c>
      <c r="H13633">
        <f t="shared" si="425"/>
        <v>8</v>
      </c>
    </row>
    <row r="13634" spans="1:8" x14ac:dyDescent="0.2">
      <c r="A13634" t="s">
        <v>7</v>
      </c>
      <c r="B13634" t="s">
        <v>33</v>
      </c>
      <c r="C13634" t="str">
        <f t="shared" si="426"/>
        <v>Cumple</v>
      </c>
      <c r="D13634">
        <v>3404</v>
      </c>
      <c r="E13634" t="s">
        <v>10</v>
      </c>
      <c r="F13634">
        <v>23</v>
      </c>
      <c r="G13634">
        <v>20</v>
      </c>
      <c r="H13634">
        <f t="shared" si="425"/>
        <v>3</v>
      </c>
    </row>
    <row r="13635" spans="1:8" x14ac:dyDescent="0.2">
      <c r="A13635" t="s">
        <v>7</v>
      </c>
      <c r="B13635" t="s">
        <v>33</v>
      </c>
      <c r="C13635" t="str">
        <f t="shared" si="426"/>
        <v>Cumple</v>
      </c>
      <c r="D13635">
        <v>3157</v>
      </c>
      <c r="E13635" t="s">
        <v>11</v>
      </c>
      <c r="F13635">
        <v>22</v>
      </c>
      <c r="G13635">
        <v>15</v>
      </c>
      <c r="H13635">
        <f t="shared" ref="H13635:H13698" si="427">F13635-G13635</f>
        <v>7</v>
      </c>
    </row>
    <row r="13636" spans="1:8" x14ac:dyDescent="0.2">
      <c r="A13636" t="s">
        <v>7</v>
      </c>
      <c r="B13636" t="s">
        <v>33</v>
      </c>
      <c r="C13636" t="str">
        <f t="shared" si="426"/>
        <v>Cumple</v>
      </c>
      <c r="D13636">
        <v>1843</v>
      </c>
      <c r="E13636" t="s">
        <v>11</v>
      </c>
      <c r="F13636">
        <v>22</v>
      </c>
      <c r="G13636">
        <v>15</v>
      </c>
      <c r="H13636">
        <f t="shared" si="427"/>
        <v>7</v>
      </c>
    </row>
    <row r="13637" spans="1:8" x14ac:dyDescent="0.2">
      <c r="A13637" t="s">
        <v>7</v>
      </c>
      <c r="B13637" t="s">
        <v>33</v>
      </c>
      <c r="C13637" t="str">
        <f t="shared" ref="C13637:C13700" si="428">IF(H13637&gt;=0,"Cumple","No cumple")</f>
        <v>Cumple</v>
      </c>
      <c r="D13637">
        <v>9980</v>
      </c>
      <c r="E13637" t="s">
        <v>10</v>
      </c>
      <c r="F13637">
        <v>22</v>
      </c>
      <c r="G13637">
        <v>15</v>
      </c>
      <c r="H13637">
        <f t="shared" si="427"/>
        <v>7</v>
      </c>
    </row>
    <row r="13638" spans="1:8" x14ac:dyDescent="0.2">
      <c r="A13638" t="s">
        <v>7</v>
      </c>
      <c r="B13638" t="s">
        <v>33</v>
      </c>
      <c r="C13638" t="str">
        <f t="shared" si="428"/>
        <v>Cumple</v>
      </c>
      <c r="D13638">
        <v>1534</v>
      </c>
      <c r="E13638" t="s">
        <v>10</v>
      </c>
      <c r="F13638">
        <v>22</v>
      </c>
      <c r="G13638">
        <v>20</v>
      </c>
      <c r="H13638">
        <f t="shared" si="427"/>
        <v>2</v>
      </c>
    </row>
    <row r="13639" spans="1:8" x14ac:dyDescent="0.2">
      <c r="A13639" t="s">
        <v>7</v>
      </c>
      <c r="B13639" t="s">
        <v>33</v>
      </c>
      <c r="C13639" t="str">
        <f t="shared" si="428"/>
        <v>Cumple</v>
      </c>
      <c r="D13639">
        <v>2854</v>
      </c>
      <c r="E13639" t="s">
        <v>11</v>
      </c>
      <c r="F13639">
        <v>22</v>
      </c>
      <c r="G13639">
        <v>20</v>
      </c>
      <c r="H13639">
        <f t="shared" si="427"/>
        <v>2</v>
      </c>
    </row>
    <row r="13640" spans="1:8" x14ac:dyDescent="0.2">
      <c r="A13640" t="s">
        <v>7</v>
      </c>
      <c r="B13640" t="s">
        <v>33</v>
      </c>
      <c r="C13640" t="str">
        <f t="shared" si="428"/>
        <v>Cumple</v>
      </c>
      <c r="D13640">
        <v>3206</v>
      </c>
      <c r="E13640" t="s">
        <v>11</v>
      </c>
      <c r="F13640">
        <v>22</v>
      </c>
      <c r="G13640">
        <v>20</v>
      </c>
      <c r="H13640">
        <f t="shared" si="427"/>
        <v>2</v>
      </c>
    </row>
    <row r="13641" spans="1:8" x14ac:dyDescent="0.2">
      <c r="A13641" t="s">
        <v>7</v>
      </c>
      <c r="B13641" t="s">
        <v>33</v>
      </c>
      <c r="C13641" t="str">
        <f t="shared" si="428"/>
        <v>Cumple</v>
      </c>
      <c r="D13641">
        <v>3591</v>
      </c>
      <c r="E13641" t="s">
        <v>12</v>
      </c>
      <c r="F13641">
        <v>22</v>
      </c>
      <c r="G13641">
        <v>20</v>
      </c>
      <c r="H13641">
        <f t="shared" si="427"/>
        <v>2</v>
      </c>
    </row>
    <row r="13642" spans="1:8" x14ac:dyDescent="0.2">
      <c r="A13642" t="s">
        <v>7</v>
      </c>
      <c r="B13642" t="s">
        <v>33</v>
      </c>
      <c r="C13642" t="str">
        <f t="shared" si="428"/>
        <v>Cumple</v>
      </c>
      <c r="D13642">
        <v>3114</v>
      </c>
      <c r="E13642" t="s">
        <v>12</v>
      </c>
      <c r="F13642">
        <v>22</v>
      </c>
      <c r="G13642">
        <v>20</v>
      </c>
      <c r="H13642">
        <f t="shared" si="427"/>
        <v>2</v>
      </c>
    </row>
    <row r="13643" spans="1:8" x14ac:dyDescent="0.2">
      <c r="A13643" t="s">
        <v>7</v>
      </c>
      <c r="B13643" t="s">
        <v>33</v>
      </c>
      <c r="C13643" t="str">
        <f t="shared" si="428"/>
        <v>Cumple</v>
      </c>
      <c r="D13643">
        <v>3908</v>
      </c>
      <c r="E13643" t="s">
        <v>11</v>
      </c>
      <c r="F13643">
        <v>21</v>
      </c>
      <c r="G13643">
        <v>15</v>
      </c>
      <c r="H13643">
        <f t="shared" si="427"/>
        <v>6</v>
      </c>
    </row>
    <row r="13644" spans="1:8" x14ac:dyDescent="0.2">
      <c r="A13644" t="s">
        <v>7</v>
      </c>
      <c r="B13644" t="s">
        <v>33</v>
      </c>
      <c r="C13644" t="str">
        <f t="shared" si="428"/>
        <v>Cumple</v>
      </c>
      <c r="D13644">
        <v>2890</v>
      </c>
      <c r="E13644" t="s">
        <v>11</v>
      </c>
      <c r="F13644">
        <v>21</v>
      </c>
      <c r="G13644">
        <v>20</v>
      </c>
      <c r="H13644">
        <f t="shared" si="427"/>
        <v>1</v>
      </c>
    </row>
    <row r="13645" spans="1:8" x14ac:dyDescent="0.2">
      <c r="A13645" t="s">
        <v>7</v>
      </c>
      <c r="B13645" t="s">
        <v>33</v>
      </c>
      <c r="C13645" t="str">
        <f t="shared" si="428"/>
        <v>Cumple</v>
      </c>
      <c r="D13645">
        <v>3518</v>
      </c>
      <c r="E13645" t="s">
        <v>12</v>
      </c>
      <c r="F13645">
        <v>21</v>
      </c>
      <c r="G13645">
        <v>20</v>
      </c>
      <c r="H13645">
        <f t="shared" si="427"/>
        <v>1</v>
      </c>
    </row>
    <row r="13646" spans="1:8" x14ac:dyDescent="0.2">
      <c r="A13646" t="s">
        <v>7</v>
      </c>
      <c r="B13646" t="s">
        <v>33</v>
      </c>
      <c r="C13646" t="str">
        <f t="shared" si="428"/>
        <v>Cumple</v>
      </c>
      <c r="D13646">
        <v>3016</v>
      </c>
      <c r="E13646" t="s">
        <v>11</v>
      </c>
      <c r="F13646">
        <v>21</v>
      </c>
      <c r="G13646">
        <v>15</v>
      </c>
      <c r="H13646">
        <f t="shared" si="427"/>
        <v>6</v>
      </c>
    </row>
    <row r="13647" spans="1:8" x14ac:dyDescent="0.2">
      <c r="A13647" t="s">
        <v>7</v>
      </c>
      <c r="B13647" t="s">
        <v>33</v>
      </c>
      <c r="C13647" t="str">
        <f t="shared" si="428"/>
        <v>Cumple</v>
      </c>
      <c r="D13647">
        <v>3922</v>
      </c>
      <c r="E13647" t="s">
        <v>11</v>
      </c>
      <c r="F13647">
        <v>20</v>
      </c>
      <c r="G13647">
        <v>15</v>
      </c>
      <c r="H13647">
        <f t="shared" si="427"/>
        <v>5</v>
      </c>
    </row>
    <row r="13648" spans="1:8" x14ac:dyDescent="0.2">
      <c r="A13648" t="s">
        <v>7</v>
      </c>
      <c r="B13648" t="s">
        <v>33</v>
      </c>
      <c r="C13648" t="str">
        <f t="shared" si="428"/>
        <v>Cumple</v>
      </c>
      <c r="D13648">
        <v>9368</v>
      </c>
      <c r="E13648" t="s">
        <v>11</v>
      </c>
      <c r="F13648">
        <v>20</v>
      </c>
      <c r="G13648">
        <v>20</v>
      </c>
      <c r="H13648">
        <f t="shared" si="427"/>
        <v>0</v>
      </c>
    </row>
    <row r="13649" spans="1:8" x14ac:dyDescent="0.2">
      <c r="A13649" t="s">
        <v>7</v>
      </c>
      <c r="B13649" t="s">
        <v>33</v>
      </c>
      <c r="C13649" t="str">
        <f t="shared" si="428"/>
        <v>Cumple</v>
      </c>
      <c r="D13649">
        <v>9705</v>
      </c>
      <c r="E13649" t="s">
        <v>10</v>
      </c>
      <c r="F13649">
        <v>20</v>
      </c>
      <c r="G13649">
        <v>20</v>
      </c>
      <c r="H13649">
        <f t="shared" si="427"/>
        <v>0</v>
      </c>
    </row>
    <row r="13650" spans="1:8" x14ac:dyDescent="0.2">
      <c r="A13650" t="s">
        <v>7</v>
      </c>
      <c r="B13650" t="s">
        <v>33</v>
      </c>
      <c r="C13650" t="str">
        <f t="shared" si="428"/>
        <v>Cumple</v>
      </c>
      <c r="D13650">
        <v>3729</v>
      </c>
      <c r="E13650" t="s">
        <v>11</v>
      </c>
      <c r="F13650">
        <v>20</v>
      </c>
      <c r="G13650">
        <v>15</v>
      </c>
      <c r="H13650">
        <f t="shared" si="427"/>
        <v>5</v>
      </c>
    </row>
    <row r="13651" spans="1:8" x14ac:dyDescent="0.2">
      <c r="A13651" t="s">
        <v>7</v>
      </c>
      <c r="B13651" t="s">
        <v>33</v>
      </c>
      <c r="C13651" t="str">
        <f t="shared" si="428"/>
        <v>Cumple</v>
      </c>
      <c r="D13651">
        <v>3620</v>
      </c>
      <c r="E13651" t="s">
        <v>11</v>
      </c>
      <c r="F13651">
        <v>20</v>
      </c>
      <c r="G13651">
        <v>15</v>
      </c>
      <c r="H13651">
        <f t="shared" si="427"/>
        <v>5</v>
      </c>
    </row>
    <row r="13652" spans="1:8" x14ac:dyDescent="0.2">
      <c r="A13652" t="s">
        <v>7</v>
      </c>
      <c r="B13652" t="s">
        <v>33</v>
      </c>
      <c r="C13652" t="str">
        <f t="shared" si="428"/>
        <v>Cumple</v>
      </c>
      <c r="D13652">
        <v>9650</v>
      </c>
      <c r="E13652" t="s">
        <v>11</v>
      </c>
      <c r="F13652">
        <v>20</v>
      </c>
      <c r="G13652">
        <v>20</v>
      </c>
      <c r="H13652">
        <f t="shared" si="427"/>
        <v>0</v>
      </c>
    </row>
    <row r="13653" spans="1:8" x14ac:dyDescent="0.2">
      <c r="A13653" t="s">
        <v>7</v>
      </c>
      <c r="B13653" t="s">
        <v>33</v>
      </c>
      <c r="C13653" t="str">
        <f t="shared" si="428"/>
        <v>Cumple</v>
      </c>
      <c r="D13653">
        <v>3637</v>
      </c>
      <c r="E13653" t="s">
        <v>12</v>
      </c>
      <c r="F13653">
        <v>20</v>
      </c>
      <c r="G13653">
        <v>15</v>
      </c>
      <c r="H13653">
        <f t="shared" si="427"/>
        <v>5</v>
      </c>
    </row>
    <row r="13654" spans="1:8" x14ac:dyDescent="0.2">
      <c r="A13654" t="s">
        <v>7</v>
      </c>
      <c r="B13654" t="s">
        <v>33</v>
      </c>
      <c r="C13654" t="str">
        <f t="shared" si="428"/>
        <v>No cumple</v>
      </c>
      <c r="D13654">
        <v>3123</v>
      </c>
      <c r="E13654" t="s">
        <v>11</v>
      </c>
      <c r="F13654">
        <v>19</v>
      </c>
      <c r="G13654">
        <v>20</v>
      </c>
      <c r="H13654">
        <f t="shared" si="427"/>
        <v>-1</v>
      </c>
    </row>
    <row r="13655" spans="1:8" x14ac:dyDescent="0.2">
      <c r="A13655" t="s">
        <v>7</v>
      </c>
      <c r="B13655" t="s">
        <v>33</v>
      </c>
      <c r="C13655" t="str">
        <f t="shared" si="428"/>
        <v>Cumple</v>
      </c>
      <c r="D13655">
        <v>9905</v>
      </c>
      <c r="E13655" t="s">
        <v>11</v>
      </c>
      <c r="F13655">
        <v>19</v>
      </c>
      <c r="G13655">
        <v>15</v>
      </c>
      <c r="H13655">
        <f t="shared" si="427"/>
        <v>4</v>
      </c>
    </row>
    <row r="13656" spans="1:8" x14ac:dyDescent="0.2">
      <c r="A13656" t="s">
        <v>7</v>
      </c>
      <c r="B13656" t="s">
        <v>33</v>
      </c>
      <c r="C13656" t="str">
        <f t="shared" si="428"/>
        <v>Cumple</v>
      </c>
      <c r="D13656">
        <v>2545</v>
      </c>
      <c r="E13656" t="s">
        <v>11</v>
      </c>
      <c r="F13656">
        <v>19</v>
      </c>
      <c r="G13656">
        <v>15</v>
      </c>
      <c r="H13656">
        <f t="shared" si="427"/>
        <v>4</v>
      </c>
    </row>
    <row r="13657" spans="1:8" x14ac:dyDescent="0.2">
      <c r="A13657" t="s">
        <v>7</v>
      </c>
      <c r="B13657" t="s">
        <v>33</v>
      </c>
      <c r="C13657" t="str">
        <f t="shared" si="428"/>
        <v>Cumple</v>
      </c>
      <c r="D13657">
        <v>9369</v>
      </c>
      <c r="E13657" t="s">
        <v>11</v>
      </c>
      <c r="F13657">
        <v>19</v>
      </c>
      <c r="G13657">
        <v>15</v>
      </c>
      <c r="H13657">
        <f t="shared" si="427"/>
        <v>4</v>
      </c>
    </row>
    <row r="13658" spans="1:8" x14ac:dyDescent="0.2">
      <c r="A13658" t="s">
        <v>7</v>
      </c>
      <c r="B13658" t="s">
        <v>33</v>
      </c>
      <c r="C13658" t="str">
        <f t="shared" si="428"/>
        <v>Cumple</v>
      </c>
      <c r="D13658">
        <v>3549</v>
      </c>
      <c r="E13658" t="s">
        <v>10</v>
      </c>
      <c r="F13658">
        <v>19</v>
      </c>
      <c r="G13658">
        <v>15</v>
      </c>
      <c r="H13658">
        <f t="shared" si="427"/>
        <v>4</v>
      </c>
    </row>
    <row r="13659" spans="1:8" x14ac:dyDescent="0.2">
      <c r="A13659" t="s">
        <v>7</v>
      </c>
      <c r="B13659" t="s">
        <v>33</v>
      </c>
      <c r="C13659" t="str">
        <f t="shared" si="428"/>
        <v>Cumple</v>
      </c>
      <c r="D13659">
        <v>3674</v>
      </c>
      <c r="E13659" t="s">
        <v>12</v>
      </c>
      <c r="F13659">
        <v>19</v>
      </c>
      <c r="G13659">
        <v>15</v>
      </c>
      <c r="H13659">
        <f t="shared" si="427"/>
        <v>4</v>
      </c>
    </row>
    <row r="13660" spans="1:8" x14ac:dyDescent="0.2">
      <c r="A13660" t="s">
        <v>7</v>
      </c>
      <c r="B13660" t="s">
        <v>33</v>
      </c>
      <c r="C13660" t="str">
        <f t="shared" si="428"/>
        <v>Cumple</v>
      </c>
      <c r="D13660">
        <v>5162</v>
      </c>
      <c r="E13660" t="s">
        <v>12</v>
      </c>
      <c r="F13660">
        <v>19</v>
      </c>
      <c r="G13660">
        <v>15</v>
      </c>
      <c r="H13660">
        <f t="shared" si="427"/>
        <v>4</v>
      </c>
    </row>
    <row r="13661" spans="1:8" x14ac:dyDescent="0.2">
      <c r="A13661" t="s">
        <v>7</v>
      </c>
      <c r="B13661" t="s">
        <v>33</v>
      </c>
      <c r="C13661" t="str">
        <f t="shared" si="428"/>
        <v>Cumple</v>
      </c>
      <c r="D13661">
        <v>9377</v>
      </c>
      <c r="E13661" t="s">
        <v>11</v>
      </c>
      <c r="F13661">
        <v>18</v>
      </c>
      <c r="G13661">
        <v>15</v>
      </c>
      <c r="H13661">
        <f t="shared" si="427"/>
        <v>3</v>
      </c>
    </row>
    <row r="13662" spans="1:8" x14ac:dyDescent="0.2">
      <c r="A13662" t="s">
        <v>7</v>
      </c>
      <c r="B13662" t="s">
        <v>33</v>
      </c>
      <c r="C13662" t="str">
        <f t="shared" si="428"/>
        <v>Cumple</v>
      </c>
      <c r="D13662">
        <v>2597</v>
      </c>
      <c r="E13662" t="s">
        <v>10</v>
      </c>
      <c r="F13662">
        <v>18</v>
      </c>
      <c r="G13662">
        <v>15</v>
      </c>
      <c r="H13662">
        <f t="shared" si="427"/>
        <v>3</v>
      </c>
    </row>
    <row r="13663" spans="1:8" x14ac:dyDescent="0.2">
      <c r="A13663" t="s">
        <v>7</v>
      </c>
      <c r="B13663" t="s">
        <v>33</v>
      </c>
      <c r="C13663" t="str">
        <f t="shared" si="428"/>
        <v>Cumple</v>
      </c>
      <c r="D13663">
        <v>3070</v>
      </c>
      <c r="E13663" t="s">
        <v>10</v>
      </c>
      <c r="F13663">
        <v>18</v>
      </c>
      <c r="G13663">
        <v>15</v>
      </c>
      <c r="H13663">
        <f t="shared" si="427"/>
        <v>3</v>
      </c>
    </row>
    <row r="13664" spans="1:8" x14ac:dyDescent="0.2">
      <c r="A13664" t="s">
        <v>7</v>
      </c>
      <c r="B13664" t="s">
        <v>33</v>
      </c>
      <c r="C13664" t="str">
        <f t="shared" si="428"/>
        <v>Cumple</v>
      </c>
      <c r="D13664">
        <v>3607</v>
      </c>
      <c r="E13664" t="s">
        <v>10</v>
      </c>
      <c r="F13664">
        <v>18</v>
      </c>
      <c r="G13664">
        <v>15</v>
      </c>
      <c r="H13664">
        <f t="shared" si="427"/>
        <v>3</v>
      </c>
    </row>
    <row r="13665" spans="1:8" x14ac:dyDescent="0.2">
      <c r="A13665" t="s">
        <v>7</v>
      </c>
      <c r="B13665" t="s">
        <v>33</v>
      </c>
      <c r="C13665" t="str">
        <f t="shared" si="428"/>
        <v>Cumple</v>
      </c>
      <c r="D13665">
        <v>3937</v>
      </c>
      <c r="E13665" t="s">
        <v>11</v>
      </c>
      <c r="F13665">
        <v>18</v>
      </c>
      <c r="G13665">
        <v>15</v>
      </c>
      <c r="H13665">
        <f t="shared" si="427"/>
        <v>3</v>
      </c>
    </row>
    <row r="13666" spans="1:8" x14ac:dyDescent="0.2">
      <c r="A13666" t="s">
        <v>7</v>
      </c>
      <c r="B13666" t="s">
        <v>33</v>
      </c>
      <c r="C13666" t="str">
        <f t="shared" si="428"/>
        <v>No cumple</v>
      </c>
      <c r="D13666">
        <v>3041</v>
      </c>
      <c r="E13666" t="s">
        <v>11</v>
      </c>
      <c r="F13666">
        <v>18</v>
      </c>
      <c r="G13666">
        <v>20</v>
      </c>
      <c r="H13666">
        <f t="shared" si="427"/>
        <v>-2</v>
      </c>
    </row>
    <row r="13667" spans="1:8" x14ac:dyDescent="0.2">
      <c r="A13667" t="s">
        <v>7</v>
      </c>
      <c r="B13667" t="s">
        <v>33</v>
      </c>
      <c r="C13667" t="str">
        <f t="shared" si="428"/>
        <v>Cumple</v>
      </c>
      <c r="D13667">
        <v>3936</v>
      </c>
      <c r="E13667" t="s">
        <v>11</v>
      </c>
      <c r="F13667">
        <v>17</v>
      </c>
      <c r="G13667">
        <v>15</v>
      </c>
      <c r="H13667">
        <f t="shared" si="427"/>
        <v>2</v>
      </c>
    </row>
    <row r="13668" spans="1:8" x14ac:dyDescent="0.2">
      <c r="A13668" t="s">
        <v>7</v>
      </c>
      <c r="B13668" t="s">
        <v>33</v>
      </c>
      <c r="C13668" t="str">
        <f t="shared" si="428"/>
        <v>No cumple</v>
      </c>
      <c r="D13668">
        <v>3243</v>
      </c>
      <c r="E13668" t="s">
        <v>11</v>
      </c>
      <c r="F13668">
        <v>17</v>
      </c>
      <c r="G13668">
        <v>20</v>
      </c>
      <c r="H13668">
        <f t="shared" si="427"/>
        <v>-3</v>
      </c>
    </row>
    <row r="13669" spans="1:8" x14ac:dyDescent="0.2">
      <c r="A13669" t="s">
        <v>7</v>
      </c>
      <c r="B13669" t="s">
        <v>33</v>
      </c>
      <c r="C13669" t="str">
        <f t="shared" si="428"/>
        <v>Cumple</v>
      </c>
      <c r="D13669">
        <v>3309</v>
      </c>
      <c r="E13669" t="s">
        <v>11</v>
      </c>
      <c r="F13669">
        <v>17</v>
      </c>
      <c r="G13669">
        <v>15</v>
      </c>
      <c r="H13669">
        <f t="shared" si="427"/>
        <v>2</v>
      </c>
    </row>
    <row r="13670" spans="1:8" x14ac:dyDescent="0.2">
      <c r="A13670" t="s">
        <v>7</v>
      </c>
      <c r="B13670" t="s">
        <v>33</v>
      </c>
      <c r="C13670" t="str">
        <f t="shared" si="428"/>
        <v>Cumple</v>
      </c>
      <c r="D13670">
        <v>9892</v>
      </c>
      <c r="E13670" t="s">
        <v>11</v>
      </c>
      <c r="F13670">
        <v>16</v>
      </c>
      <c r="G13670">
        <v>15</v>
      </c>
      <c r="H13670">
        <f t="shared" si="427"/>
        <v>1</v>
      </c>
    </row>
    <row r="13671" spans="1:8" x14ac:dyDescent="0.2">
      <c r="A13671" t="s">
        <v>7</v>
      </c>
      <c r="B13671" t="s">
        <v>33</v>
      </c>
      <c r="C13671" t="str">
        <f t="shared" si="428"/>
        <v>Cumple</v>
      </c>
      <c r="D13671">
        <v>3725</v>
      </c>
      <c r="E13671" t="s">
        <v>11</v>
      </c>
      <c r="F13671">
        <v>16</v>
      </c>
      <c r="G13671">
        <v>15</v>
      </c>
      <c r="H13671">
        <f t="shared" si="427"/>
        <v>1</v>
      </c>
    </row>
    <row r="13672" spans="1:8" x14ac:dyDescent="0.2">
      <c r="A13672" t="s">
        <v>7</v>
      </c>
      <c r="B13672" t="s">
        <v>33</v>
      </c>
      <c r="C13672" t="str">
        <f t="shared" si="428"/>
        <v>Cumple</v>
      </c>
      <c r="D13672">
        <v>9981</v>
      </c>
      <c r="E13672" t="s">
        <v>10</v>
      </c>
      <c r="F13672">
        <v>16</v>
      </c>
      <c r="G13672">
        <v>15</v>
      </c>
      <c r="H13672">
        <f t="shared" si="427"/>
        <v>1</v>
      </c>
    </row>
    <row r="13673" spans="1:8" x14ac:dyDescent="0.2">
      <c r="A13673" t="s">
        <v>7</v>
      </c>
      <c r="B13673" t="s">
        <v>33</v>
      </c>
      <c r="C13673" t="str">
        <f t="shared" si="428"/>
        <v>Cumple</v>
      </c>
      <c r="D13673">
        <v>3379</v>
      </c>
      <c r="E13673" t="s">
        <v>10</v>
      </c>
      <c r="F13673">
        <v>16</v>
      </c>
      <c r="G13673">
        <v>15</v>
      </c>
      <c r="H13673">
        <f t="shared" si="427"/>
        <v>1</v>
      </c>
    </row>
    <row r="13674" spans="1:8" x14ac:dyDescent="0.2">
      <c r="A13674" t="s">
        <v>7</v>
      </c>
      <c r="B13674" t="s">
        <v>33</v>
      </c>
      <c r="C13674" t="str">
        <f t="shared" si="428"/>
        <v>Cumple</v>
      </c>
      <c r="D13674">
        <v>3194</v>
      </c>
      <c r="E13674" t="s">
        <v>11</v>
      </c>
      <c r="F13674">
        <v>16</v>
      </c>
      <c r="G13674">
        <v>15</v>
      </c>
      <c r="H13674">
        <f t="shared" si="427"/>
        <v>1</v>
      </c>
    </row>
    <row r="13675" spans="1:8" x14ac:dyDescent="0.2">
      <c r="A13675" t="s">
        <v>7</v>
      </c>
      <c r="B13675" t="s">
        <v>33</v>
      </c>
      <c r="C13675" t="str">
        <f t="shared" si="428"/>
        <v>Cumple</v>
      </c>
      <c r="D13675">
        <v>3972</v>
      </c>
      <c r="E13675" t="s">
        <v>11</v>
      </c>
      <c r="F13675">
        <v>15</v>
      </c>
      <c r="G13675">
        <v>15</v>
      </c>
      <c r="H13675">
        <f t="shared" si="427"/>
        <v>0</v>
      </c>
    </row>
    <row r="13676" spans="1:8" x14ac:dyDescent="0.2">
      <c r="A13676" t="s">
        <v>7</v>
      </c>
      <c r="B13676" t="s">
        <v>33</v>
      </c>
      <c r="C13676" t="str">
        <f t="shared" si="428"/>
        <v>Cumple</v>
      </c>
      <c r="D13676">
        <v>4049</v>
      </c>
      <c r="E13676" t="s">
        <v>11</v>
      </c>
      <c r="F13676">
        <v>15</v>
      </c>
      <c r="G13676">
        <v>15</v>
      </c>
      <c r="H13676">
        <f t="shared" si="427"/>
        <v>0</v>
      </c>
    </row>
    <row r="13677" spans="1:8" x14ac:dyDescent="0.2">
      <c r="A13677" t="s">
        <v>7</v>
      </c>
      <c r="B13677" t="s">
        <v>33</v>
      </c>
      <c r="C13677" t="str">
        <f t="shared" si="428"/>
        <v>No cumple</v>
      </c>
      <c r="D13677">
        <v>9129</v>
      </c>
      <c r="E13677" t="s">
        <v>10</v>
      </c>
      <c r="F13677">
        <v>14</v>
      </c>
      <c r="G13677">
        <v>15</v>
      </c>
      <c r="H13677">
        <f t="shared" si="427"/>
        <v>-1</v>
      </c>
    </row>
    <row r="13678" spans="1:8" x14ac:dyDescent="0.2">
      <c r="A13678" t="s">
        <v>7</v>
      </c>
      <c r="B13678" t="s">
        <v>33</v>
      </c>
      <c r="C13678" t="str">
        <f t="shared" si="428"/>
        <v>No cumple</v>
      </c>
      <c r="D13678">
        <v>1872</v>
      </c>
      <c r="E13678" t="s">
        <v>11</v>
      </c>
      <c r="F13678">
        <v>14</v>
      </c>
      <c r="G13678">
        <v>15</v>
      </c>
      <c r="H13678">
        <f t="shared" si="427"/>
        <v>-1</v>
      </c>
    </row>
    <row r="13679" spans="1:8" x14ac:dyDescent="0.2">
      <c r="A13679" t="s">
        <v>7</v>
      </c>
      <c r="B13679" t="s">
        <v>33</v>
      </c>
      <c r="C13679" t="str">
        <f t="shared" si="428"/>
        <v>No cumple</v>
      </c>
      <c r="D13679">
        <v>9869</v>
      </c>
      <c r="E13679" t="s">
        <v>11</v>
      </c>
      <c r="F13679">
        <v>13</v>
      </c>
      <c r="G13679">
        <v>15</v>
      </c>
      <c r="H13679">
        <f t="shared" si="427"/>
        <v>-2</v>
      </c>
    </row>
    <row r="13680" spans="1:8" x14ac:dyDescent="0.2">
      <c r="A13680" t="s">
        <v>7</v>
      </c>
      <c r="B13680" t="s">
        <v>33</v>
      </c>
      <c r="C13680" t="str">
        <f t="shared" si="428"/>
        <v>No cumple</v>
      </c>
      <c r="D13680">
        <v>2674</v>
      </c>
      <c r="E13680" t="s">
        <v>10</v>
      </c>
      <c r="F13680">
        <v>13</v>
      </c>
      <c r="G13680">
        <v>20</v>
      </c>
      <c r="H13680">
        <f t="shared" si="427"/>
        <v>-7</v>
      </c>
    </row>
    <row r="13681" spans="1:8" x14ac:dyDescent="0.2">
      <c r="A13681" t="s">
        <v>7</v>
      </c>
      <c r="B13681" t="s">
        <v>33</v>
      </c>
      <c r="C13681" t="str">
        <f t="shared" si="428"/>
        <v>Cumple</v>
      </c>
      <c r="D13681">
        <v>3685</v>
      </c>
      <c r="E13681" t="s">
        <v>11</v>
      </c>
      <c r="F13681" s="9">
        <v>20</v>
      </c>
      <c r="G13681">
        <v>20</v>
      </c>
      <c r="H13681">
        <f t="shared" si="427"/>
        <v>0</v>
      </c>
    </row>
    <row r="13682" spans="1:8" x14ac:dyDescent="0.2">
      <c r="A13682" t="s">
        <v>7</v>
      </c>
      <c r="B13682" t="s">
        <v>33</v>
      </c>
      <c r="C13682" t="str">
        <f t="shared" si="428"/>
        <v>No cumple</v>
      </c>
      <c r="D13682">
        <v>3806</v>
      </c>
      <c r="E13682" t="s">
        <v>11</v>
      </c>
      <c r="F13682">
        <v>12</v>
      </c>
      <c r="G13682">
        <v>15</v>
      </c>
      <c r="H13682">
        <f t="shared" si="427"/>
        <v>-3</v>
      </c>
    </row>
    <row r="13683" spans="1:8" x14ac:dyDescent="0.2">
      <c r="A13683" t="s">
        <v>7</v>
      </c>
      <c r="B13683" t="s">
        <v>33</v>
      </c>
      <c r="C13683" t="str">
        <f t="shared" si="428"/>
        <v>No cumple</v>
      </c>
      <c r="D13683">
        <v>3905</v>
      </c>
      <c r="E13683" t="s">
        <v>11</v>
      </c>
      <c r="F13683">
        <v>12</v>
      </c>
      <c r="G13683">
        <v>15</v>
      </c>
      <c r="H13683">
        <f t="shared" si="427"/>
        <v>-3</v>
      </c>
    </row>
    <row r="13684" spans="1:8" x14ac:dyDescent="0.2">
      <c r="A13684" t="s">
        <v>7</v>
      </c>
      <c r="B13684" t="s">
        <v>33</v>
      </c>
      <c r="C13684" t="str">
        <f t="shared" si="428"/>
        <v>No cumple</v>
      </c>
      <c r="D13684">
        <v>3724</v>
      </c>
      <c r="E13684" t="s">
        <v>11</v>
      </c>
      <c r="F13684">
        <v>12</v>
      </c>
      <c r="G13684">
        <v>15</v>
      </c>
      <c r="H13684">
        <f t="shared" si="427"/>
        <v>-3</v>
      </c>
    </row>
    <row r="13685" spans="1:8" x14ac:dyDescent="0.2">
      <c r="A13685" t="s">
        <v>7</v>
      </c>
      <c r="B13685" t="s">
        <v>33</v>
      </c>
      <c r="C13685" t="str">
        <f t="shared" si="428"/>
        <v>No cumple</v>
      </c>
      <c r="D13685">
        <v>3282</v>
      </c>
      <c r="E13685" t="s">
        <v>11</v>
      </c>
      <c r="F13685">
        <v>12</v>
      </c>
      <c r="G13685">
        <v>15</v>
      </c>
      <c r="H13685">
        <f t="shared" si="427"/>
        <v>-3</v>
      </c>
    </row>
    <row r="13686" spans="1:8" x14ac:dyDescent="0.2">
      <c r="A13686" t="s">
        <v>7</v>
      </c>
      <c r="B13686" t="s">
        <v>33</v>
      </c>
      <c r="C13686" t="str">
        <f t="shared" si="428"/>
        <v>No cumple</v>
      </c>
      <c r="D13686">
        <v>3788</v>
      </c>
      <c r="E13686" t="s">
        <v>11</v>
      </c>
      <c r="F13686">
        <v>11</v>
      </c>
      <c r="G13686">
        <v>15</v>
      </c>
      <c r="H13686">
        <f t="shared" si="427"/>
        <v>-4</v>
      </c>
    </row>
    <row r="13687" spans="1:8" x14ac:dyDescent="0.2">
      <c r="A13687" t="s">
        <v>7</v>
      </c>
      <c r="B13687" t="s">
        <v>33</v>
      </c>
      <c r="C13687" t="str">
        <f t="shared" si="428"/>
        <v>No cumple</v>
      </c>
      <c r="D13687">
        <v>3370</v>
      </c>
      <c r="E13687" t="s">
        <v>11</v>
      </c>
      <c r="F13687">
        <v>10</v>
      </c>
      <c r="G13687">
        <v>15</v>
      </c>
      <c r="H13687">
        <f t="shared" si="427"/>
        <v>-5</v>
      </c>
    </row>
    <row r="13688" spans="1:8" x14ac:dyDescent="0.2">
      <c r="A13688" t="s">
        <v>7</v>
      </c>
      <c r="B13688" t="s">
        <v>33</v>
      </c>
      <c r="C13688" t="str">
        <f t="shared" si="428"/>
        <v>No cumple</v>
      </c>
      <c r="D13688">
        <v>3517</v>
      </c>
      <c r="E13688" t="s">
        <v>11</v>
      </c>
      <c r="F13688">
        <v>10</v>
      </c>
      <c r="G13688">
        <v>15</v>
      </c>
      <c r="H13688">
        <f t="shared" si="427"/>
        <v>-5</v>
      </c>
    </row>
    <row r="13689" spans="1:8" x14ac:dyDescent="0.2">
      <c r="A13689" t="s">
        <v>7</v>
      </c>
      <c r="B13689" t="s">
        <v>33</v>
      </c>
      <c r="C13689" t="str">
        <f t="shared" si="428"/>
        <v>No cumple</v>
      </c>
      <c r="D13689">
        <v>3599</v>
      </c>
      <c r="E13689" t="s">
        <v>11</v>
      </c>
      <c r="F13689">
        <v>9</v>
      </c>
      <c r="G13689">
        <v>15</v>
      </c>
      <c r="H13689">
        <f t="shared" si="427"/>
        <v>-6</v>
      </c>
    </row>
    <row r="13690" spans="1:8" x14ac:dyDescent="0.2">
      <c r="A13690" t="s">
        <v>7</v>
      </c>
      <c r="B13690" t="s">
        <v>33</v>
      </c>
      <c r="C13690" t="str">
        <f t="shared" si="428"/>
        <v>No cumple</v>
      </c>
      <c r="D13690">
        <v>3726</v>
      </c>
      <c r="E13690" t="s">
        <v>11</v>
      </c>
      <c r="F13690">
        <v>9</v>
      </c>
      <c r="G13690">
        <v>15</v>
      </c>
      <c r="H13690">
        <f t="shared" si="427"/>
        <v>-6</v>
      </c>
    </row>
    <row r="13691" spans="1:8" x14ac:dyDescent="0.2">
      <c r="A13691" t="s">
        <v>7</v>
      </c>
      <c r="B13691" t="s">
        <v>33</v>
      </c>
      <c r="C13691" t="str">
        <f t="shared" si="428"/>
        <v>No cumple</v>
      </c>
      <c r="D13691">
        <v>9619</v>
      </c>
      <c r="E13691" t="s">
        <v>11</v>
      </c>
      <c r="F13691">
        <v>9</v>
      </c>
      <c r="G13691">
        <v>15</v>
      </c>
      <c r="H13691">
        <f t="shared" si="427"/>
        <v>-6</v>
      </c>
    </row>
    <row r="13692" spans="1:8" x14ac:dyDescent="0.2">
      <c r="A13692" t="s">
        <v>7</v>
      </c>
      <c r="B13692" t="s">
        <v>33</v>
      </c>
      <c r="C13692" t="str">
        <f t="shared" si="428"/>
        <v>No cumple</v>
      </c>
      <c r="D13692">
        <v>2867</v>
      </c>
      <c r="E13692" t="s">
        <v>12</v>
      </c>
      <c r="F13692">
        <v>9</v>
      </c>
      <c r="G13692">
        <v>15</v>
      </c>
      <c r="H13692">
        <f t="shared" si="427"/>
        <v>-6</v>
      </c>
    </row>
    <row r="13693" spans="1:8" x14ac:dyDescent="0.2">
      <c r="A13693" t="s">
        <v>7</v>
      </c>
      <c r="B13693" t="s">
        <v>33</v>
      </c>
      <c r="C13693" t="str">
        <f t="shared" si="428"/>
        <v>No cumple</v>
      </c>
      <c r="D13693">
        <v>3447</v>
      </c>
      <c r="E13693" t="s">
        <v>12</v>
      </c>
      <c r="F13693">
        <v>9</v>
      </c>
      <c r="G13693">
        <v>15</v>
      </c>
      <c r="H13693">
        <f t="shared" si="427"/>
        <v>-6</v>
      </c>
    </row>
    <row r="13694" spans="1:8" x14ac:dyDescent="0.2">
      <c r="A13694" t="s">
        <v>7</v>
      </c>
      <c r="B13694" t="s">
        <v>33</v>
      </c>
      <c r="C13694" t="str">
        <f t="shared" si="428"/>
        <v>No cumple</v>
      </c>
      <c r="D13694">
        <v>9584</v>
      </c>
      <c r="E13694" t="s">
        <v>11</v>
      </c>
      <c r="F13694">
        <v>8</v>
      </c>
      <c r="G13694">
        <v>15</v>
      </c>
      <c r="H13694">
        <f t="shared" si="427"/>
        <v>-7</v>
      </c>
    </row>
    <row r="13695" spans="1:8" x14ac:dyDescent="0.2">
      <c r="A13695" t="s">
        <v>7</v>
      </c>
      <c r="B13695" t="s">
        <v>33</v>
      </c>
      <c r="C13695" t="str">
        <f t="shared" si="428"/>
        <v>No cumple</v>
      </c>
      <c r="D13695">
        <v>3613</v>
      </c>
      <c r="E13695" t="s">
        <v>10</v>
      </c>
      <c r="F13695">
        <v>8</v>
      </c>
      <c r="G13695">
        <v>15</v>
      </c>
      <c r="H13695">
        <f t="shared" si="427"/>
        <v>-7</v>
      </c>
    </row>
    <row r="13696" spans="1:8" x14ac:dyDescent="0.2">
      <c r="A13696" t="s">
        <v>7</v>
      </c>
      <c r="B13696" t="s">
        <v>33</v>
      </c>
      <c r="C13696" t="str">
        <f t="shared" si="428"/>
        <v>No cumple</v>
      </c>
      <c r="D13696">
        <v>9195</v>
      </c>
      <c r="E13696" t="s">
        <v>12</v>
      </c>
      <c r="F13696">
        <v>8</v>
      </c>
      <c r="G13696">
        <v>20</v>
      </c>
      <c r="H13696">
        <f t="shared" si="427"/>
        <v>-12</v>
      </c>
    </row>
    <row r="13697" spans="1:8" x14ac:dyDescent="0.2">
      <c r="A13697" t="s">
        <v>7</v>
      </c>
      <c r="B13697" t="s">
        <v>33</v>
      </c>
      <c r="C13697" t="str">
        <f t="shared" si="428"/>
        <v>No cumple</v>
      </c>
      <c r="D13697">
        <v>1896</v>
      </c>
      <c r="E13697" t="s">
        <v>11</v>
      </c>
      <c r="F13697">
        <v>7</v>
      </c>
      <c r="G13697">
        <v>15</v>
      </c>
      <c r="H13697">
        <f t="shared" si="427"/>
        <v>-8</v>
      </c>
    </row>
    <row r="13698" spans="1:8" x14ac:dyDescent="0.2">
      <c r="A13698" t="s">
        <v>7</v>
      </c>
      <c r="B13698" t="s">
        <v>33</v>
      </c>
      <c r="C13698" t="str">
        <f t="shared" si="428"/>
        <v>No cumple</v>
      </c>
      <c r="D13698">
        <v>9196</v>
      </c>
      <c r="E13698" t="s">
        <v>11</v>
      </c>
      <c r="F13698">
        <v>7</v>
      </c>
      <c r="G13698">
        <v>15</v>
      </c>
      <c r="H13698">
        <f t="shared" si="427"/>
        <v>-8</v>
      </c>
    </row>
    <row r="13699" spans="1:8" x14ac:dyDescent="0.2">
      <c r="A13699" t="s">
        <v>7</v>
      </c>
      <c r="B13699" t="s">
        <v>33</v>
      </c>
      <c r="C13699" t="str">
        <f t="shared" si="428"/>
        <v>No cumple</v>
      </c>
      <c r="D13699">
        <v>3341</v>
      </c>
      <c r="E13699" t="s">
        <v>10</v>
      </c>
      <c r="F13699">
        <v>6</v>
      </c>
      <c r="G13699">
        <v>20</v>
      </c>
      <c r="H13699">
        <f t="shared" ref="H13699:H13762" si="429">F13699-G13699</f>
        <v>-14</v>
      </c>
    </row>
    <row r="13700" spans="1:8" x14ac:dyDescent="0.2">
      <c r="A13700" t="s">
        <v>7</v>
      </c>
      <c r="B13700" t="s">
        <v>33</v>
      </c>
      <c r="C13700" t="str">
        <f t="shared" si="428"/>
        <v>No cumple</v>
      </c>
      <c r="D13700">
        <v>3091</v>
      </c>
      <c r="E13700" t="s">
        <v>10</v>
      </c>
      <c r="F13700">
        <v>6</v>
      </c>
      <c r="G13700">
        <v>15</v>
      </c>
      <c r="H13700">
        <f t="shared" si="429"/>
        <v>-9</v>
      </c>
    </row>
    <row r="13701" spans="1:8" x14ac:dyDescent="0.2">
      <c r="A13701" t="s">
        <v>7</v>
      </c>
      <c r="B13701" t="s">
        <v>33</v>
      </c>
      <c r="C13701" t="str">
        <f t="shared" ref="C13701:C13764" si="430">IF(H13701&gt;=0,"Cumple","No cumple")</f>
        <v>No cumple</v>
      </c>
      <c r="D13701">
        <v>3138</v>
      </c>
      <c r="E13701" t="s">
        <v>11</v>
      </c>
      <c r="F13701">
        <v>5</v>
      </c>
      <c r="G13701">
        <v>15</v>
      </c>
      <c r="H13701">
        <f t="shared" si="429"/>
        <v>-10</v>
      </c>
    </row>
    <row r="13702" spans="1:8" x14ac:dyDescent="0.2">
      <c r="A13702" t="s">
        <v>7</v>
      </c>
      <c r="B13702" t="s">
        <v>33</v>
      </c>
      <c r="C13702" t="str">
        <f t="shared" si="430"/>
        <v>No cumple</v>
      </c>
      <c r="D13702">
        <v>3982</v>
      </c>
      <c r="E13702" t="s">
        <v>11</v>
      </c>
      <c r="F13702">
        <v>5</v>
      </c>
      <c r="G13702">
        <v>15</v>
      </c>
      <c r="H13702">
        <f t="shared" si="429"/>
        <v>-10</v>
      </c>
    </row>
    <row r="13703" spans="1:8" x14ac:dyDescent="0.2">
      <c r="A13703" t="s">
        <v>7</v>
      </c>
      <c r="B13703" t="s">
        <v>33</v>
      </c>
      <c r="C13703" t="str">
        <f t="shared" si="430"/>
        <v>No cumple</v>
      </c>
      <c r="D13703">
        <v>3233</v>
      </c>
      <c r="E13703" t="s">
        <v>11</v>
      </c>
      <c r="F13703">
        <v>5</v>
      </c>
      <c r="G13703">
        <v>15</v>
      </c>
      <c r="H13703">
        <f t="shared" si="429"/>
        <v>-10</v>
      </c>
    </row>
    <row r="13704" spans="1:8" x14ac:dyDescent="0.2">
      <c r="A13704" t="s">
        <v>7</v>
      </c>
      <c r="B13704" t="s">
        <v>33</v>
      </c>
      <c r="C13704" t="str">
        <f t="shared" si="430"/>
        <v>No cumple</v>
      </c>
      <c r="D13704">
        <v>3192</v>
      </c>
      <c r="E13704" t="s">
        <v>10</v>
      </c>
      <c r="F13704">
        <v>5</v>
      </c>
      <c r="G13704">
        <v>15</v>
      </c>
      <c r="H13704">
        <f t="shared" si="429"/>
        <v>-10</v>
      </c>
    </row>
    <row r="13705" spans="1:8" x14ac:dyDescent="0.2">
      <c r="A13705" t="s">
        <v>7</v>
      </c>
      <c r="B13705" t="s">
        <v>33</v>
      </c>
      <c r="C13705" t="str">
        <f t="shared" si="430"/>
        <v>No cumple</v>
      </c>
      <c r="D13705">
        <v>9103</v>
      </c>
      <c r="E13705" t="s">
        <v>11</v>
      </c>
      <c r="F13705">
        <v>5</v>
      </c>
      <c r="G13705">
        <v>15</v>
      </c>
      <c r="H13705">
        <f t="shared" si="429"/>
        <v>-10</v>
      </c>
    </row>
    <row r="13706" spans="1:8" x14ac:dyDescent="0.2">
      <c r="A13706" t="s">
        <v>7</v>
      </c>
      <c r="B13706" t="s">
        <v>33</v>
      </c>
      <c r="C13706" t="str">
        <f t="shared" si="430"/>
        <v>No cumple</v>
      </c>
      <c r="D13706">
        <v>3671</v>
      </c>
      <c r="E13706" t="s">
        <v>12</v>
      </c>
      <c r="F13706">
        <v>5</v>
      </c>
      <c r="G13706">
        <v>15</v>
      </c>
      <c r="H13706">
        <f t="shared" si="429"/>
        <v>-10</v>
      </c>
    </row>
    <row r="13707" spans="1:8" x14ac:dyDescent="0.2">
      <c r="A13707" t="s">
        <v>7</v>
      </c>
      <c r="B13707" t="s">
        <v>33</v>
      </c>
      <c r="C13707" t="str">
        <f t="shared" si="430"/>
        <v>No cumple</v>
      </c>
      <c r="D13707">
        <v>957</v>
      </c>
      <c r="E13707" t="s">
        <v>12</v>
      </c>
      <c r="F13707">
        <v>5</v>
      </c>
      <c r="G13707">
        <v>15</v>
      </c>
      <c r="H13707">
        <f t="shared" si="429"/>
        <v>-10</v>
      </c>
    </row>
    <row r="13708" spans="1:8" x14ac:dyDescent="0.2">
      <c r="A13708" t="s">
        <v>7</v>
      </c>
      <c r="B13708" t="s">
        <v>33</v>
      </c>
      <c r="C13708" t="str">
        <f t="shared" si="430"/>
        <v>No cumple</v>
      </c>
      <c r="D13708">
        <v>3480</v>
      </c>
      <c r="E13708" t="s">
        <v>11</v>
      </c>
      <c r="F13708">
        <v>4</v>
      </c>
      <c r="G13708">
        <v>15</v>
      </c>
      <c r="H13708">
        <f t="shared" si="429"/>
        <v>-11</v>
      </c>
    </row>
    <row r="13709" spans="1:8" x14ac:dyDescent="0.2">
      <c r="A13709" t="s">
        <v>7</v>
      </c>
      <c r="B13709" t="s">
        <v>33</v>
      </c>
      <c r="C13709" t="str">
        <f t="shared" si="430"/>
        <v>No cumple</v>
      </c>
      <c r="D13709">
        <v>1598</v>
      </c>
      <c r="E13709" t="s">
        <v>10</v>
      </c>
      <c r="F13709">
        <v>4</v>
      </c>
      <c r="G13709">
        <v>15</v>
      </c>
      <c r="H13709">
        <f t="shared" si="429"/>
        <v>-11</v>
      </c>
    </row>
    <row r="13710" spans="1:8" x14ac:dyDescent="0.2">
      <c r="A13710" t="s">
        <v>7</v>
      </c>
      <c r="B13710" t="s">
        <v>33</v>
      </c>
      <c r="C13710" t="str">
        <f t="shared" si="430"/>
        <v>No cumple</v>
      </c>
      <c r="D13710">
        <v>1583</v>
      </c>
      <c r="E13710" t="s">
        <v>11</v>
      </c>
      <c r="F13710">
        <v>4</v>
      </c>
      <c r="G13710">
        <v>15</v>
      </c>
      <c r="H13710">
        <f t="shared" si="429"/>
        <v>-11</v>
      </c>
    </row>
    <row r="13711" spans="1:8" x14ac:dyDescent="0.2">
      <c r="A13711" t="s">
        <v>7</v>
      </c>
      <c r="B13711" t="s">
        <v>33</v>
      </c>
      <c r="C13711" t="str">
        <f t="shared" si="430"/>
        <v>No cumple</v>
      </c>
      <c r="D13711">
        <v>2488</v>
      </c>
      <c r="E13711" t="s">
        <v>10</v>
      </c>
      <c r="F13711">
        <v>4</v>
      </c>
      <c r="G13711">
        <v>15</v>
      </c>
      <c r="H13711">
        <f t="shared" si="429"/>
        <v>-11</v>
      </c>
    </row>
    <row r="13712" spans="1:8" x14ac:dyDescent="0.2">
      <c r="A13712" t="s">
        <v>7</v>
      </c>
      <c r="B13712" t="s">
        <v>33</v>
      </c>
      <c r="C13712" t="str">
        <f t="shared" si="430"/>
        <v>No cumple</v>
      </c>
      <c r="D13712">
        <v>4026</v>
      </c>
      <c r="E13712" t="s">
        <v>11</v>
      </c>
      <c r="F13712">
        <v>4</v>
      </c>
      <c r="G13712">
        <v>15</v>
      </c>
      <c r="H13712">
        <f t="shared" si="429"/>
        <v>-11</v>
      </c>
    </row>
    <row r="13713" spans="1:8" x14ac:dyDescent="0.2">
      <c r="A13713" t="s">
        <v>7</v>
      </c>
      <c r="B13713" t="s">
        <v>33</v>
      </c>
      <c r="C13713" t="str">
        <f t="shared" si="430"/>
        <v>No cumple</v>
      </c>
      <c r="D13713">
        <v>3634</v>
      </c>
      <c r="E13713" t="s">
        <v>12</v>
      </c>
      <c r="F13713">
        <v>3</v>
      </c>
      <c r="G13713">
        <v>15</v>
      </c>
      <c r="H13713">
        <f t="shared" si="429"/>
        <v>-12</v>
      </c>
    </row>
    <row r="13714" spans="1:8" x14ac:dyDescent="0.2">
      <c r="A13714" t="s">
        <v>7</v>
      </c>
      <c r="B13714" t="s">
        <v>33</v>
      </c>
      <c r="C13714" t="str">
        <f t="shared" si="430"/>
        <v>No cumple</v>
      </c>
      <c r="D13714">
        <v>1809</v>
      </c>
      <c r="E13714" t="s">
        <v>11</v>
      </c>
      <c r="F13714">
        <v>2</v>
      </c>
      <c r="G13714">
        <v>15</v>
      </c>
      <c r="H13714">
        <f t="shared" si="429"/>
        <v>-13</v>
      </c>
    </row>
    <row r="13715" spans="1:8" x14ac:dyDescent="0.2">
      <c r="A13715" t="s">
        <v>7</v>
      </c>
      <c r="B13715" t="s">
        <v>33</v>
      </c>
      <c r="C13715" t="str">
        <f t="shared" si="430"/>
        <v>No cumple</v>
      </c>
      <c r="D13715">
        <v>1997</v>
      </c>
      <c r="E13715" t="s">
        <v>10</v>
      </c>
      <c r="F13715">
        <v>2</v>
      </c>
      <c r="G13715">
        <v>15</v>
      </c>
      <c r="H13715">
        <f t="shared" si="429"/>
        <v>-13</v>
      </c>
    </row>
    <row r="13716" spans="1:8" x14ac:dyDescent="0.2">
      <c r="A13716" t="s">
        <v>7</v>
      </c>
      <c r="B13716" t="s">
        <v>33</v>
      </c>
      <c r="C13716" t="str">
        <f t="shared" si="430"/>
        <v>No cumple</v>
      </c>
      <c r="D13716">
        <v>3881</v>
      </c>
      <c r="E13716" t="s">
        <v>11</v>
      </c>
      <c r="F13716">
        <v>2</v>
      </c>
      <c r="G13716">
        <v>15</v>
      </c>
      <c r="H13716">
        <f t="shared" si="429"/>
        <v>-13</v>
      </c>
    </row>
    <row r="13717" spans="1:8" x14ac:dyDescent="0.2">
      <c r="A13717" t="s">
        <v>7</v>
      </c>
      <c r="B13717" t="s">
        <v>33</v>
      </c>
      <c r="C13717" t="str">
        <f t="shared" si="430"/>
        <v>No cumple</v>
      </c>
      <c r="D13717">
        <v>3945</v>
      </c>
      <c r="E13717" t="s">
        <v>11</v>
      </c>
      <c r="F13717">
        <v>2</v>
      </c>
      <c r="G13717">
        <v>15</v>
      </c>
      <c r="H13717">
        <f t="shared" si="429"/>
        <v>-13</v>
      </c>
    </row>
    <row r="13718" spans="1:8" x14ac:dyDescent="0.2">
      <c r="A13718" t="s">
        <v>7</v>
      </c>
      <c r="B13718" t="s">
        <v>33</v>
      </c>
      <c r="C13718" t="str">
        <f t="shared" si="430"/>
        <v>No cumple</v>
      </c>
      <c r="D13718">
        <v>3952</v>
      </c>
      <c r="E13718" t="s">
        <v>11</v>
      </c>
      <c r="F13718">
        <v>2</v>
      </c>
      <c r="G13718">
        <v>15</v>
      </c>
      <c r="H13718">
        <f t="shared" si="429"/>
        <v>-13</v>
      </c>
    </row>
    <row r="13719" spans="1:8" x14ac:dyDescent="0.2">
      <c r="A13719" t="s">
        <v>7</v>
      </c>
      <c r="B13719" t="s">
        <v>33</v>
      </c>
      <c r="C13719" t="str">
        <f t="shared" si="430"/>
        <v>No cumple</v>
      </c>
      <c r="D13719">
        <v>9026</v>
      </c>
      <c r="E13719" t="s">
        <v>10</v>
      </c>
      <c r="F13719">
        <v>2</v>
      </c>
      <c r="G13719">
        <v>15</v>
      </c>
      <c r="H13719">
        <f t="shared" si="429"/>
        <v>-13</v>
      </c>
    </row>
    <row r="13720" spans="1:8" x14ac:dyDescent="0.2">
      <c r="A13720" t="s">
        <v>7</v>
      </c>
      <c r="B13720" t="s">
        <v>33</v>
      </c>
      <c r="C13720" t="str">
        <f t="shared" si="430"/>
        <v>No cumple</v>
      </c>
      <c r="D13720">
        <v>3569</v>
      </c>
      <c r="E13720" t="s">
        <v>11</v>
      </c>
      <c r="F13720">
        <v>2</v>
      </c>
      <c r="G13720">
        <v>15</v>
      </c>
      <c r="H13720">
        <f t="shared" si="429"/>
        <v>-13</v>
      </c>
    </row>
    <row r="13721" spans="1:8" x14ac:dyDescent="0.2">
      <c r="A13721" t="s">
        <v>7</v>
      </c>
      <c r="B13721" t="s">
        <v>33</v>
      </c>
      <c r="C13721" t="str">
        <f t="shared" si="430"/>
        <v>No cumple</v>
      </c>
      <c r="D13721">
        <v>9612</v>
      </c>
      <c r="E13721" t="s">
        <v>12</v>
      </c>
      <c r="F13721">
        <v>2</v>
      </c>
      <c r="G13721">
        <v>15</v>
      </c>
      <c r="H13721">
        <f t="shared" si="429"/>
        <v>-13</v>
      </c>
    </row>
    <row r="13722" spans="1:8" x14ac:dyDescent="0.2">
      <c r="A13722" t="s">
        <v>7</v>
      </c>
      <c r="B13722" t="s">
        <v>33</v>
      </c>
      <c r="C13722" t="str">
        <f t="shared" si="430"/>
        <v>No cumple</v>
      </c>
      <c r="D13722">
        <v>9354</v>
      </c>
      <c r="E13722" t="s">
        <v>11</v>
      </c>
      <c r="F13722">
        <v>1</v>
      </c>
      <c r="G13722">
        <v>15</v>
      </c>
      <c r="H13722">
        <f t="shared" si="429"/>
        <v>-14</v>
      </c>
    </row>
    <row r="13723" spans="1:8" x14ac:dyDescent="0.2">
      <c r="A13723" t="s">
        <v>7</v>
      </c>
      <c r="B13723" t="s">
        <v>33</v>
      </c>
      <c r="C13723" t="str">
        <f t="shared" si="430"/>
        <v>No cumple</v>
      </c>
      <c r="D13723">
        <v>3242</v>
      </c>
      <c r="E13723" t="s">
        <v>11</v>
      </c>
      <c r="F13723">
        <v>1</v>
      </c>
      <c r="G13723">
        <v>15</v>
      </c>
      <c r="H13723">
        <f t="shared" si="429"/>
        <v>-14</v>
      </c>
    </row>
    <row r="13724" spans="1:8" x14ac:dyDescent="0.2">
      <c r="A13724" t="s">
        <v>18</v>
      </c>
      <c r="B13724" t="s">
        <v>33</v>
      </c>
      <c r="C13724" t="str">
        <f t="shared" si="430"/>
        <v>No cumple</v>
      </c>
      <c r="D13724">
        <v>1717</v>
      </c>
      <c r="E13724" t="s">
        <v>11</v>
      </c>
      <c r="F13724">
        <v>0</v>
      </c>
      <c r="G13724">
        <v>15</v>
      </c>
      <c r="H13724">
        <f t="shared" si="429"/>
        <v>-15</v>
      </c>
    </row>
    <row r="13725" spans="1:8" x14ac:dyDescent="0.2">
      <c r="A13725" t="s">
        <v>18</v>
      </c>
      <c r="B13725" t="s">
        <v>33</v>
      </c>
      <c r="C13725" t="str">
        <f t="shared" si="430"/>
        <v>No cumple</v>
      </c>
      <c r="D13725">
        <v>2930</v>
      </c>
      <c r="E13725" t="s">
        <v>11</v>
      </c>
      <c r="F13725">
        <v>0</v>
      </c>
      <c r="G13725">
        <v>15</v>
      </c>
      <c r="H13725">
        <f t="shared" si="429"/>
        <v>-15</v>
      </c>
    </row>
    <row r="13726" spans="1:8" x14ac:dyDescent="0.2">
      <c r="A13726" t="s">
        <v>18</v>
      </c>
      <c r="B13726" t="s">
        <v>33</v>
      </c>
      <c r="C13726" t="str">
        <f t="shared" si="430"/>
        <v>No cumple</v>
      </c>
      <c r="D13726">
        <v>3130</v>
      </c>
      <c r="E13726" t="s">
        <v>11</v>
      </c>
      <c r="F13726">
        <v>0</v>
      </c>
      <c r="G13726">
        <v>15</v>
      </c>
      <c r="H13726">
        <f t="shared" si="429"/>
        <v>-15</v>
      </c>
    </row>
    <row r="13727" spans="1:8" x14ac:dyDescent="0.2">
      <c r="A13727" t="s">
        <v>18</v>
      </c>
      <c r="B13727" t="s">
        <v>33</v>
      </c>
      <c r="C13727" t="str">
        <f t="shared" si="430"/>
        <v>No cumple</v>
      </c>
      <c r="D13727">
        <v>3160</v>
      </c>
      <c r="E13727" t="s">
        <v>11</v>
      </c>
      <c r="F13727">
        <v>0</v>
      </c>
      <c r="G13727">
        <v>15</v>
      </c>
      <c r="H13727">
        <f t="shared" si="429"/>
        <v>-15</v>
      </c>
    </row>
    <row r="13728" spans="1:8" x14ac:dyDescent="0.2">
      <c r="A13728" t="s">
        <v>18</v>
      </c>
      <c r="B13728" t="s">
        <v>33</v>
      </c>
      <c r="C13728" t="str">
        <f t="shared" si="430"/>
        <v>No cumple</v>
      </c>
      <c r="D13728">
        <v>3357</v>
      </c>
      <c r="E13728" t="s">
        <v>11</v>
      </c>
      <c r="F13728">
        <v>0</v>
      </c>
      <c r="G13728">
        <v>15</v>
      </c>
      <c r="H13728">
        <f t="shared" si="429"/>
        <v>-15</v>
      </c>
    </row>
    <row r="13729" spans="1:8" x14ac:dyDescent="0.2">
      <c r="A13729" t="s">
        <v>18</v>
      </c>
      <c r="B13729" t="s">
        <v>33</v>
      </c>
      <c r="C13729" t="str">
        <f t="shared" si="430"/>
        <v>No cumple</v>
      </c>
      <c r="D13729">
        <v>3426</v>
      </c>
      <c r="E13729" t="s">
        <v>11</v>
      </c>
      <c r="F13729">
        <v>0</v>
      </c>
      <c r="G13729">
        <v>15</v>
      </c>
      <c r="H13729">
        <f t="shared" si="429"/>
        <v>-15</v>
      </c>
    </row>
    <row r="13730" spans="1:8" x14ac:dyDescent="0.2">
      <c r="A13730" t="s">
        <v>7</v>
      </c>
      <c r="B13730" t="s">
        <v>33</v>
      </c>
      <c r="C13730" t="str">
        <f t="shared" si="430"/>
        <v>No cumple</v>
      </c>
      <c r="D13730">
        <v>3540</v>
      </c>
      <c r="E13730" t="s">
        <v>11</v>
      </c>
      <c r="F13730">
        <v>0</v>
      </c>
      <c r="G13730">
        <v>15</v>
      </c>
      <c r="H13730">
        <f t="shared" si="429"/>
        <v>-15</v>
      </c>
    </row>
    <row r="13731" spans="1:8" x14ac:dyDescent="0.2">
      <c r="A13731" t="s">
        <v>18</v>
      </c>
      <c r="B13731" t="s">
        <v>33</v>
      </c>
      <c r="C13731" t="str">
        <f t="shared" si="430"/>
        <v>No cumple</v>
      </c>
      <c r="D13731">
        <v>3548</v>
      </c>
      <c r="E13731" t="s">
        <v>10</v>
      </c>
      <c r="F13731">
        <v>0</v>
      </c>
      <c r="G13731">
        <v>15</v>
      </c>
      <c r="H13731">
        <f t="shared" si="429"/>
        <v>-15</v>
      </c>
    </row>
    <row r="13732" spans="1:8" x14ac:dyDescent="0.2">
      <c r="A13732" t="s">
        <v>18</v>
      </c>
      <c r="B13732" t="s">
        <v>33</v>
      </c>
      <c r="C13732" t="str">
        <f t="shared" si="430"/>
        <v>No cumple</v>
      </c>
      <c r="D13732">
        <v>3606</v>
      </c>
      <c r="E13732" t="s">
        <v>12</v>
      </c>
      <c r="F13732">
        <v>0</v>
      </c>
      <c r="G13732">
        <v>15</v>
      </c>
      <c r="H13732">
        <f t="shared" si="429"/>
        <v>-15</v>
      </c>
    </row>
    <row r="13733" spans="1:8" x14ac:dyDescent="0.2">
      <c r="A13733" t="s">
        <v>18</v>
      </c>
      <c r="B13733" t="s">
        <v>33</v>
      </c>
      <c r="C13733" t="str">
        <f t="shared" si="430"/>
        <v>No cumple</v>
      </c>
      <c r="D13733">
        <v>3636</v>
      </c>
      <c r="E13733" t="s">
        <v>12</v>
      </c>
      <c r="F13733">
        <v>0</v>
      </c>
      <c r="G13733">
        <v>15</v>
      </c>
      <c r="H13733">
        <f t="shared" si="429"/>
        <v>-15</v>
      </c>
    </row>
    <row r="13734" spans="1:8" x14ac:dyDescent="0.2">
      <c r="A13734" t="s">
        <v>18</v>
      </c>
      <c r="B13734" t="s">
        <v>33</v>
      </c>
      <c r="C13734" t="str">
        <f t="shared" si="430"/>
        <v>No cumple</v>
      </c>
      <c r="D13734">
        <v>3649</v>
      </c>
      <c r="E13734" t="s">
        <v>12</v>
      </c>
      <c r="F13734">
        <v>0</v>
      </c>
      <c r="G13734">
        <v>15</v>
      </c>
      <c r="H13734">
        <f t="shared" si="429"/>
        <v>-15</v>
      </c>
    </row>
    <row r="13735" spans="1:8" x14ac:dyDescent="0.2">
      <c r="A13735" t="s">
        <v>18</v>
      </c>
      <c r="B13735" t="s">
        <v>33</v>
      </c>
      <c r="C13735" t="str">
        <f t="shared" si="430"/>
        <v>No cumple</v>
      </c>
      <c r="D13735">
        <v>3673</v>
      </c>
      <c r="E13735" t="s">
        <v>11</v>
      </c>
      <c r="F13735">
        <v>0</v>
      </c>
      <c r="G13735">
        <v>15</v>
      </c>
      <c r="H13735">
        <f t="shared" si="429"/>
        <v>-15</v>
      </c>
    </row>
    <row r="13736" spans="1:8" x14ac:dyDescent="0.2">
      <c r="A13736" t="s">
        <v>18</v>
      </c>
      <c r="B13736" t="s">
        <v>33</v>
      </c>
      <c r="C13736" t="str">
        <f t="shared" si="430"/>
        <v>No cumple</v>
      </c>
      <c r="D13736">
        <v>3787</v>
      </c>
      <c r="E13736" t="s">
        <v>12</v>
      </c>
      <c r="F13736">
        <v>0</v>
      </c>
      <c r="G13736">
        <v>15</v>
      </c>
      <c r="H13736">
        <f t="shared" si="429"/>
        <v>-15</v>
      </c>
    </row>
    <row r="13737" spans="1:8" x14ac:dyDescent="0.2">
      <c r="A13737" t="s">
        <v>18</v>
      </c>
      <c r="B13737" t="s">
        <v>33</v>
      </c>
      <c r="C13737" t="str">
        <f t="shared" si="430"/>
        <v>No cumple</v>
      </c>
      <c r="D13737">
        <v>3828</v>
      </c>
      <c r="E13737" t="s">
        <v>11</v>
      </c>
      <c r="F13737">
        <v>0</v>
      </c>
      <c r="G13737">
        <v>15</v>
      </c>
      <c r="H13737">
        <f t="shared" si="429"/>
        <v>-15</v>
      </c>
    </row>
    <row r="13738" spans="1:8" x14ac:dyDescent="0.2">
      <c r="A13738" t="s">
        <v>18</v>
      </c>
      <c r="B13738" t="s">
        <v>33</v>
      </c>
      <c r="C13738" t="str">
        <f t="shared" si="430"/>
        <v>No cumple</v>
      </c>
      <c r="D13738">
        <v>3849</v>
      </c>
      <c r="E13738" t="s">
        <v>11</v>
      </c>
      <c r="F13738">
        <v>0</v>
      </c>
      <c r="G13738">
        <v>15</v>
      </c>
      <c r="H13738">
        <f t="shared" si="429"/>
        <v>-15</v>
      </c>
    </row>
    <row r="13739" spans="1:8" x14ac:dyDescent="0.2">
      <c r="A13739" t="s">
        <v>18</v>
      </c>
      <c r="B13739" t="s">
        <v>33</v>
      </c>
      <c r="C13739" t="str">
        <f t="shared" si="430"/>
        <v>No cumple</v>
      </c>
      <c r="D13739">
        <v>3883</v>
      </c>
      <c r="E13739" t="s">
        <v>11</v>
      </c>
      <c r="F13739">
        <v>0</v>
      </c>
      <c r="G13739">
        <v>15</v>
      </c>
      <c r="H13739">
        <f t="shared" si="429"/>
        <v>-15</v>
      </c>
    </row>
    <row r="13740" spans="1:8" x14ac:dyDescent="0.2">
      <c r="A13740" t="s">
        <v>18</v>
      </c>
      <c r="B13740" t="s">
        <v>33</v>
      </c>
      <c r="C13740" t="str">
        <f t="shared" si="430"/>
        <v>No cumple</v>
      </c>
      <c r="D13740">
        <v>3907</v>
      </c>
      <c r="E13740" t="s">
        <v>11</v>
      </c>
      <c r="F13740">
        <v>0</v>
      </c>
      <c r="G13740">
        <v>15</v>
      </c>
      <c r="H13740">
        <f t="shared" si="429"/>
        <v>-15</v>
      </c>
    </row>
    <row r="13741" spans="1:8" x14ac:dyDescent="0.2">
      <c r="A13741" t="s">
        <v>18</v>
      </c>
      <c r="B13741" t="s">
        <v>33</v>
      </c>
      <c r="C13741" t="str">
        <f t="shared" si="430"/>
        <v>No cumple</v>
      </c>
      <c r="D13741">
        <v>3997</v>
      </c>
      <c r="E13741" t="s">
        <v>11</v>
      </c>
      <c r="F13741">
        <v>0</v>
      </c>
      <c r="G13741">
        <v>15</v>
      </c>
      <c r="H13741">
        <f t="shared" si="429"/>
        <v>-15</v>
      </c>
    </row>
    <row r="13742" spans="1:8" x14ac:dyDescent="0.2">
      <c r="A13742" t="s">
        <v>18</v>
      </c>
      <c r="B13742" t="s">
        <v>33</v>
      </c>
      <c r="C13742" t="str">
        <f t="shared" si="430"/>
        <v>No cumple</v>
      </c>
      <c r="D13742">
        <v>3998</v>
      </c>
      <c r="E13742" t="s">
        <v>11</v>
      </c>
      <c r="F13742">
        <v>0</v>
      </c>
      <c r="G13742">
        <v>15</v>
      </c>
      <c r="H13742">
        <f t="shared" si="429"/>
        <v>-15</v>
      </c>
    </row>
    <row r="13743" spans="1:8" x14ac:dyDescent="0.2">
      <c r="A13743" t="s">
        <v>18</v>
      </c>
      <c r="B13743" t="s">
        <v>33</v>
      </c>
      <c r="C13743" t="str">
        <f t="shared" si="430"/>
        <v>No cumple</v>
      </c>
      <c r="D13743">
        <v>4025</v>
      </c>
      <c r="E13743" t="s">
        <v>11</v>
      </c>
      <c r="F13743">
        <v>0</v>
      </c>
      <c r="G13743">
        <v>15</v>
      </c>
      <c r="H13743">
        <f t="shared" si="429"/>
        <v>-15</v>
      </c>
    </row>
    <row r="13744" spans="1:8" x14ac:dyDescent="0.2">
      <c r="A13744" t="s">
        <v>18</v>
      </c>
      <c r="B13744" t="s">
        <v>33</v>
      </c>
      <c r="C13744" t="str">
        <f t="shared" si="430"/>
        <v>No cumple</v>
      </c>
      <c r="D13744">
        <v>9053</v>
      </c>
      <c r="E13744" t="s">
        <v>11</v>
      </c>
      <c r="F13744">
        <v>0</v>
      </c>
      <c r="G13744">
        <v>20</v>
      </c>
      <c r="H13744">
        <f t="shared" si="429"/>
        <v>-20</v>
      </c>
    </row>
    <row r="13745" spans="1:8" x14ac:dyDescent="0.2">
      <c r="A13745" t="s">
        <v>18</v>
      </c>
      <c r="B13745" t="s">
        <v>33</v>
      </c>
      <c r="C13745" t="str">
        <f t="shared" si="430"/>
        <v>No cumple</v>
      </c>
      <c r="D13745">
        <v>9325</v>
      </c>
      <c r="E13745" t="s">
        <v>11</v>
      </c>
      <c r="F13745">
        <v>0</v>
      </c>
      <c r="G13745">
        <v>15</v>
      </c>
      <c r="H13745">
        <f t="shared" si="429"/>
        <v>-15</v>
      </c>
    </row>
    <row r="13746" spans="1:8" x14ac:dyDescent="0.2">
      <c r="A13746" t="s">
        <v>18</v>
      </c>
      <c r="B13746" t="s">
        <v>33</v>
      </c>
      <c r="C13746" t="str">
        <f t="shared" si="430"/>
        <v>No cumple</v>
      </c>
      <c r="D13746">
        <v>9894</v>
      </c>
      <c r="E13746" t="s">
        <v>11</v>
      </c>
      <c r="F13746">
        <v>0</v>
      </c>
      <c r="G13746">
        <v>15</v>
      </c>
      <c r="H13746">
        <f t="shared" si="429"/>
        <v>-15</v>
      </c>
    </row>
    <row r="13747" spans="1:8" x14ac:dyDescent="0.2">
      <c r="A13747" t="s">
        <v>18</v>
      </c>
      <c r="B13747" t="s">
        <v>33</v>
      </c>
      <c r="C13747" t="str">
        <f t="shared" si="430"/>
        <v>No cumple</v>
      </c>
      <c r="D13747">
        <v>474</v>
      </c>
      <c r="E13747" t="s">
        <v>11</v>
      </c>
      <c r="F13747">
        <v>0</v>
      </c>
      <c r="G13747">
        <v>15</v>
      </c>
      <c r="H13747">
        <f t="shared" si="429"/>
        <v>-15</v>
      </c>
    </row>
    <row r="13748" spans="1:8" x14ac:dyDescent="0.2">
      <c r="A13748" t="s">
        <v>18</v>
      </c>
      <c r="B13748" t="s">
        <v>33</v>
      </c>
      <c r="C13748" t="str">
        <f t="shared" si="430"/>
        <v>No cumple</v>
      </c>
      <c r="D13748">
        <v>9925</v>
      </c>
      <c r="E13748" t="s">
        <v>10</v>
      </c>
      <c r="F13748">
        <v>0</v>
      </c>
      <c r="G13748">
        <v>15</v>
      </c>
      <c r="H13748">
        <f t="shared" si="429"/>
        <v>-15</v>
      </c>
    </row>
    <row r="13749" spans="1:8" x14ac:dyDescent="0.2">
      <c r="A13749" t="s">
        <v>7</v>
      </c>
      <c r="B13749" t="s">
        <v>33</v>
      </c>
      <c r="C13749" t="str">
        <f t="shared" si="430"/>
        <v>Cumple</v>
      </c>
      <c r="D13749">
        <v>3691</v>
      </c>
      <c r="E13749" t="s">
        <v>13</v>
      </c>
      <c r="F13749">
        <v>16</v>
      </c>
      <c r="G13749">
        <v>6</v>
      </c>
      <c r="H13749">
        <f t="shared" si="429"/>
        <v>10</v>
      </c>
    </row>
    <row r="13750" spans="1:8" x14ac:dyDescent="0.2">
      <c r="A13750" t="s">
        <v>7</v>
      </c>
      <c r="B13750" t="s">
        <v>33</v>
      </c>
      <c r="C13750" t="str">
        <f t="shared" si="430"/>
        <v>Cumple</v>
      </c>
      <c r="D13750">
        <v>1891</v>
      </c>
      <c r="E13750" t="s">
        <v>13</v>
      </c>
      <c r="F13750">
        <v>12</v>
      </c>
      <c r="G13750">
        <v>6</v>
      </c>
      <c r="H13750">
        <f t="shared" si="429"/>
        <v>6</v>
      </c>
    </row>
    <row r="13751" spans="1:8" x14ac:dyDescent="0.2">
      <c r="A13751" t="s">
        <v>7</v>
      </c>
      <c r="B13751" t="s">
        <v>33</v>
      </c>
      <c r="C13751" t="str">
        <f t="shared" si="430"/>
        <v>Cumple</v>
      </c>
      <c r="D13751">
        <v>3663</v>
      </c>
      <c r="E13751" t="s">
        <v>13</v>
      </c>
      <c r="F13751">
        <v>12</v>
      </c>
      <c r="G13751">
        <v>6</v>
      </c>
      <c r="H13751">
        <f t="shared" si="429"/>
        <v>6</v>
      </c>
    </row>
    <row r="13752" spans="1:8" x14ac:dyDescent="0.2">
      <c r="A13752" t="s">
        <v>7</v>
      </c>
      <c r="B13752" t="s">
        <v>33</v>
      </c>
      <c r="C13752" t="str">
        <f t="shared" si="430"/>
        <v>Cumple</v>
      </c>
      <c r="D13752">
        <v>9967</v>
      </c>
      <c r="E13752" t="s">
        <v>13</v>
      </c>
      <c r="F13752">
        <v>12</v>
      </c>
      <c r="G13752">
        <v>6</v>
      </c>
      <c r="H13752">
        <f t="shared" si="429"/>
        <v>6</v>
      </c>
    </row>
    <row r="13753" spans="1:8" x14ac:dyDescent="0.2">
      <c r="A13753" t="s">
        <v>7</v>
      </c>
      <c r="B13753" t="s">
        <v>33</v>
      </c>
      <c r="C13753" t="str">
        <f t="shared" si="430"/>
        <v>Cumple</v>
      </c>
      <c r="D13753">
        <v>292</v>
      </c>
      <c r="E13753" t="s">
        <v>13</v>
      </c>
      <c r="F13753">
        <v>11</v>
      </c>
      <c r="G13753">
        <v>3</v>
      </c>
      <c r="H13753">
        <f t="shared" si="429"/>
        <v>8</v>
      </c>
    </row>
    <row r="13754" spans="1:8" x14ac:dyDescent="0.2">
      <c r="A13754" t="s">
        <v>7</v>
      </c>
      <c r="B13754" t="s">
        <v>33</v>
      </c>
      <c r="C13754" t="str">
        <f t="shared" si="430"/>
        <v>Cumple</v>
      </c>
      <c r="D13754">
        <v>831</v>
      </c>
      <c r="E13754" t="s">
        <v>13</v>
      </c>
      <c r="F13754">
        <v>11</v>
      </c>
      <c r="G13754">
        <v>6</v>
      </c>
      <c r="H13754">
        <f t="shared" si="429"/>
        <v>5</v>
      </c>
    </row>
    <row r="13755" spans="1:8" x14ac:dyDescent="0.2">
      <c r="A13755" t="s">
        <v>7</v>
      </c>
      <c r="B13755" t="s">
        <v>33</v>
      </c>
      <c r="C13755" t="str">
        <f t="shared" si="430"/>
        <v>Cumple</v>
      </c>
      <c r="D13755">
        <v>2851</v>
      </c>
      <c r="E13755" t="s">
        <v>13</v>
      </c>
      <c r="F13755">
        <v>11</v>
      </c>
      <c r="G13755">
        <v>6</v>
      </c>
      <c r="H13755">
        <f t="shared" si="429"/>
        <v>5</v>
      </c>
    </row>
    <row r="13756" spans="1:8" x14ac:dyDescent="0.2">
      <c r="A13756" t="s">
        <v>7</v>
      </c>
      <c r="B13756" t="s">
        <v>33</v>
      </c>
      <c r="C13756" t="str">
        <f t="shared" si="430"/>
        <v>Cumple</v>
      </c>
      <c r="D13756">
        <v>3664</v>
      </c>
      <c r="E13756" t="s">
        <v>13</v>
      </c>
      <c r="F13756">
        <v>11</v>
      </c>
      <c r="G13756">
        <v>6</v>
      </c>
      <c r="H13756">
        <f t="shared" si="429"/>
        <v>5</v>
      </c>
    </row>
    <row r="13757" spans="1:8" x14ac:dyDescent="0.2">
      <c r="A13757" t="s">
        <v>7</v>
      </c>
      <c r="B13757" t="s">
        <v>33</v>
      </c>
      <c r="C13757" t="str">
        <f t="shared" si="430"/>
        <v>Cumple</v>
      </c>
      <c r="D13757">
        <v>4029</v>
      </c>
      <c r="E13757" t="s">
        <v>13</v>
      </c>
      <c r="F13757">
        <v>11</v>
      </c>
      <c r="G13757">
        <v>3</v>
      </c>
      <c r="H13757">
        <f t="shared" si="429"/>
        <v>8</v>
      </c>
    </row>
    <row r="13758" spans="1:8" x14ac:dyDescent="0.2">
      <c r="A13758" t="s">
        <v>7</v>
      </c>
      <c r="B13758" t="s">
        <v>33</v>
      </c>
      <c r="C13758" t="str">
        <f t="shared" si="430"/>
        <v>Cumple</v>
      </c>
      <c r="D13758">
        <v>223</v>
      </c>
      <c r="E13758" t="s">
        <v>13</v>
      </c>
      <c r="F13758">
        <v>10</v>
      </c>
      <c r="G13758">
        <v>6</v>
      </c>
      <c r="H13758">
        <f t="shared" si="429"/>
        <v>4</v>
      </c>
    </row>
    <row r="13759" spans="1:8" x14ac:dyDescent="0.2">
      <c r="A13759" t="s">
        <v>7</v>
      </c>
      <c r="B13759" t="s">
        <v>33</v>
      </c>
      <c r="C13759" t="str">
        <f t="shared" si="430"/>
        <v>Cumple</v>
      </c>
      <c r="D13759">
        <v>818</v>
      </c>
      <c r="E13759" t="s">
        <v>13</v>
      </c>
      <c r="F13759">
        <v>10</v>
      </c>
      <c r="G13759">
        <v>6</v>
      </c>
      <c r="H13759">
        <f t="shared" si="429"/>
        <v>4</v>
      </c>
    </row>
    <row r="13760" spans="1:8" x14ac:dyDescent="0.2">
      <c r="A13760" t="s">
        <v>7</v>
      </c>
      <c r="B13760" t="s">
        <v>33</v>
      </c>
      <c r="C13760" t="str">
        <f t="shared" si="430"/>
        <v>Cumple</v>
      </c>
      <c r="D13760">
        <v>1857</v>
      </c>
      <c r="E13760" t="s">
        <v>13</v>
      </c>
      <c r="F13760">
        <v>10</v>
      </c>
      <c r="G13760">
        <v>3</v>
      </c>
      <c r="H13760">
        <f t="shared" si="429"/>
        <v>7</v>
      </c>
    </row>
    <row r="13761" spans="1:8" x14ac:dyDescent="0.2">
      <c r="A13761" t="s">
        <v>7</v>
      </c>
      <c r="B13761" t="s">
        <v>33</v>
      </c>
      <c r="C13761" t="str">
        <f t="shared" si="430"/>
        <v>Cumple</v>
      </c>
      <c r="D13761">
        <v>1887</v>
      </c>
      <c r="E13761" t="s">
        <v>13</v>
      </c>
      <c r="F13761">
        <v>10</v>
      </c>
      <c r="G13761">
        <v>6</v>
      </c>
      <c r="H13761">
        <f t="shared" si="429"/>
        <v>4</v>
      </c>
    </row>
    <row r="13762" spans="1:8" x14ac:dyDescent="0.2">
      <c r="A13762" t="s">
        <v>7</v>
      </c>
      <c r="B13762" t="s">
        <v>33</v>
      </c>
      <c r="C13762" t="str">
        <f t="shared" si="430"/>
        <v>Cumple</v>
      </c>
      <c r="D13762">
        <v>3079</v>
      </c>
      <c r="E13762" t="s">
        <v>13</v>
      </c>
      <c r="F13762">
        <v>10</v>
      </c>
      <c r="G13762">
        <v>6</v>
      </c>
      <c r="H13762">
        <f t="shared" si="429"/>
        <v>4</v>
      </c>
    </row>
    <row r="13763" spans="1:8" x14ac:dyDescent="0.2">
      <c r="A13763" t="s">
        <v>7</v>
      </c>
      <c r="B13763" t="s">
        <v>33</v>
      </c>
      <c r="C13763" t="str">
        <f t="shared" si="430"/>
        <v>Cumple</v>
      </c>
      <c r="D13763">
        <v>3791</v>
      </c>
      <c r="E13763" t="s">
        <v>13</v>
      </c>
      <c r="F13763">
        <v>10</v>
      </c>
      <c r="G13763">
        <v>6</v>
      </c>
      <c r="H13763">
        <f t="shared" ref="H13763:H13826" si="431">F13763-G13763</f>
        <v>4</v>
      </c>
    </row>
    <row r="13764" spans="1:8" x14ac:dyDescent="0.2">
      <c r="A13764" t="s">
        <v>7</v>
      </c>
      <c r="B13764" t="s">
        <v>33</v>
      </c>
      <c r="C13764" t="str">
        <f t="shared" si="430"/>
        <v>Cumple</v>
      </c>
      <c r="D13764">
        <v>9795</v>
      </c>
      <c r="E13764" t="s">
        <v>13</v>
      </c>
      <c r="F13764">
        <v>10</v>
      </c>
      <c r="G13764">
        <v>6</v>
      </c>
      <c r="H13764">
        <f t="shared" si="431"/>
        <v>4</v>
      </c>
    </row>
    <row r="13765" spans="1:8" x14ac:dyDescent="0.2">
      <c r="A13765" t="s">
        <v>7</v>
      </c>
      <c r="B13765" t="s">
        <v>33</v>
      </c>
      <c r="C13765" t="str">
        <f t="shared" ref="C13765:C13828" si="432">IF(H13765&gt;=0,"Cumple","No cumple")</f>
        <v>Cumple</v>
      </c>
      <c r="D13765">
        <v>219</v>
      </c>
      <c r="E13765" t="s">
        <v>13</v>
      </c>
      <c r="F13765">
        <v>9</v>
      </c>
      <c r="G13765">
        <v>6</v>
      </c>
      <c r="H13765">
        <f t="shared" si="431"/>
        <v>3</v>
      </c>
    </row>
    <row r="13766" spans="1:8" x14ac:dyDescent="0.2">
      <c r="A13766" t="s">
        <v>7</v>
      </c>
      <c r="B13766" t="s">
        <v>33</v>
      </c>
      <c r="C13766" t="str">
        <f t="shared" si="432"/>
        <v>Cumple</v>
      </c>
      <c r="D13766">
        <v>707</v>
      </c>
      <c r="E13766" t="s">
        <v>13</v>
      </c>
      <c r="F13766">
        <v>9</v>
      </c>
      <c r="G13766">
        <v>6</v>
      </c>
      <c r="H13766">
        <f t="shared" si="431"/>
        <v>3</v>
      </c>
    </row>
    <row r="13767" spans="1:8" x14ac:dyDescent="0.2">
      <c r="A13767" t="s">
        <v>7</v>
      </c>
      <c r="B13767" t="s">
        <v>33</v>
      </c>
      <c r="C13767" t="str">
        <f t="shared" si="432"/>
        <v>Cumple</v>
      </c>
      <c r="D13767">
        <v>784</v>
      </c>
      <c r="E13767" t="s">
        <v>13</v>
      </c>
      <c r="F13767">
        <v>9</v>
      </c>
      <c r="G13767">
        <v>6</v>
      </c>
      <c r="H13767">
        <f t="shared" si="431"/>
        <v>3</v>
      </c>
    </row>
    <row r="13768" spans="1:8" x14ac:dyDescent="0.2">
      <c r="A13768" t="s">
        <v>7</v>
      </c>
      <c r="B13768" t="s">
        <v>33</v>
      </c>
      <c r="C13768" t="str">
        <f t="shared" si="432"/>
        <v>Cumple</v>
      </c>
      <c r="D13768">
        <v>927</v>
      </c>
      <c r="E13768" t="s">
        <v>13</v>
      </c>
      <c r="F13768">
        <v>9</v>
      </c>
      <c r="G13768">
        <v>6</v>
      </c>
      <c r="H13768">
        <f t="shared" si="431"/>
        <v>3</v>
      </c>
    </row>
    <row r="13769" spans="1:8" x14ac:dyDescent="0.2">
      <c r="A13769" t="s">
        <v>7</v>
      </c>
      <c r="B13769" t="s">
        <v>33</v>
      </c>
      <c r="C13769" t="str">
        <f t="shared" si="432"/>
        <v>Cumple</v>
      </c>
      <c r="D13769">
        <v>1447</v>
      </c>
      <c r="E13769" t="s">
        <v>13</v>
      </c>
      <c r="F13769">
        <v>9</v>
      </c>
      <c r="G13769">
        <v>6</v>
      </c>
      <c r="H13769">
        <f t="shared" si="431"/>
        <v>3</v>
      </c>
    </row>
    <row r="13770" spans="1:8" x14ac:dyDescent="0.2">
      <c r="A13770" t="s">
        <v>7</v>
      </c>
      <c r="B13770" t="s">
        <v>33</v>
      </c>
      <c r="C13770" t="str">
        <f t="shared" si="432"/>
        <v>Cumple</v>
      </c>
      <c r="D13770">
        <v>1468</v>
      </c>
      <c r="E13770" t="s">
        <v>13</v>
      </c>
      <c r="F13770">
        <v>9</v>
      </c>
      <c r="G13770">
        <v>6</v>
      </c>
      <c r="H13770">
        <f t="shared" si="431"/>
        <v>3</v>
      </c>
    </row>
    <row r="13771" spans="1:8" x14ac:dyDescent="0.2">
      <c r="A13771" t="s">
        <v>7</v>
      </c>
      <c r="B13771" t="s">
        <v>33</v>
      </c>
      <c r="C13771" t="str">
        <f t="shared" si="432"/>
        <v>Cumple</v>
      </c>
      <c r="D13771">
        <v>2014</v>
      </c>
      <c r="E13771" t="s">
        <v>13</v>
      </c>
      <c r="F13771">
        <v>9</v>
      </c>
      <c r="G13771">
        <v>6</v>
      </c>
      <c r="H13771">
        <f t="shared" si="431"/>
        <v>3</v>
      </c>
    </row>
    <row r="13772" spans="1:8" x14ac:dyDescent="0.2">
      <c r="A13772" t="s">
        <v>7</v>
      </c>
      <c r="B13772" t="s">
        <v>33</v>
      </c>
      <c r="C13772" t="str">
        <f t="shared" si="432"/>
        <v>Cumple</v>
      </c>
      <c r="D13772">
        <v>3661</v>
      </c>
      <c r="E13772" t="s">
        <v>13</v>
      </c>
      <c r="F13772">
        <v>9</v>
      </c>
      <c r="G13772">
        <v>6</v>
      </c>
      <c r="H13772">
        <f t="shared" si="431"/>
        <v>3</v>
      </c>
    </row>
    <row r="13773" spans="1:8" x14ac:dyDescent="0.2">
      <c r="A13773" t="s">
        <v>7</v>
      </c>
      <c r="B13773" t="s">
        <v>33</v>
      </c>
      <c r="C13773" t="str">
        <f t="shared" si="432"/>
        <v>Cumple</v>
      </c>
      <c r="D13773">
        <v>3744</v>
      </c>
      <c r="E13773" t="s">
        <v>13</v>
      </c>
      <c r="F13773">
        <v>9</v>
      </c>
      <c r="G13773">
        <v>6</v>
      </c>
      <c r="H13773">
        <f t="shared" si="431"/>
        <v>3</v>
      </c>
    </row>
    <row r="13774" spans="1:8" x14ac:dyDescent="0.2">
      <c r="A13774" t="s">
        <v>7</v>
      </c>
      <c r="B13774" t="s">
        <v>33</v>
      </c>
      <c r="C13774" t="str">
        <f t="shared" si="432"/>
        <v>Cumple</v>
      </c>
      <c r="D13774">
        <v>3816</v>
      </c>
      <c r="E13774" t="s">
        <v>13</v>
      </c>
      <c r="F13774">
        <v>9</v>
      </c>
      <c r="G13774">
        <v>6</v>
      </c>
      <c r="H13774">
        <f t="shared" si="431"/>
        <v>3</v>
      </c>
    </row>
    <row r="13775" spans="1:8" x14ac:dyDescent="0.2">
      <c r="A13775" t="s">
        <v>7</v>
      </c>
      <c r="B13775" t="s">
        <v>33</v>
      </c>
      <c r="C13775" t="str">
        <f t="shared" si="432"/>
        <v>Cumple</v>
      </c>
      <c r="D13775">
        <v>9020</v>
      </c>
      <c r="E13775" t="s">
        <v>13</v>
      </c>
      <c r="F13775">
        <v>9</v>
      </c>
      <c r="G13775">
        <v>3</v>
      </c>
      <c r="H13775">
        <f t="shared" si="431"/>
        <v>6</v>
      </c>
    </row>
    <row r="13776" spans="1:8" x14ac:dyDescent="0.2">
      <c r="A13776" t="s">
        <v>7</v>
      </c>
      <c r="B13776" t="s">
        <v>33</v>
      </c>
      <c r="C13776" t="str">
        <f t="shared" si="432"/>
        <v>Cumple</v>
      </c>
      <c r="D13776">
        <v>9132</v>
      </c>
      <c r="E13776" t="s">
        <v>13</v>
      </c>
      <c r="F13776">
        <v>9</v>
      </c>
      <c r="G13776">
        <v>6</v>
      </c>
      <c r="H13776">
        <f t="shared" si="431"/>
        <v>3</v>
      </c>
    </row>
    <row r="13777" spans="1:8" x14ac:dyDescent="0.2">
      <c r="A13777" t="s">
        <v>7</v>
      </c>
      <c r="B13777" t="s">
        <v>33</v>
      </c>
      <c r="C13777" t="str">
        <f t="shared" si="432"/>
        <v>Cumple</v>
      </c>
      <c r="D13777">
        <v>9158</v>
      </c>
      <c r="E13777" t="s">
        <v>13</v>
      </c>
      <c r="F13777">
        <v>9</v>
      </c>
      <c r="G13777">
        <v>3</v>
      </c>
      <c r="H13777">
        <f t="shared" si="431"/>
        <v>6</v>
      </c>
    </row>
    <row r="13778" spans="1:8" x14ac:dyDescent="0.2">
      <c r="A13778" t="s">
        <v>7</v>
      </c>
      <c r="B13778" t="s">
        <v>33</v>
      </c>
      <c r="C13778" t="str">
        <f t="shared" si="432"/>
        <v>Cumple</v>
      </c>
      <c r="D13778">
        <v>9742</v>
      </c>
      <c r="E13778" t="s">
        <v>13</v>
      </c>
      <c r="F13778">
        <v>9</v>
      </c>
      <c r="G13778">
        <v>6</v>
      </c>
      <c r="H13778">
        <f t="shared" si="431"/>
        <v>3</v>
      </c>
    </row>
    <row r="13779" spans="1:8" x14ac:dyDescent="0.2">
      <c r="A13779" t="s">
        <v>7</v>
      </c>
      <c r="B13779" t="s">
        <v>33</v>
      </c>
      <c r="C13779" t="str">
        <f t="shared" si="432"/>
        <v>Cumple</v>
      </c>
      <c r="D13779">
        <v>283</v>
      </c>
      <c r="E13779" t="s">
        <v>13</v>
      </c>
      <c r="F13779">
        <v>8</v>
      </c>
      <c r="G13779">
        <v>6</v>
      </c>
      <c r="H13779">
        <f t="shared" si="431"/>
        <v>2</v>
      </c>
    </row>
    <row r="13780" spans="1:8" x14ac:dyDescent="0.2">
      <c r="A13780" t="s">
        <v>7</v>
      </c>
      <c r="B13780" t="s">
        <v>33</v>
      </c>
      <c r="C13780" t="str">
        <f t="shared" si="432"/>
        <v>Cumple</v>
      </c>
      <c r="D13780">
        <v>291</v>
      </c>
      <c r="E13780" t="s">
        <v>13</v>
      </c>
      <c r="F13780">
        <v>8</v>
      </c>
      <c r="G13780">
        <v>6</v>
      </c>
      <c r="H13780">
        <f t="shared" si="431"/>
        <v>2</v>
      </c>
    </row>
    <row r="13781" spans="1:8" x14ac:dyDescent="0.2">
      <c r="A13781" t="s">
        <v>7</v>
      </c>
      <c r="B13781" t="s">
        <v>33</v>
      </c>
      <c r="C13781" t="str">
        <f t="shared" si="432"/>
        <v>Cumple</v>
      </c>
      <c r="D13781">
        <v>498</v>
      </c>
      <c r="E13781" t="s">
        <v>13</v>
      </c>
      <c r="F13781">
        <v>8</v>
      </c>
      <c r="G13781">
        <v>3</v>
      </c>
      <c r="H13781">
        <f t="shared" si="431"/>
        <v>5</v>
      </c>
    </row>
    <row r="13782" spans="1:8" x14ac:dyDescent="0.2">
      <c r="A13782" t="s">
        <v>7</v>
      </c>
      <c r="B13782" t="s">
        <v>33</v>
      </c>
      <c r="C13782" t="str">
        <f t="shared" si="432"/>
        <v>Cumple</v>
      </c>
      <c r="D13782">
        <v>785</v>
      </c>
      <c r="E13782" t="s">
        <v>13</v>
      </c>
      <c r="F13782">
        <v>8</v>
      </c>
      <c r="G13782">
        <v>6</v>
      </c>
      <c r="H13782">
        <f t="shared" si="431"/>
        <v>2</v>
      </c>
    </row>
    <row r="13783" spans="1:8" x14ac:dyDescent="0.2">
      <c r="A13783" t="s">
        <v>7</v>
      </c>
      <c r="B13783" t="s">
        <v>33</v>
      </c>
      <c r="C13783" t="str">
        <f t="shared" si="432"/>
        <v>Cumple</v>
      </c>
      <c r="D13783">
        <v>1410</v>
      </c>
      <c r="E13783" t="s">
        <v>13</v>
      </c>
      <c r="F13783">
        <v>8</v>
      </c>
      <c r="G13783">
        <v>3</v>
      </c>
      <c r="H13783">
        <f t="shared" si="431"/>
        <v>5</v>
      </c>
    </row>
    <row r="13784" spans="1:8" x14ac:dyDescent="0.2">
      <c r="A13784" t="s">
        <v>7</v>
      </c>
      <c r="B13784" t="s">
        <v>33</v>
      </c>
      <c r="C13784" t="str">
        <f t="shared" si="432"/>
        <v>Cumple</v>
      </c>
      <c r="D13784">
        <v>1416</v>
      </c>
      <c r="E13784" t="s">
        <v>13</v>
      </c>
      <c r="F13784">
        <v>8</v>
      </c>
      <c r="G13784">
        <v>6</v>
      </c>
      <c r="H13784">
        <f t="shared" si="431"/>
        <v>2</v>
      </c>
    </row>
    <row r="13785" spans="1:8" x14ac:dyDescent="0.2">
      <c r="A13785" t="s">
        <v>7</v>
      </c>
      <c r="B13785" t="s">
        <v>33</v>
      </c>
      <c r="C13785" t="str">
        <f t="shared" si="432"/>
        <v>Cumple</v>
      </c>
      <c r="D13785">
        <v>1429</v>
      </c>
      <c r="E13785" t="s">
        <v>13</v>
      </c>
      <c r="F13785">
        <v>8</v>
      </c>
      <c r="G13785">
        <v>6</v>
      </c>
      <c r="H13785">
        <f t="shared" si="431"/>
        <v>2</v>
      </c>
    </row>
    <row r="13786" spans="1:8" x14ac:dyDescent="0.2">
      <c r="A13786" t="s">
        <v>7</v>
      </c>
      <c r="B13786" t="s">
        <v>33</v>
      </c>
      <c r="C13786" t="str">
        <f t="shared" si="432"/>
        <v>Cumple</v>
      </c>
      <c r="D13786">
        <v>1595</v>
      </c>
      <c r="E13786" t="s">
        <v>13</v>
      </c>
      <c r="F13786">
        <v>8</v>
      </c>
      <c r="G13786">
        <v>6</v>
      </c>
      <c r="H13786">
        <f t="shared" si="431"/>
        <v>2</v>
      </c>
    </row>
    <row r="13787" spans="1:8" x14ac:dyDescent="0.2">
      <c r="A13787" t="s">
        <v>7</v>
      </c>
      <c r="B13787" t="s">
        <v>33</v>
      </c>
      <c r="C13787" t="str">
        <f t="shared" si="432"/>
        <v>Cumple</v>
      </c>
      <c r="D13787">
        <v>1624</v>
      </c>
      <c r="E13787" t="s">
        <v>13</v>
      </c>
      <c r="F13787">
        <v>8</v>
      </c>
      <c r="G13787">
        <v>3</v>
      </c>
      <c r="H13787">
        <f t="shared" si="431"/>
        <v>5</v>
      </c>
    </row>
    <row r="13788" spans="1:8" x14ac:dyDescent="0.2">
      <c r="A13788" t="s">
        <v>7</v>
      </c>
      <c r="B13788" t="s">
        <v>33</v>
      </c>
      <c r="C13788" t="str">
        <f t="shared" si="432"/>
        <v>Cumple</v>
      </c>
      <c r="D13788">
        <v>1813</v>
      </c>
      <c r="E13788" t="s">
        <v>13</v>
      </c>
      <c r="F13788">
        <v>8</v>
      </c>
      <c r="G13788">
        <v>6</v>
      </c>
      <c r="H13788">
        <f t="shared" si="431"/>
        <v>2</v>
      </c>
    </row>
    <row r="13789" spans="1:8" x14ac:dyDescent="0.2">
      <c r="A13789" t="s">
        <v>7</v>
      </c>
      <c r="B13789" t="s">
        <v>33</v>
      </c>
      <c r="C13789" t="str">
        <f t="shared" si="432"/>
        <v>Cumple</v>
      </c>
      <c r="D13789">
        <v>2086</v>
      </c>
      <c r="E13789" t="s">
        <v>13</v>
      </c>
      <c r="F13789">
        <v>8</v>
      </c>
      <c r="G13789">
        <v>6</v>
      </c>
      <c r="H13789">
        <f t="shared" si="431"/>
        <v>2</v>
      </c>
    </row>
    <row r="13790" spans="1:8" x14ac:dyDescent="0.2">
      <c r="A13790" t="s">
        <v>7</v>
      </c>
      <c r="B13790" t="s">
        <v>33</v>
      </c>
      <c r="C13790" t="str">
        <f t="shared" si="432"/>
        <v>Cumple</v>
      </c>
      <c r="D13790">
        <v>2502</v>
      </c>
      <c r="E13790" t="s">
        <v>13</v>
      </c>
      <c r="F13790">
        <v>8</v>
      </c>
      <c r="G13790">
        <v>3</v>
      </c>
      <c r="H13790">
        <f t="shared" si="431"/>
        <v>5</v>
      </c>
    </row>
    <row r="13791" spans="1:8" x14ac:dyDescent="0.2">
      <c r="A13791" t="s">
        <v>7</v>
      </c>
      <c r="B13791" t="s">
        <v>33</v>
      </c>
      <c r="C13791" t="str">
        <f t="shared" si="432"/>
        <v>Cumple</v>
      </c>
      <c r="D13791">
        <v>2810</v>
      </c>
      <c r="E13791" t="s">
        <v>13</v>
      </c>
      <c r="F13791">
        <v>8</v>
      </c>
      <c r="G13791">
        <v>6</v>
      </c>
      <c r="H13791">
        <f t="shared" si="431"/>
        <v>2</v>
      </c>
    </row>
    <row r="13792" spans="1:8" x14ac:dyDescent="0.2">
      <c r="A13792" t="s">
        <v>7</v>
      </c>
      <c r="B13792" t="s">
        <v>33</v>
      </c>
      <c r="C13792" t="str">
        <f t="shared" si="432"/>
        <v>Cumple</v>
      </c>
      <c r="D13792">
        <v>3278</v>
      </c>
      <c r="E13792" t="s">
        <v>13</v>
      </c>
      <c r="F13792">
        <v>8</v>
      </c>
      <c r="G13792">
        <v>6</v>
      </c>
      <c r="H13792">
        <f t="shared" si="431"/>
        <v>2</v>
      </c>
    </row>
    <row r="13793" spans="1:8" x14ac:dyDescent="0.2">
      <c r="A13793" t="s">
        <v>7</v>
      </c>
      <c r="B13793" t="s">
        <v>33</v>
      </c>
      <c r="C13793" t="str">
        <f t="shared" si="432"/>
        <v>Cumple</v>
      </c>
      <c r="D13793">
        <v>3740</v>
      </c>
      <c r="E13793" t="s">
        <v>13</v>
      </c>
      <c r="F13793">
        <v>8</v>
      </c>
      <c r="G13793">
        <v>3</v>
      </c>
      <c r="H13793">
        <f t="shared" si="431"/>
        <v>5</v>
      </c>
    </row>
    <row r="13794" spans="1:8" x14ac:dyDescent="0.2">
      <c r="A13794" t="s">
        <v>7</v>
      </c>
      <c r="B13794" t="s">
        <v>33</v>
      </c>
      <c r="C13794" t="str">
        <f t="shared" si="432"/>
        <v>Cumple</v>
      </c>
      <c r="D13794">
        <v>3769</v>
      </c>
      <c r="E13794" t="s">
        <v>13</v>
      </c>
      <c r="F13794">
        <v>8</v>
      </c>
      <c r="G13794">
        <v>6</v>
      </c>
      <c r="H13794">
        <f t="shared" si="431"/>
        <v>2</v>
      </c>
    </row>
    <row r="13795" spans="1:8" x14ac:dyDescent="0.2">
      <c r="A13795" t="s">
        <v>7</v>
      </c>
      <c r="B13795" t="s">
        <v>33</v>
      </c>
      <c r="C13795" t="str">
        <f t="shared" si="432"/>
        <v>Cumple</v>
      </c>
      <c r="D13795">
        <v>3809</v>
      </c>
      <c r="E13795" t="s">
        <v>13</v>
      </c>
      <c r="F13795">
        <v>8</v>
      </c>
      <c r="G13795">
        <v>3</v>
      </c>
      <c r="H13795">
        <f t="shared" si="431"/>
        <v>5</v>
      </c>
    </row>
    <row r="13796" spans="1:8" x14ac:dyDescent="0.2">
      <c r="A13796" t="s">
        <v>7</v>
      </c>
      <c r="B13796" t="s">
        <v>33</v>
      </c>
      <c r="C13796" t="str">
        <f t="shared" si="432"/>
        <v>Cumple</v>
      </c>
      <c r="D13796">
        <v>3812</v>
      </c>
      <c r="E13796" t="s">
        <v>13</v>
      </c>
      <c r="F13796">
        <v>8</v>
      </c>
      <c r="G13796">
        <v>6</v>
      </c>
      <c r="H13796">
        <f t="shared" si="431"/>
        <v>2</v>
      </c>
    </row>
    <row r="13797" spans="1:8" x14ac:dyDescent="0.2">
      <c r="A13797" t="s">
        <v>7</v>
      </c>
      <c r="B13797" t="s">
        <v>33</v>
      </c>
      <c r="C13797" t="str">
        <f t="shared" si="432"/>
        <v>Cumple</v>
      </c>
      <c r="D13797">
        <v>3891</v>
      </c>
      <c r="E13797" t="s">
        <v>13</v>
      </c>
      <c r="F13797">
        <v>8</v>
      </c>
      <c r="G13797">
        <v>6</v>
      </c>
      <c r="H13797">
        <f t="shared" si="431"/>
        <v>2</v>
      </c>
    </row>
    <row r="13798" spans="1:8" x14ac:dyDescent="0.2">
      <c r="A13798" t="s">
        <v>7</v>
      </c>
      <c r="B13798" t="s">
        <v>33</v>
      </c>
      <c r="C13798" t="str">
        <f t="shared" si="432"/>
        <v>Cumple</v>
      </c>
      <c r="D13798">
        <v>3912</v>
      </c>
      <c r="E13798" t="s">
        <v>13</v>
      </c>
      <c r="F13798">
        <v>8</v>
      </c>
      <c r="G13798">
        <v>6</v>
      </c>
      <c r="H13798">
        <f t="shared" si="431"/>
        <v>2</v>
      </c>
    </row>
    <row r="13799" spans="1:8" x14ac:dyDescent="0.2">
      <c r="A13799" t="s">
        <v>7</v>
      </c>
      <c r="B13799" t="s">
        <v>33</v>
      </c>
      <c r="C13799" t="str">
        <f t="shared" si="432"/>
        <v>Cumple</v>
      </c>
      <c r="D13799">
        <v>7597</v>
      </c>
      <c r="E13799" t="s">
        <v>13</v>
      </c>
      <c r="F13799">
        <v>8</v>
      </c>
      <c r="G13799">
        <v>6</v>
      </c>
      <c r="H13799">
        <f t="shared" si="431"/>
        <v>2</v>
      </c>
    </row>
    <row r="13800" spans="1:8" x14ac:dyDescent="0.2">
      <c r="A13800" t="s">
        <v>7</v>
      </c>
      <c r="B13800" t="s">
        <v>33</v>
      </c>
      <c r="C13800" t="str">
        <f t="shared" si="432"/>
        <v>Cumple</v>
      </c>
      <c r="D13800">
        <v>9686</v>
      </c>
      <c r="E13800" t="s">
        <v>13</v>
      </c>
      <c r="F13800">
        <v>8</v>
      </c>
      <c r="G13800">
        <v>6</v>
      </c>
      <c r="H13800">
        <f t="shared" si="431"/>
        <v>2</v>
      </c>
    </row>
    <row r="13801" spans="1:8" x14ac:dyDescent="0.2">
      <c r="A13801" t="s">
        <v>7</v>
      </c>
      <c r="B13801" t="s">
        <v>33</v>
      </c>
      <c r="C13801" t="str">
        <f t="shared" si="432"/>
        <v>Cumple</v>
      </c>
      <c r="D13801">
        <v>9743</v>
      </c>
      <c r="E13801" t="s">
        <v>13</v>
      </c>
      <c r="F13801">
        <v>8</v>
      </c>
      <c r="G13801">
        <v>3</v>
      </c>
      <c r="H13801">
        <f t="shared" si="431"/>
        <v>5</v>
      </c>
    </row>
    <row r="13802" spans="1:8" x14ac:dyDescent="0.2">
      <c r="A13802" t="s">
        <v>7</v>
      </c>
      <c r="B13802" t="s">
        <v>33</v>
      </c>
      <c r="C13802" t="str">
        <f t="shared" si="432"/>
        <v>Cumple</v>
      </c>
      <c r="D13802">
        <v>4070</v>
      </c>
      <c r="E13802" t="s">
        <v>13</v>
      </c>
      <c r="F13802">
        <v>8</v>
      </c>
      <c r="G13802">
        <v>3</v>
      </c>
      <c r="H13802">
        <f t="shared" si="431"/>
        <v>5</v>
      </c>
    </row>
    <row r="13803" spans="1:8" x14ac:dyDescent="0.2">
      <c r="A13803" t="s">
        <v>7</v>
      </c>
      <c r="B13803" t="s">
        <v>33</v>
      </c>
      <c r="C13803" t="str">
        <f t="shared" si="432"/>
        <v>Cumple</v>
      </c>
      <c r="D13803">
        <v>763</v>
      </c>
      <c r="E13803" t="s">
        <v>13</v>
      </c>
      <c r="F13803">
        <v>7</v>
      </c>
      <c r="G13803">
        <v>6</v>
      </c>
      <c r="H13803">
        <f t="shared" si="431"/>
        <v>1</v>
      </c>
    </row>
    <row r="13804" spans="1:8" x14ac:dyDescent="0.2">
      <c r="A13804" t="s">
        <v>7</v>
      </c>
      <c r="B13804" t="s">
        <v>33</v>
      </c>
      <c r="C13804" t="str">
        <f t="shared" si="432"/>
        <v>Cumple</v>
      </c>
      <c r="D13804">
        <v>790</v>
      </c>
      <c r="E13804" t="s">
        <v>13</v>
      </c>
      <c r="F13804">
        <v>7</v>
      </c>
      <c r="G13804">
        <v>3</v>
      </c>
      <c r="H13804">
        <f t="shared" si="431"/>
        <v>4</v>
      </c>
    </row>
    <row r="13805" spans="1:8" x14ac:dyDescent="0.2">
      <c r="A13805" t="s">
        <v>7</v>
      </c>
      <c r="B13805" t="s">
        <v>33</v>
      </c>
      <c r="C13805" t="str">
        <f t="shared" si="432"/>
        <v>Cumple</v>
      </c>
      <c r="D13805">
        <v>795</v>
      </c>
      <c r="E13805" t="s">
        <v>13</v>
      </c>
      <c r="F13805">
        <v>7</v>
      </c>
      <c r="G13805">
        <v>6</v>
      </c>
      <c r="H13805">
        <f t="shared" si="431"/>
        <v>1</v>
      </c>
    </row>
    <row r="13806" spans="1:8" x14ac:dyDescent="0.2">
      <c r="A13806" t="s">
        <v>7</v>
      </c>
      <c r="B13806" t="s">
        <v>33</v>
      </c>
      <c r="C13806" t="str">
        <f t="shared" si="432"/>
        <v>Cumple</v>
      </c>
      <c r="D13806">
        <v>838</v>
      </c>
      <c r="E13806" t="s">
        <v>13</v>
      </c>
      <c r="F13806">
        <v>7</v>
      </c>
      <c r="G13806">
        <v>6</v>
      </c>
      <c r="H13806">
        <f t="shared" si="431"/>
        <v>1</v>
      </c>
    </row>
    <row r="13807" spans="1:8" x14ac:dyDescent="0.2">
      <c r="A13807" t="s">
        <v>7</v>
      </c>
      <c r="B13807" t="s">
        <v>33</v>
      </c>
      <c r="C13807" t="str">
        <f t="shared" si="432"/>
        <v>Cumple</v>
      </c>
      <c r="D13807">
        <v>846</v>
      </c>
      <c r="E13807" t="s">
        <v>13</v>
      </c>
      <c r="F13807">
        <v>7</v>
      </c>
      <c r="G13807">
        <v>6</v>
      </c>
      <c r="H13807">
        <f t="shared" si="431"/>
        <v>1</v>
      </c>
    </row>
    <row r="13808" spans="1:8" x14ac:dyDescent="0.2">
      <c r="A13808" t="s">
        <v>7</v>
      </c>
      <c r="B13808" t="s">
        <v>33</v>
      </c>
      <c r="C13808" t="str">
        <f t="shared" si="432"/>
        <v>Cumple</v>
      </c>
      <c r="D13808">
        <v>899</v>
      </c>
      <c r="E13808" t="s">
        <v>13</v>
      </c>
      <c r="F13808">
        <v>7</v>
      </c>
      <c r="G13808">
        <v>6</v>
      </c>
      <c r="H13808">
        <f t="shared" si="431"/>
        <v>1</v>
      </c>
    </row>
    <row r="13809" spans="1:8" x14ac:dyDescent="0.2">
      <c r="A13809" t="s">
        <v>7</v>
      </c>
      <c r="B13809" t="s">
        <v>33</v>
      </c>
      <c r="C13809" t="str">
        <f t="shared" si="432"/>
        <v>Cumple</v>
      </c>
      <c r="D13809">
        <v>1466</v>
      </c>
      <c r="E13809" t="s">
        <v>13</v>
      </c>
      <c r="F13809">
        <v>7</v>
      </c>
      <c r="G13809">
        <v>3</v>
      </c>
      <c r="H13809">
        <f t="shared" si="431"/>
        <v>4</v>
      </c>
    </row>
    <row r="13810" spans="1:8" x14ac:dyDescent="0.2">
      <c r="A13810" t="s">
        <v>7</v>
      </c>
      <c r="B13810" t="s">
        <v>33</v>
      </c>
      <c r="C13810" t="str">
        <f t="shared" si="432"/>
        <v>Cumple</v>
      </c>
      <c r="D13810">
        <v>1482</v>
      </c>
      <c r="E13810" t="s">
        <v>13</v>
      </c>
      <c r="F13810">
        <v>7</v>
      </c>
      <c r="G13810">
        <v>6</v>
      </c>
      <c r="H13810">
        <f t="shared" si="431"/>
        <v>1</v>
      </c>
    </row>
    <row r="13811" spans="1:8" x14ac:dyDescent="0.2">
      <c r="A13811" t="s">
        <v>7</v>
      </c>
      <c r="B13811" t="s">
        <v>33</v>
      </c>
      <c r="C13811" t="str">
        <f t="shared" si="432"/>
        <v>Cumple</v>
      </c>
      <c r="D13811">
        <v>1601</v>
      </c>
      <c r="E13811" t="s">
        <v>13</v>
      </c>
      <c r="F13811">
        <v>7</v>
      </c>
      <c r="G13811">
        <v>3</v>
      </c>
      <c r="H13811">
        <f t="shared" si="431"/>
        <v>4</v>
      </c>
    </row>
    <row r="13812" spans="1:8" x14ac:dyDescent="0.2">
      <c r="A13812" t="s">
        <v>7</v>
      </c>
      <c r="B13812" t="s">
        <v>33</v>
      </c>
      <c r="C13812" t="str">
        <f t="shared" si="432"/>
        <v>Cumple</v>
      </c>
      <c r="D13812">
        <v>1793</v>
      </c>
      <c r="E13812" t="s">
        <v>13</v>
      </c>
      <c r="F13812">
        <v>7</v>
      </c>
      <c r="G13812">
        <v>3</v>
      </c>
      <c r="H13812">
        <f t="shared" si="431"/>
        <v>4</v>
      </c>
    </row>
    <row r="13813" spans="1:8" x14ac:dyDescent="0.2">
      <c r="A13813" t="s">
        <v>7</v>
      </c>
      <c r="B13813" t="s">
        <v>33</v>
      </c>
      <c r="C13813" t="str">
        <f t="shared" si="432"/>
        <v>Cumple</v>
      </c>
      <c r="D13813">
        <v>1879</v>
      </c>
      <c r="E13813" t="s">
        <v>13</v>
      </c>
      <c r="F13813">
        <v>7</v>
      </c>
      <c r="G13813">
        <v>3</v>
      </c>
      <c r="H13813">
        <f t="shared" si="431"/>
        <v>4</v>
      </c>
    </row>
    <row r="13814" spans="1:8" x14ac:dyDescent="0.2">
      <c r="A13814" t="s">
        <v>7</v>
      </c>
      <c r="B13814" t="s">
        <v>33</v>
      </c>
      <c r="C13814" t="str">
        <f t="shared" si="432"/>
        <v>Cumple</v>
      </c>
      <c r="D13814">
        <v>2275</v>
      </c>
      <c r="E13814" t="s">
        <v>13</v>
      </c>
      <c r="F13814">
        <v>7</v>
      </c>
      <c r="G13814">
        <v>3</v>
      </c>
      <c r="H13814">
        <f t="shared" si="431"/>
        <v>4</v>
      </c>
    </row>
    <row r="13815" spans="1:8" x14ac:dyDescent="0.2">
      <c r="A13815" t="s">
        <v>7</v>
      </c>
      <c r="B13815" t="s">
        <v>33</v>
      </c>
      <c r="C13815" t="str">
        <f t="shared" si="432"/>
        <v>Cumple</v>
      </c>
      <c r="D13815">
        <v>2852</v>
      </c>
      <c r="E13815" t="s">
        <v>13</v>
      </c>
      <c r="F13815">
        <v>7</v>
      </c>
      <c r="G13815">
        <v>3</v>
      </c>
      <c r="H13815">
        <f t="shared" si="431"/>
        <v>4</v>
      </c>
    </row>
    <row r="13816" spans="1:8" x14ac:dyDescent="0.2">
      <c r="A13816" t="s">
        <v>7</v>
      </c>
      <c r="B13816" t="s">
        <v>33</v>
      </c>
      <c r="C13816" t="str">
        <f t="shared" si="432"/>
        <v>Cumple</v>
      </c>
      <c r="D13816">
        <v>2862</v>
      </c>
      <c r="E13816" t="s">
        <v>13</v>
      </c>
      <c r="F13816">
        <v>7</v>
      </c>
      <c r="G13816">
        <v>3</v>
      </c>
      <c r="H13816">
        <f t="shared" si="431"/>
        <v>4</v>
      </c>
    </row>
    <row r="13817" spans="1:8" x14ac:dyDescent="0.2">
      <c r="A13817" t="s">
        <v>7</v>
      </c>
      <c r="B13817" t="s">
        <v>33</v>
      </c>
      <c r="C13817" t="str">
        <f t="shared" si="432"/>
        <v>Cumple</v>
      </c>
      <c r="D13817">
        <v>2874</v>
      </c>
      <c r="E13817" t="s">
        <v>13</v>
      </c>
      <c r="F13817">
        <v>7</v>
      </c>
      <c r="G13817">
        <v>6</v>
      </c>
      <c r="H13817">
        <f t="shared" si="431"/>
        <v>1</v>
      </c>
    </row>
    <row r="13818" spans="1:8" x14ac:dyDescent="0.2">
      <c r="A13818" t="s">
        <v>7</v>
      </c>
      <c r="B13818" t="s">
        <v>33</v>
      </c>
      <c r="C13818" t="str">
        <f t="shared" si="432"/>
        <v>Cumple</v>
      </c>
      <c r="D13818">
        <v>3811</v>
      </c>
      <c r="E13818" t="s">
        <v>13</v>
      </c>
      <c r="F13818">
        <v>7</v>
      </c>
      <c r="G13818">
        <v>6</v>
      </c>
      <c r="H13818">
        <f t="shared" si="431"/>
        <v>1</v>
      </c>
    </row>
    <row r="13819" spans="1:8" x14ac:dyDescent="0.2">
      <c r="A13819" t="s">
        <v>7</v>
      </c>
      <c r="B13819" t="s">
        <v>33</v>
      </c>
      <c r="C13819" t="str">
        <f t="shared" si="432"/>
        <v>Cumple</v>
      </c>
      <c r="D13819">
        <v>3815</v>
      </c>
      <c r="E13819" t="s">
        <v>13</v>
      </c>
      <c r="F13819">
        <v>7</v>
      </c>
      <c r="G13819">
        <v>6</v>
      </c>
      <c r="H13819">
        <f t="shared" si="431"/>
        <v>1</v>
      </c>
    </row>
    <row r="13820" spans="1:8" x14ac:dyDescent="0.2">
      <c r="A13820" t="s">
        <v>7</v>
      </c>
      <c r="B13820" t="s">
        <v>33</v>
      </c>
      <c r="C13820" t="str">
        <f t="shared" si="432"/>
        <v>Cumple</v>
      </c>
      <c r="D13820">
        <v>3818</v>
      </c>
      <c r="E13820" t="s">
        <v>13</v>
      </c>
      <c r="F13820">
        <v>7</v>
      </c>
      <c r="G13820">
        <v>6</v>
      </c>
      <c r="H13820">
        <f t="shared" si="431"/>
        <v>1</v>
      </c>
    </row>
    <row r="13821" spans="1:8" x14ac:dyDescent="0.2">
      <c r="A13821" t="s">
        <v>7</v>
      </c>
      <c r="B13821" t="s">
        <v>33</v>
      </c>
      <c r="C13821" t="str">
        <f t="shared" si="432"/>
        <v>Cumple</v>
      </c>
      <c r="D13821">
        <v>3927</v>
      </c>
      <c r="E13821" t="s">
        <v>13</v>
      </c>
      <c r="F13821">
        <v>7</v>
      </c>
      <c r="G13821">
        <v>3</v>
      </c>
      <c r="H13821">
        <f t="shared" si="431"/>
        <v>4</v>
      </c>
    </row>
    <row r="13822" spans="1:8" x14ac:dyDescent="0.2">
      <c r="A13822" t="s">
        <v>7</v>
      </c>
      <c r="B13822" t="s">
        <v>33</v>
      </c>
      <c r="C13822" t="str">
        <f t="shared" si="432"/>
        <v>Cumple</v>
      </c>
      <c r="D13822">
        <v>9575</v>
      </c>
      <c r="E13822" t="s">
        <v>13</v>
      </c>
      <c r="F13822">
        <v>7</v>
      </c>
      <c r="G13822">
        <v>6</v>
      </c>
      <c r="H13822">
        <f t="shared" si="431"/>
        <v>1</v>
      </c>
    </row>
    <row r="13823" spans="1:8" x14ac:dyDescent="0.2">
      <c r="A13823" t="s">
        <v>7</v>
      </c>
      <c r="B13823" t="s">
        <v>33</v>
      </c>
      <c r="C13823" t="str">
        <f t="shared" si="432"/>
        <v>Cumple</v>
      </c>
      <c r="D13823">
        <v>9626</v>
      </c>
      <c r="E13823" t="s">
        <v>13</v>
      </c>
      <c r="F13823">
        <v>7</v>
      </c>
      <c r="G13823">
        <v>6</v>
      </c>
      <c r="H13823">
        <f t="shared" si="431"/>
        <v>1</v>
      </c>
    </row>
    <row r="13824" spans="1:8" x14ac:dyDescent="0.2">
      <c r="A13824" t="s">
        <v>7</v>
      </c>
      <c r="B13824" t="s">
        <v>33</v>
      </c>
      <c r="C13824" t="str">
        <f t="shared" si="432"/>
        <v>Cumple</v>
      </c>
      <c r="D13824">
        <v>9645</v>
      </c>
      <c r="E13824" t="s">
        <v>13</v>
      </c>
      <c r="F13824">
        <v>7</v>
      </c>
      <c r="G13824">
        <v>6</v>
      </c>
      <c r="H13824">
        <f t="shared" si="431"/>
        <v>1</v>
      </c>
    </row>
    <row r="13825" spans="1:8" x14ac:dyDescent="0.2">
      <c r="A13825" t="s">
        <v>7</v>
      </c>
      <c r="B13825" t="s">
        <v>33</v>
      </c>
      <c r="C13825" t="str">
        <f t="shared" si="432"/>
        <v>Cumple</v>
      </c>
      <c r="D13825">
        <v>9938</v>
      </c>
      <c r="E13825" t="s">
        <v>13</v>
      </c>
      <c r="F13825">
        <v>7</v>
      </c>
      <c r="G13825">
        <v>3</v>
      </c>
      <c r="H13825">
        <f t="shared" si="431"/>
        <v>4</v>
      </c>
    </row>
    <row r="13826" spans="1:8" x14ac:dyDescent="0.2">
      <c r="A13826" t="s">
        <v>7</v>
      </c>
      <c r="B13826" t="s">
        <v>33</v>
      </c>
      <c r="C13826" t="str">
        <f t="shared" si="432"/>
        <v>Cumple</v>
      </c>
      <c r="D13826">
        <v>3939</v>
      </c>
      <c r="E13826" t="s">
        <v>13</v>
      </c>
      <c r="F13826">
        <v>7</v>
      </c>
      <c r="G13826">
        <v>3</v>
      </c>
      <c r="H13826">
        <f t="shared" si="431"/>
        <v>4</v>
      </c>
    </row>
    <row r="13827" spans="1:8" x14ac:dyDescent="0.2">
      <c r="A13827" t="s">
        <v>7</v>
      </c>
      <c r="B13827" t="s">
        <v>33</v>
      </c>
      <c r="C13827" t="str">
        <f t="shared" si="432"/>
        <v>Cumple</v>
      </c>
      <c r="D13827">
        <v>4042</v>
      </c>
      <c r="E13827" t="s">
        <v>13</v>
      </c>
      <c r="F13827">
        <v>7</v>
      </c>
      <c r="G13827">
        <v>3</v>
      </c>
      <c r="H13827">
        <f t="shared" ref="H13827:H13890" si="433">F13827-G13827</f>
        <v>4</v>
      </c>
    </row>
    <row r="13828" spans="1:8" x14ac:dyDescent="0.2">
      <c r="A13828" t="s">
        <v>7</v>
      </c>
      <c r="B13828" t="s">
        <v>33</v>
      </c>
      <c r="C13828" t="str">
        <f t="shared" si="432"/>
        <v>Cumple</v>
      </c>
      <c r="D13828">
        <v>3646</v>
      </c>
      <c r="E13828" t="s">
        <v>13</v>
      </c>
      <c r="F13828" s="9">
        <v>6</v>
      </c>
      <c r="G13828" s="9">
        <v>6</v>
      </c>
      <c r="H13828">
        <f t="shared" si="433"/>
        <v>0</v>
      </c>
    </row>
    <row r="13829" spans="1:8" x14ac:dyDescent="0.2">
      <c r="A13829" t="s">
        <v>7</v>
      </c>
      <c r="B13829" t="s">
        <v>33</v>
      </c>
      <c r="C13829" t="str">
        <f t="shared" ref="C13829:C13892" si="434">IF(H13829&gt;=0,"Cumple","No cumple")</f>
        <v>Cumple</v>
      </c>
      <c r="D13829">
        <v>213</v>
      </c>
      <c r="E13829" t="s">
        <v>13</v>
      </c>
      <c r="F13829">
        <v>6</v>
      </c>
      <c r="G13829">
        <v>6</v>
      </c>
      <c r="H13829">
        <f t="shared" si="433"/>
        <v>0</v>
      </c>
    </row>
    <row r="13830" spans="1:8" x14ac:dyDescent="0.2">
      <c r="A13830" t="s">
        <v>7</v>
      </c>
      <c r="B13830" t="s">
        <v>33</v>
      </c>
      <c r="C13830" t="str">
        <f t="shared" si="434"/>
        <v>Cumple</v>
      </c>
      <c r="D13830">
        <v>222</v>
      </c>
      <c r="E13830" t="s">
        <v>13</v>
      </c>
      <c r="F13830">
        <v>6</v>
      </c>
      <c r="G13830">
        <v>6</v>
      </c>
      <c r="H13830">
        <f t="shared" si="433"/>
        <v>0</v>
      </c>
    </row>
    <row r="13831" spans="1:8" x14ac:dyDescent="0.2">
      <c r="A13831" t="s">
        <v>7</v>
      </c>
      <c r="B13831" t="s">
        <v>33</v>
      </c>
      <c r="C13831" t="str">
        <f t="shared" si="434"/>
        <v>Cumple</v>
      </c>
      <c r="D13831">
        <v>735</v>
      </c>
      <c r="E13831" t="s">
        <v>13</v>
      </c>
      <c r="F13831">
        <v>6</v>
      </c>
      <c r="G13831">
        <v>6</v>
      </c>
      <c r="H13831">
        <f t="shared" si="433"/>
        <v>0</v>
      </c>
    </row>
    <row r="13832" spans="1:8" x14ac:dyDescent="0.2">
      <c r="A13832" t="s">
        <v>7</v>
      </c>
      <c r="B13832" t="s">
        <v>33</v>
      </c>
      <c r="C13832" t="str">
        <f t="shared" si="434"/>
        <v>Cumple</v>
      </c>
      <c r="D13832">
        <v>754</v>
      </c>
      <c r="E13832" t="s">
        <v>13</v>
      </c>
      <c r="F13832">
        <v>6</v>
      </c>
      <c r="G13832">
        <v>6</v>
      </c>
      <c r="H13832">
        <f t="shared" si="433"/>
        <v>0</v>
      </c>
    </row>
    <row r="13833" spans="1:8" x14ac:dyDescent="0.2">
      <c r="A13833" t="s">
        <v>7</v>
      </c>
      <c r="B13833" t="s">
        <v>33</v>
      </c>
      <c r="C13833" t="str">
        <f t="shared" si="434"/>
        <v>Cumple</v>
      </c>
      <c r="D13833">
        <v>793</v>
      </c>
      <c r="E13833" t="s">
        <v>13</v>
      </c>
      <c r="F13833">
        <v>6</v>
      </c>
      <c r="G13833">
        <v>6</v>
      </c>
      <c r="H13833">
        <f t="shared" si="433"/>
        <v>0</v>
      </c>
    </row>
    <row r="13834" spans="1:8" x14ac:dyDescent="0.2">
      <c r="A13834" t="s">
        <v>7</v>
      </c>
      <c r="B13834" t="s">
        <v>33</v>
      </c>
      <c r="C13834" t="str">
        <f t="shared" si="434"/>
        <v>Cumple</v>
      </c>
      <c r="D13834">
        <v>837</v>
      </c>
      <c r="E13834" t="s">
        <v>13</v>
      </c>
      <c r="F13834">
        <v>6</v>
      </c>
      <c r="G13834">
        <v>6</v>
      </c>
      <c r="H13834">
        <f t="shared" si="433"/>
        <v>0</v>
      </c>
    </row>
    <row r="13835" spans="1:8" x14ac:dyDescent="0.2">
      <c r="A13835" t="s">
        <v>7</v>
      </c>
      <c r="B13835" t="s">
        <v>33</v>
      </c>
      <c r="C13835" t="str">
        <f t="shared" si="434"/>
        <v>Cumple</v>
      </c>
      <c r="D13835">
        <v>917</v>
      </c>
      <c r="E13835" t="s">
        <v>13</v>
      </c>
      <c r="F13835">
        <v>6</v>
      </c>
      <c r="G13835">
        <v>3</v>
      </c>
      <c r="H13835">
        <f t="shared" si="433"/>
        <v>3</v>
      </c>
    </row>
    <row r="13836" spans="1:8" x14ac:dyDescent="0.2">
      <c r="A13836" t="s">
        <v>7</v>
      </c>
      <c r="B13836" t="s">
        <v>33</v>
      </c>
      <c r="C13836" t="str">
        <f t="shared" si="434"/>
        <v>Cumple</v>
      </c>
      <c r="D13836">
        <v>1146</v>
      </c>
      <c r="E13836" t="s">
        <v>13</v>
      </c>
      <c r="F13836">
        <v>6</v>
      </c>
      <c r="G13836">
        <v>6</v>
      </c>
      <c r="H13836">
        <f t="shared" si="433"/>
        <v>0</v>
      </c>
    </row>
    <row r="13837" spans="1:8" x14ac:dyDescent="0.2">
      <c r="A13837" t="s">
        <v>7</v>
      </c>
      <c r="B13837" t="s">
        <v>33</v>
      </c>
      <c r="C13837" t="str">
        <f t="shared" si="434"/>
        <v>Cumple</v>
      </c>
      <c r="D13837">
        <v>1226</v>
      </c>
      <c r="E13837" t="s">
        <v>13</v>
      </c>
      <c r="F13837">
        <v>6</v>
      </c>
      <c r="G13837">
        <v>3</v>
      </c>
      <c r="H13837">
        <f t="shared" si="433"/>
        <v>3</v>
      </c>
    </row>
    <row r="13838" spans="1:8" x14ac:dyDescent="0.2">
      <c r="A13838" t="s">
        <v>7</v>
      </c>
      <c r="B13838" t="s">
        <v>33</v>
      </c>
      <c r="C13838" t="str">
        <f t="shared" si="434"/>
        <v>Cumple</v>
      </c>
      <c r="D13838">
        <v>1443</v>
      </c>
      <c r="E13838" t="s">
        <v>13</v>
      </c>
      <c r="F13838">
        <v>6</v>
      </c>
      <c r="G13838">
        <v>3</v>
      </c>
      <c r="H13838">
        <f t="shared" si="433"/>
        <v>3</v>
      </c>
    </row>
    <row r="13839" spans="1:8" x14ac:dyDescent="0.2">
      <c r="A13839" t="s">
        <v>7</v>
      </c>
      <c r="B13839" t="s">
        <v>33</v>
      </c>
      <c r="C13839" t="str">
        <f t="shared" si="434"/>
        <v>Cumple</v>
      </c>
      <c r="D13839">
        <v>1458</v>
      </c>
      <c r="E13839" t="s">
        <v>13</v>
      </c>
      <c r="F13839">
        <v>6</v>
      </c>
      <c r="G13839">
        <v>3</v>
      </c>
      <c r="H13839">
        <f t="shared" si="433"/>
        <v>3</v>
      </c>
    </row>
    <row r="13840" spans="1:8" x14ac:dyDescent="0.2">
      <c r="A13840" t="s">
        <v>7</v>
      </c>
      <c r="B13840" t="s">
        <v>33</v>
      </c>
      <c r="C13840" t="str">
        <f t="shared" si="434"/>
        <v>Cumple</v>
      </c>
      <c r="D13840">
        <v>1485</v>
      </c>
      <c r="E13840" t="s">
        <v>13</v>
      </c>
      <c r="F13840">
        <v>6</v>
      </c>
      <c r="G13840">
        <v>6</v>
      </c>
      <c r="H13840">
        <f t="shared" si="433"/>
        <v>0</v>
      </c>
    </row>
    <row r="13841" spans="1:8" x14ac:dyDescent="0.2">
      <c r="A13841" t="s">
        <v>7</v>
      </c>
      <c r="B13841" t="s">
        <v>33</v>
      </c>
      <c r="C13841" t="str">
        <f t="shared" si="434"/>
        <v>Cumple</v>
      </c>
      <c r="D13841">
        <v>1524</v>
      </c>
      <c r="E13841" t="s">
        <v>13</v>
      </c>
      <c r="F13841">
        <v>6</v>
      </c>
      <c r="G13841">
        <v>3</v>
      </c>
      <c r="H13841">
        <f t="shared" si="433"/>
        <v>3</v>
      </c>
    </row>
    <row r="13842" spans="1:8" x14ac:dyDescent="0.2">
      <c r="A13842" t="s">
        <v>7</v>
      </c>
      <c r="B13842" t="s">
        <v>33</v>
      </c>
      <c r="C13842" t="str">
        <f t="shared" si="434"/>
        <v>Cumple</v>
      </c>
      <c r="D13842">
        <v>1550</v>
      </c>
      <c r="E13842" t="s">
        <v>13</v>
      </c>
      <c r="F13842">
        <v>6</v>
      </c>
      <c r="G13842">
        <v>6</v>
      </c>
      <c r="H13842">
        <f t="shared" si="433"/>
        <v>0</v>
      </c>
    </row>
    <row r="13843" spans="1:8" x14ac:dyDescent="0.2">
      <c r="A13843" t="s">
        <v>7</v>
      </c>
      <c r="B13843" t="s">
        <v>33</v>
      </c>
      <c r="C13843" t="str">
        <f t="shared" si="434"/>
        <v>Cumple</v>
      </c>
      <c r="D13843">
        <v>1774</v>
      </c>
      <c r="E13843" t="s">
        <v>13</v>
      </c>
      <c r="F13843">
        <v>6</v>
      </c>
      <c r="G13843">
        <v>6</v>
      </c>
      <c r="H13843">
        <f t="shared" si="433"/>
        <v>0</v>
      </c>
    </row>
    <row r="13844" spans="1:8" x14ac:dyDescent="0.2">
      <c r="A13844" t="s">
        <v>7</v>
      </c>
      <c r="B13844" t="s">
        <v>33</v>
      </c>
      <c r="C13844" t="str">
        <f t="shared" si="434"/>
        <v>Cumple</v>
      </c>
      <c r="D13844">
        <v>1847</v>
      </c>
      <c r="E13844" t="s">
        <v>13</v>
      </c>
      <c r="F13844">
        <v>6</v>
      </c>
      <c r="G13844">
        <v>6</v>
      </c>
      <c r="H13844">
        <f t="shared" si="433"/>
        <v>0</v>
      </c>
    </row>
    <row r="13845" spans="1:8" x14ac:dyDescent="0.2">
      <c r="A13845" t="s">
        <v>7</v>
      </c>
      <c r="B13845" t="s">
        <v>33</v>
      </c>
      <c r="C13845" t="str">
        <f t="shared" si="434"/>
        <v>Cumple</v>
      </c>
      <c r="D13845">
        <v>2583</v>
      </c>
      <c r="E13845" t="s">
        <v>13</v>
      </c>
      <c r="F13845">
        <v>6</v>
      </c>
      <c r="G13845">
        <v>6</v>
      </c>
      <c r="H13845">
        <f t="shared" si="433"/>
        <v>0</v>
      </c>
    </row>
    <row r="13846" spans="1:8" x14ac:dyDescent="0.2">
      <c r="A13846" t="s">
        <v>7</v>
      </c>
      <c r="B13846" t="s">
        <v>33</v>
      </c>
      <c r="C13846" t="str">
        <f t="shared" si="434"/>
        <v>Cumple</v>
      </c>
      <c r="D13846">
        <v>2850</v>
      </c>
      <c r="E13846" t="s">
        <v>13</v>
      </c>
      <c r="F13846">
        <v>6</v>
      </c>
      <c r="G13846">
        <v>3</v>
      </c>
      <c r="H13846">
        <f t="shared" si="433"/>
        <v>3</v>
      </c>
    </row>
    <row r="13847" spans="1:8" x14ac:dyDescent="0.2">
      <c r="A13847" t="s">
        <v>7</v>
      </c>
      <c r="B13847" t="s">
        <v>33</v>
      </c>
      <c r="C13847" t="str">
        <f t="shared" si="434"/>
        <v>Cumple</v>
      </c>
      <c r="D13847">
        <v>3416</v>
      </c>
      <c r="E13847" t="s">
        <v>13</v>
      </c>
      <c r="F13847">
        <v>6</v>
      </c>
      <c r="G13847">
        <v>6</v>
      </c>
      <c r="H13847">
        <f t="shared" si="433"/>
        <v>0</v>
      </c>
    </row>
    <row r="13848" spans="1:8" x14ac:dyDescent="0.2">
      <c r="A13848" t="s">
        <v>7</v>
      </c>
      <c r="B13848" t="s">
        <v>33</v>
      </c>
      <c r="C13848" t="str">
        <f t="shared" si="434"/>
        <v>Cumple</v>
      </c>
      <c r="D13848">
        <v>3576</v>
      </c>
      <c r="E13848" t="s">
        <v>13</v>
      </c>
      <c r="F13848">
        <v>6</v>
      </c>
      <c r="G13848">
        <v>3</v>
      </c>
      <c r="H13848">
        <f t="shared" si="433"/>
        <v>3</v>
      </c>
    </row>
    <row r="13849" spans="1:8" x14ac:dyDescent="0.2">
      <c r="A13849" t="s">
        <v>7</v>
      </c>
      <c r="B13849" t="s">
        <v>33</v>
      </c>
      <c r="C13849" t="str">
        <f t="shared" si="434"/>
        <v>Cumple</v>
      </c>
      <c r="D13849">
        <v>3662</v>
      </c>
      <c r="E13849" t="s">
        <v>13</v>
      </c>
      <c r="F13849">
        <v>6</v>
      </c>
      <c r="G13849">
        <v>6</v>
      </c>
      <c r="H13849">
        <f t="shared" si="433"/>
        <v>0</v>
      </c>
    </row>
    <row r="13850" spans="1:8" x14ac:dyDescent="0.2">
      <c r="A13850" t="s">
        <v>7</v>
      </c>
      <c r="B13850" t="s">
        <v>33</v>
      </c>
      <c r="C13850" t="str">
        <f t="shared" si="434"/>
        <v>Cumple</v>
      </c>
      <c r="D13850">
        <v>3746</v>
      </c>
      <c r="E13850" t="s">
        <v>13</v>
      </c>
      <c r="F13850">
        <v>6</v>
      </c>
      <c r="G13850">
        <v>3</v>
      </c>
      <c r="H13850">
        <f t="shared" si="433"/>
        <v>3</v>
      </c>
    </row>
    <row r="13851" spans="1:8" x14ac:dyDescent="0.2">
      <c r="A13851" t="s">
        <v>7</v>
      </c>
      <c r="B13851" t="s">
        <v>33</v>
      </c>
      <c r="C13851" t="str">
        <f t="shared" si="434"/>
        <v>Cumple</v>
      </c>
      <c r="D13851">
        <v>3767</v>
      </c>
      <c r="E13851" t="s">
        <v>13</v>
      </c>
      <c r="F13851">
        <v>6</v>
      </c>
      <c r="G13851">
        <v>6</v>
      </c>
      <c r="H13851">
        <f t="shared" si="433"/>
        <v>0</v>
      </c>
    </row>
    <row r="13852" spans="1:8" x14ac:dyDescent="0.2">
      <c r="A13852" t="s">
        <v>7</v>
      </c>
      <c r="B13852" t="s">
        <v>33</v>
      </c>
      <c r="C13852" t="str">
        <f t="shared" si="434"/>
        <v>Cumple</v>
      </c>
      <c r="D13852">
        <v>3768</v>
      </c>
      <c r="E13852" t="s">
        <v>13</v>
      </c>
      <c r="F13852">
        <v>6</v>
      </c>
      <c r="G13852">
        <v>6</v>
      </c>
      <c r="H13852">
        <f t="shared" si="433"/>
        <v>0</v>
      </c>
    </row>
    <row r="13853" spans="1:8" x14ac:dyDescent="0.2">
      <c r="A13853" t="s">
        <v>7</v>
      </c>
      <c r="B13853" t="s">
        <v>33</v>
      </c>
      <c r="C13853" t="str">
        <f t="shared" si="434"/>
        <v>Cumple</v>
      </c>
      <c r="D13853">
        <v>3771</v>
      </c>
      <c r="E13853" t="s">
        <v>13</v>
      </c>
      <c r="F13853">
        <v>6</v>
      </c>
      <c r="G13853">
        <v>6</v>
      </c>
      <c r="H13853">
        <f t="shared" si="433"/>
        <v>0</v>
      </c>
    </row>
    <row r="13854" spans="1:8" x14ac:dyDescent="0.2">
      <c r="A13854" t="s">
        <v>7</v>
      </c>
      <c r="B13854" t="s">
        <v>33</v>
      </c>
      <c r="C13854" t="str">
        <f t="shared" si="434"/>
        <v>Cumple</v>
      </c>
      <c r="D13854">
        <v>3797</v>
      </c>
      <c r="E13854" t="s">
        <v>13</v>
      </c>
      <c r="F13854">
        <v>6</v>
      </c>
      <c r="G13854">
        <v>6</v>
      </c>
      <c r="H13854">
        <f t="shared" si="433"/>
        <v>0</v>
      </c>
    </row>
    <row r="13855" spans="1:8" x14ac:dyDescent="0.2">
      <c r="A13855" t="s">
        <v>7</v>
      </c>
      <c r="B13855" t="s">
        <v>33</v>
      </c>
      <c r="C13855" t="str">
        <f t="shared" si="434"/>
        <v>Cumple</v>
      </c>
      <c r="D13855">
        <v>3842</v>
      </c>
      <c r="E13855" t="s">
        <v>13</v>
      </c>
      <c r="F13855">
        <v>6</v>
      </c>
      <c r="G13855">
        <v>6</v>
      </c>
      <c r="H13855">
        <f t="shared" si="433"/>
        <v>0</v>
      </c>
    </row>
    <row r="13856" spans="1:8" x14ac:dyDescent="0.2">
      <c r="A13856" t="s">
        <v>7</v>
      </c>
      <c r="B13856" t="s">
        <v>33</v>
      </c>
      <c r="C13856" t="str">
        <f t="shared" si="434"/>
        <v>Cumple</v>
      </c>
      <c r="D13856">
        <v>3855</v>
      </c>
      <c r="E13856" t="s">
        <v>13</v>
      </c>
      <c r="F13856">
        <v>6</v>
      </c>
      <c r="G13856">
        <v>3</v>
      </c>
      <c r="H13856">
        <f t="shared" si="433"/>
        <v>3</v>
      </c>
    </row>
    <row r="13857" spans="1:8" x14ac:dyDescent="0.2">
      <c r="A13857" t="s">
        <v>7</v>
      </c>
      <c r="B13857" t="s">
        <v>33</v>
      </c>
      <c r="C13857" t="str">
        <f t="shared" si="434"/>
        <v>Cumple</v>
      </c>
      <c r="D13857">
        <v>3868</v>
      </c>
      <c r="E13857" t="s">
        <v>13</v>
      </c>
      <c r="F13857">
        <v>6</v>
      </c>
      <c r="G13857">
        <v>3</v>
      </c>
      <c r="H13857">
        <f t="shared" si="433"/>
        <v>3</v>
      </c>
    </row>
    <row r="13858" spans="1:8" x14ac:dyDescent="0.2">
      <c r="A13858" t="s">
        <v>7</v>
      </c>
      <c r="B13858" t="s">
        <v>33</v>
      </c>
      <c r="C13858" t="str">
        <f t="shared" si="434"/>
        <v>Cumple</v>
      </c>
      <c r="D13858">
        <v>3926</v>
      </c>
      <c r="E13858" t="s">
        <v>13</v>
      </c>
      <c r="F13858">
        <v>6</v>
      </c>
      <c r="G13858">
        <v>3</v>
      </c>
      <c r="H13858">
        <f t="shared" si="433"/>
        <v>3</v>
      </c>
    </row>
    <row r="13859" spans="1:8" x14ac:dyDescent="0.2">
      <c r="A13859" t="s">
        <v>7</v>
      </c>
      <c r="B13859" t="s">
        <v>33</v>
      </c>
      <c r="C13859" t="str">
        <f t="shared" si="434"/>
        <v>Cumple</v>
      </c>
      <c r="D13859">
        <v>3956</v>
      </c>
      <c r="E13859" t="s">
        <v>13</v>
      </c>
      <c r="F13859">
        <v>6</v>
      </c>
      <c r="G13859">
        <v>3</v>
      </c>
      <c r="H13859">
        <f t="shared" si="433"/>
        <v>3</v>
      </c>
    </row>
    <row r="13860" spans="1:8" x14ac:dyDescent="0.2">
      <c r="A13860" t="s">
        <v>7</v>
      </c>
      <c r="B13860" t="s">
        <v>33</v>
      </c>
      <c r="C13860" t="str">
        <f t="shared" si="434"/>
        <v>Cumple</v>
      </c>
      <c r="D13860">
        <v>9102</v>
      </c>
      <c r="E13860" t="s">
        <v>13</v>
      </c>
      <c r="F13860">
        <v>6</v>
      </c>
      <c r="G13860">
        <v>3</v>
      </c>
      <c r="H13860">
        <f t="shared" si="433"/>
        <v>3</v>
      </c>
    </row>
    <row r="13861" spans="1:8" x14ac:dyDescent="0.2">
      <c r="A13861" t="s">
        <v>7</v>
      </c>
      <c r="B13861" t="s">
        <v>33</v>
      </c>
      <c r="C13861" t="str">
        <f t="shared" si="434"/>
        <v>Cumple</v>
      </c>
      <c r="D13861">
        <v>9154</v>
      </c>
      <c r="E13861" t="s">
        <v>13</v>
      </c>
      <c r="F13861">
        <v>6</v>
      </c>
      <c r="G13861">
        <v>6</v>
      </c>
      <c r="H13861">
        <f t="shared" si="433"/>
        <v>0</v>
      </c>
    </row>
    <row r="13862" spans="1:8" x14ac:dyDescent="0.2">
      <c r="A13862" t="s">
        <v>7</v>
      </c>
      <c r="B13862" t="s">
        <v>33</v>
      </c>
      <c r="C13862" t="str">
        <f t="shared" si="434"/>
        <v>Cumple</v>
      </c>
      <c r="D13862">
        <v>9434</v>
      </c>
      <c r="E13862" t="s">
        <v>13</v>
      </c>
      <c r="F13862">
        <v>6</v>
      </c>
      <c r="G13862">
        <v>3</v>
      </c>
      <c r="H13862">
        <f t="shared" si="433"/>
        <v>3</v>
      </c>
    </row>
    <row r="13863" spans="1:8" x14ac:dyDescent="0.2">
      <c r="A13863" t="s">
        <v>7</v>
      </c>
      <c r="B13863" t="s">
        <v>33</v>
      </c>
      <c r="C13863" t="str">
        <f t="shared" si="434"/>
        <v>Cumple</v>
      </c>
      <c r="D13863">
        <v>9624</v>
      </c>
      <c r="E13863" t="s">
        <v>13</v>
      </c>
      <c r="F13863">
        <v>6</v>
      </c>
      <c r="G13863">
        <v>3</v>
      </c>
      <c r="H13863">
        <f t="shared" si="433"/>
        <v>3</v>
      </c>
    </row>
    <row r="13864" spans="1:8" x14ac:dyDescent="0.2">
      <c r="A13864" t="s">
        <v>7</v>
      </c>
      <c r="B13864" t="s">
        <v>33</v>
      </c>
      <c r="C13864" t="str">
        <f t="shared" si="434"/>
        <v>Cumple</v>
      </c>
      <c r="D13864">
        <v>9685</v>
      </c>
      <c r="E13864" t="s">
        <v>13</v>
      </c>
      <c r="F13864">
        <v>6</v>
      </c>
      <c r="G13864">
        <v>6</v>
      </c>
      <c r="H13864">
        <f t="shared" si="433"/>
        <v>0</v>
      </c>
    </row>
    <row r="13865" spans="1:8" x14ac:dyDescent="0.2">
      <c r="A13865" t="s">
        <v>7</v>
      </c>
      <c r="B13865" t="s">
        <v>33</v>
      </c>
      <c r="C13865" t="str">
        <f t="shared" si="434"/>
        <v>Cumple</v>
      </c>
      <c r="D13865">
        <v>9950</v>
      </c>
      <c r="E13865" t="s">
        <v>13</v>
      </c>
      <c r="F13865">
        <v>6</v>
      </c>
      <c r="G13865">
        <v>3</v>
      </c>
      <c r="H13865">
        <f t="shared" si="433"/>
        <v>3</v>
      </c>
    </row>
    <row r="13866" spans="1:8" x14ac:dyDescent="0.2">
      <c r="A13866" t="s">
        <v>7</v>
      </c>
      <c r="B13866" t="s">
        <v>33</v>
      </c>
      <c r="C13866" t="str">
        <f t="shared" si="434"/>
        <v>Cumple</v>
      </c>
      <c r="D13866">
        <v>4055</v>
      </c>
      <c r="E13866" t="s">
        <v>13</v>
      </c>
      <c r="F13866">
        <v>6</v>
      </c>
      <c r="G13866">
        <v>3</v>
      </c>
      <c r="H13866">
        <f t="shared" si="433"/>
        <v>3</v>
      </c>
    </row>
    <row r="13867" spans="1:8" x14ac:dyDescent="0.2">
      <c r="A13867" t="s">
        <v>7</v>
      </c>
      <c r="B13867" t="s">
        <v>33</v>
      </c>
      <c r="C13867" t="str">
        <f t="shared" si="434"/>
        <v>Cumple</v>
      </c>
      <c r="D13867">
        <v>4028</v>
      </c>
      <c r="E13867" t="s">
        <v>13</v>
      </c>
      <c r="F13867">
        <v>6</v>
      </c>
      <c r="G13867">
        <v>3</v>
      </c>
      <c r="H13867">
        <f t="shared" si="433"/>
        <v>3</v>
      </c>
    </row>
    <row r="13868" spans="1:8" x14ac:dyDescent="0.2">
      <c r="A13868" t="s">
        <v>7</v>
      </c>
      <c r="B13868" t="s">
        <v>33</v>
      </c>
      <c r="C13868" t="str">
        <f t="shared" si="434"/>
        <v>Cumple</v>
      </c>
      <c r="D13868">
        <v>210</v>
      </c>
      <c r="E13868" t="s">
        <v>13</v>
      </c>
      <c r="F13868">
        <v>5</v>
      </c>
      <c r="G13868">
        <v>3</v>
      </c>
      <c r="H13868">
        <f t="shared" si="433"/>
        <v>2</v>
      </c>
    </row>
    <row r="13869" spans="1:8" x14ac:dyDescent="0.2">
      <c r="A13869" t="s">
        <v>7</v>
      </c>
      <c r="B13869" t="s">
        <v>33</v>
      </c>
      <c r="C13869" t="str">
        <f t="shared" si="434"/>
        <v>No cumple</v>
      </c>
      <c r="D13869">
        <v>220</v>
      </c>
      <c r="E13869" t="s">
        <v>13</v>
      </c>
      <c r="F13869">
        <v>5</v>
      </c>
      <c r="G13869">
        <v>6</v>
      </c>
      <c r="H13869">
        <f t="shared" si="433"/>
        <v>-1</v>
      </c>
    </row>
    <row r="13870" spans="1:8" x14ac:dyDescent="0.2">
      <c r="A13870" t="s">
        <v>7</v>
      </c>
      <c r="B13870" t="s">
        <v>33</v>
      </c>
      <c r="C13870" t="str">
        <f t="shared" si="434"/>
        <v>No cumple</v>
      </c>
      <c r="D13870">
        <v>830</v>
      </c>
      <c r="E13870" t="s">
        <v>13</v>
      </c>
      <c r="F13870">
        <v>5</v>
      </c>
      <c r="G13870">
        <v>6</v>
      </c>
      <c r="H13870">
        <f t="shared" si="433"/>
        <v>-1</v>
      </c>
    </row>
    <row r="13871" spans="1:8" x14ac:dyDescent="0.2">
      <c r="A13871" t="s">
        <v>7</v>
      </c>
      <c r="B13871" t="s">
        <v>33</v>
      </c>
      <c r="C13871" t="str">
        <f t="shared" si="434"/>
        <v>No cumple</v>
      </c>
      <c r="D13871">
        <v>870</v>
      </c>
      <c r="E13871" t="s">
        <v>13</v>
      </c>
      <c r="F13871">
        <v>5</v>
      </c>
      <c r="G13871">
        <v>6</v>
      </c>
      <c r="H13871">
        <f t="shared" si="433"/>
        <v>-1</v>
      </c>
    </row>
    <row r="13872" spans="1:8" x14ac:dyDescent="0.2">
      <c r="A13872" t="s">
        <v>7</v>
      </c>
      <c r="B13872" t="s">
        <v>33</v>
      </c>
      <c r="C13872" t="str">
        <f t="shared" si="434"/>
        <v>No cumple</v>
      </c>
      <c r="D13872">
        <v>985</v>
      </c>
      <c r="E13872" t="s">
        <v>13</v>
      </c>
      <c r="F13872">
        <v>5</v>
      </c>
      <c r="G13872">
        <v>6</v>
      </c>
      <c r="H13872">
        <f t="shared" si="433"/>
        <v>-1</v>
      </c>
    </row>
    <row r="13873" spans="1:8" x14ac:dyDescent="0.2">
      <c r="A13873" t="s">
        <v>7</v>
      </c>
      <c r="B13873" t="s">
        <v>33</v>
      </c>
      <c r="C13873" t="str">
        <f t="shared" si="434"/>
        <v>No cumple</v>
      </c>
      <c r="D13873">
        <v>1401</v>
      </c>
      <c r="E13873" t="s">
        <v>13</v>
      </c>
      <c r="F13873">
        <v>5</v>
      </c>
      <c r="G13873">
        <v>6</v>
      </c>
      <c r="H13873">
        <f t="shared" si="433"/>
        <v>-1</v>
      </c>
    </row>
    <row r="13874" spans="1:8" x14ac:dyDescent="0.2">
      <c r="A13874" t="s">
        <v>7</v>
      </c>
      <c r="B13874" t="s">
        <v>33</v>
      </c>
      <c r="C13874" t="str">
        <f t="shared" si="434"/>
        <v>Cumple</v>
      </c>
      <c r="D13874">
        <v>1448</v>
      </c>
      <c r="E13874" t="s">
        <v>13</v>
      </c>
      <c r="F13874">
        <v>5</v>
      </c>
      <c r="G13874">
        <v>3</v>
      </c>
      <c r="H13874">
        <f t="shared" si="433"/>
        <v>2</v>
      </c>
    </row>
    <row r="13875" spans="1:8" x14ac:dyDescent="0.2">
      <c r="A13875" t="s">
        <v>7</v>
      </c>
      <c r="B13875" t="s">
        <v>33</v>
      </c>
      <c r="C13875" t="str">
        <f t="shared" si="434"/>
        <v>Cumple</v>
      </c>
      <c r="D13875">
        <v>1487</v>
      </c>
      <c r="E13875" t="s">
        <v>13</v>
      </c>
      <c r="F13875">
        <v>5</v>
      </c>
      <c r="G13875">
        <v>3</v>
      </c>
      <c r="H13875">
        <f t="shared" si="433"/>
        <v>2</v>
      </c>
    </row>
    <row r="13876" spans="1:8" x14ac:dyDescent="0.2">
      <c r="A13876" t="s">
        <v>7</v>
      </c>
      <c r="B13876" t="s">
        <v>33</v>
      </c>
      <c r="C13876" t="str">
        <f t="shared" si="434"/>
        <v>Cumple</v>
      </c>
      <c r="D13876">
        <v>1798</v>
      </c>
      <c r="E13876" t="s">
        <v>13</v>
      </c>
      <c r="F13876">
        <v>5</v>
      </c>
      <c r="G13876">
        <v>3</v>
      </c>
      <c r="H13876">
        <f t="shared" si="433"/>
        <v>2</v>
      </c>
    </row>
    <row r="13877" spans="1:8" x14ac:dyDescent="0.2">
      <c r="A13877" t="s">
        <v>7</v>
      </c>
      <c r="B13877" t="s">
        <v>33</v>
      </c>
      <c r="C13877" t="str">
        <f t="shared" si="434"/>
        <v>Cumple</v>
      </c>
      <c r="D13877">
        <v>1878</v>
      </c>
      <c r="E13877" t="s">
        <v>13</v>
      </c>
      <c r="F13877">
        <v>5</v>
      </c>
      <c r="G13877">
        <v>3</v>
      </c>
      <c r="H13877">
        <f t="shared" si="433"/>
        <v>2</v>
      </c>
    </row>
    <row r="13878" spans="1:8" x14ac:dyDescent="0.2">
      <c r="A13878" t="s">
        <v>7</v>
      </c>
      <c r="B13878" t="s">
        <v>33</v>
      </c>
      <c r="C13878" t="str">
        <f t="shared" si="434"/>
        <v>Cumple</v>
      </c>
      <c r="D13878">
        <v>2356</v>
      </c>
      <c r="E13878" t="s">
        <v>13</v>
      </c>
      <c r="F13878">
        <v>5</v>
      </c>
      <c r="G13878">
        <v>3</v>
      </c>
      <c r="H13878">
        <f t="shared" si="433"/>
        <v>2</v>
      </c>
    </row>
    <row r="13879" spans="1:8" x14ac:dyDescent="0.2">
      <c r="A13879" t="s">
        <v>7</v>
      </c>
      <c r="B13879" t="s">
        <v>33</v>
      </c>
      <c r="C13879" t="str">
        <f t="shared" si="434"/>
        <v>Cumple</v>
      </c>
      <c r="D13879">
        <v>2829</v>
      </c>
      <c r="E13879" t="s">
        <v>13</v>
      </c>
      <c r="F13879">
        <v>5</v>
      </c>
      <c r="G13879">
        <v>3</v>
      </c>
      <c r="H13879">
        <f t="shared" si="433"/>
        <v>2</v>
      </c>
    </row>
    <row r="13880" spans="1:8" x14ac:dyDescent="0.2">
      <c r="A13880" t="s">
        <v>7</v>
      </c>
      <c r="B13880" t="s">
        <v>33</v>
      </c>
      <c r="C13880" t="str">
        <f t="shared" si="434"/>
        <v>Cumple</v>
      </c>
      <c r="D13880">
        <v>3180</v>
      </c>
      <c r="E13880" t="s">
        <v>13</v>
      </c>
      <c r="F13880">
        <v>5</v>
      </c>
      <c r="G13880">
        <v>3</v>
      </c>
      <c r="H13880">
        <f t="shared" si="433"/>
        <v>2</v>
      </c>
    </row>
    <row r="13881" spans="1:8" x14ac:dyDescent="0.2">
      <c r="A13881" t="s">
        <v>7</v>
      </c>
      <c r="B13881" t="s">
        <v>33</v>
      </c>
      <c r="C13881" t="str">
        <f t="shared" si="434"/>
        <v>Cumple</v>
      </c>
      <c r="D13881">
        <v>3236</v>
      </c>
      <c r="E13881" t="s">
        <v>13</v>
      </c>
      <c r="F13881">
        <v>5</v>
      </c>
      <c r="G13881">
        <v>3</v>
      </c>
      <c r="H13881">
        <f t="shared" si="433"/>
        <v>2</v>
      </c>
    </row>
    <row r="13882" spans="1:8" x14ac:dyDescent="0.2">
      <c r="A13882" t="s">
        <v>7</v>
      </c>
      <c r="B13882" t="s">
        <v>33</v>
      </c>
      <c r="C13882" t="str">
        <f t="shared" si="434"/>
        <v>Cumple</v>
      </c>
      <c r="D13882">
        <v>3449</v>
      </c>
      <c r="E13882" t="s">
        <v>13</v>
      </c>
      <c r="F13882">
        <v>5</v>
      </c>
      <c r="G13882">
        <v>3</v>
      </c>
      <c r="H13882">
        <f t="shared" si="433"/>
        <v>2</v>
      </c>
    </row>
    <row r="13883" spans="1:8" x14ac:dyDescent="0.2">
      <c r="A13883" t="s">
        <v>7</v>
      </c>
      <c r="B13883" t="s">
        <v>33</v>
      </c>
      <c r="C13883" t="str">
        <f t="shared" si="434"/>
        <v>Cumple</v>
      </c>
      <c r="D13883">
        <v>3509</v>
      </c>
      <c r="E13883" t="s">
        <v>13</v>
      </c>
      <c r="F13883">
        <v>5</v>
      </c>
      <c r="G13883">
        <v>3</v>
      </c>
      <c r="H13883">
        <f t="shared" si="433"/>
        <v>2</v>
      </c>
    </row>
    <row r="13884" spans="1:8" x14ac:dyDescent="0.2">
      <c r="A13884" t="s">
        <v>7</v>
      </c>
      <c r="B13884" t="s">
        <v>33</v>
      </c>
      <c r="C13884" t="str">
        <f t="shared" si="434"/>
        <v>Cumple</v>
      </c>
      <c r="D13884">
        <v>3541</v>
      </c>
      <c r="E13884" t="s">
        <v>13</v>
      </c>
      <c r="F13884">
        <v>5</v>
      </c>
      <c r="G13884">
        <v>3</v>
      </c>
      <c r="H13884">
        <f t="shared" si="433"/>
        <v>2</v>
      </c>
    </row>
    <row r="13885" spans="1:8" x14ac:dyDescent="0.2">
      <c r="A13885" t="s">
        <v>7</v>
      </c>
      <c r="B13885" t="s">
        <v>33</v>
      </c>
      <c r="C13885" t="str">
        <f t="shared" si="434"/>
        <v>No cumple</v>
      </c>
      <c r="D13885">
        <v>3595</v>
      </c>
      <c r="E13885" t="s">
        <v>13</v>
      </c>
      <c r="F13885">
        <v>5</v>
      </c>
      <c r="G13885">
        <v>6</v>
      </c>
      <c r="H13885">
        <f t="shared" si="433"/>
        <v>-1</v>
      </c>
    </row>
    <row r="13886" spans="1:8" x14ac:dyDescent="0.2">
      <c r="A13886" t="s">
        <v>7</v>
      </c>
      <c r="B13886" t="s">
        <v>33</v>
      </c>
      <c r="C13886" t="str">
        <f t="shared" si="434"/>
        <v>No cumple</v>
      </c>
      <c r="D13886">
        <v>3810</v>
      </c>
      <c r="E13886" t="s">
        <v>13</v>
      </c>
      <c r="F13886">
        <v>5</v>
      </c>
      <c r="G13886">
        <v>6</v>
      </c>
      <c r="H13886">
        <f t="shared" si="433"/>
        <v>-1</v>
      </c>
    </row>
    <row r="13887" spans="1:8" x14ac:dyDescent="0.2">
      <c r="A13887" t="s">
        <v>7</v>
      </c>
      <c r="B13887" t="s">
        <v>33</v>
      </c>
      <c r="C13887" t="str">
        <f t="shared" si="434"/>
        <v>Cumple</v>
      </c>
      <c r="D13887">
        <v>3843</v>
      </c>
      <c r="E13887" t="s">
        <v>13</v>
      </c>
      <c r="F13887">
        <v>5</v>
      </c>
      <c r="G13887">
        <v>3</v>
      </c>
      <c r="H13887">
        <f t="shared" si="433"/>
        <v>2</v>
      </c>
    </row>
    <row r="13888" spans="1:8" x14ac:dyDescent="0.2">
      <c r="A13888" t="s">
        <v>7</v>
      </c>
      <c r="B13888" t="s">
        <v>33</v>
      </c>
      <c r="C13888" t="str">
        <f t="shared" si="434"/>
        <v>Cumple</v>
      </c>
      <c r="D13888">
        <v>3863</v>
      </c>
      <c r="E13888" t="s">
        <v>13</v>
      </c>
      <c r="F13888">
        <v>5</v>
      </c>
      <c r="G13888">
        <v>3</v>
      </c>
      <c r="H13888">
        <f t="shared" si="433"/>
        <v>2</v>
      </c>
    </row>
    <row r="13889" spans="1:8" x14ac:dyDescent="0.2">
      <c r="A13889" t="s">
        <v>7</v>
      </c>
      <c r="B13889" t="s">
        <v>33</v>
      </c>
      <c r="C13889" t="str">
        <f t="shared" si="434"/>
        <v>No cumple</v>
      </c>
      <c r="D13889">
        <v>9490</v>
      </c>
      <c r="E13889" t="s">
        <v>13</v>
      </c>
      <c r="F13889">
        <v>5</v>
      </c>
      <c r="G13889">
        <v>6</v>
      </c>
      <c r="H13889">
        <f t="shared" si="433"/>
        <v>-1</v>
      </c>
    </row>
    <row r="13890" spans="1:8" x14ac:dyDescent="0.2">
      <c r="A13890" t="s">
        <v>7</v>
      </c>
      <c r="B13890" t="s">
        <v>33</v>
      </c>
      <c r="C13890" t="str">
        <f t="shared" si="434"/>
        <v>Cumple</v>
      </c>
      <c r="D13890">
        <v>9510</v>
      </c>
      <c r="E13890" t="s">
        <v>13</v>
      </c>
      <c r="F13890">
        <v>5</v>
      </c>
      <c r="G13890">
        <v>3</v>
      </c>
      <c r="H13890">
        <f t="shared" si="433"/>
        <v>2</v>
      </c>
    </row>
    <row r="13891" spans="1:8" x14ac:dyDescent="0.2">
      <c r="A13891" t="s">
        <v>7</v>
      </c>
      <c r="B13891" t="s">
        <v>33</v>
      </c>
      <c r="C13891" t="str">
        <f t="shared" si="434"/>
        <v>Cumple</v>
      </c>
      <c r="D13891">
        <v>9952</v>
      </c>
      <c r="E13891" t="s">
        <v>13</v>
      </c>
      <c r="F13891">
        <v>5</v>
      </c>
      <c r="G13891">
        <v>3</v>
      </c>
      <c r="H13891">
        <f t="shared" ref="H13891:H13954" si="435">F13891-G13891</f>
        <v>2</v>
      </c>
    </row>
    <row r="13892" spans="1:8" x14ac:dyDescent="0.2">
      <c r="A13892" t="s">
        <v>7</v>
      </c>
      <c r="B13892" t="s">
        <v>33</v>
      </c>
      <c r="C13892" t="str">
        <f t="shared" si="434"/>
        <v>Cumple</v>
      </c>
      <c r="D13892">
        <v>3985</v>
      </c>
      <c r="E13892" t="s">
        <v>13</v>
      </c>
      <c r="F13892">
        <v>5</v>
      </c>
      <c r="G13892">
        <v>3</v>
      </c>
      <c r="H13892">
        <f t="shared" si="435"/>
        <v>2</v>
      </c>
    </row>
    <row r="13893" spans="1:8" x14ac:dyDescent="0.2">
      <c r="A13893" t="s">
        <v>7</v>
      </c>
      <c r="B13893" t="s">
        <v>33</v>
      </c>
      <c r="C13893" t="str">
        <f t="shared" ref="C13893:C13956" si="436">IF(H13893&gt;=0,"Cumple","No cumple")</f>
        <v>Cumple</v>
      </c>
      <c r="D13893">
        <v>3770</v>
      </c>
      <c r="E13893" t="s">
        <v>13</v>
      </c>
      <c r="F13893">
        <v>5</v>
      </c>
      <c r="G13893">
        <v>3</v>
      </c>
      <c r="H13893">
        <f t="shared" si="435"/>
        <v>2</v>
      </c>
    </row>
    <row r="13894" spans="1:8" x14ac:dyDescent="0.2">
      <c r="A13894" t="s">
        <v>7</v>
      </c>
      <c r="B13894" t="s">
        <v>33</v>
      </c>
      <c r="C13894" t="str">
        <f t="shared" si="436"/>
        <v>Cumple</v>
      </c>
      <c r="D13894">
        <v>1209</v>
      </c>
      <c r="E13894" t="s">
        <v>13</v>
      </c>
      <c r="F13894">
        <v>5</v>
      </c>
      <c r="G13894">
        <v>3</v>
      </c>
      <c r="H13894">
        <f t="shared" si="435"/>
        <v>2</v>
      </c>
    </row>
    <row r="13895" spans="1:8" x14ac:dyDescent="0.2">
      <c r="A13895" t="s">
        <v>7</v>
      </c>
      <c r="B13895" t="s">
        <v>33</v>
      </c>
      <c r="C13895" t="str">
        <f t="shared" si="436"/>
        <v>Cumple</v>
      </c>
      <c r="D13895">
        <v>4054</v>
      </c>
      <c r="E13895" t="s">
        <v>13</v>
      </c>
      <c r="F13895">
        <v>5</v>
      </c>
      <c r="G13895">
        <v>3</v>
      </c>
      <c r="H13895">
        <f t="shared" si="435"/>
        <v>2</v>
      </c>
    </row>
    <row r="13896" spans="1:8" x14ac:dyDescent="0.2">
      <c r="A13896" t="s">
        <v>7</v>
      </c>
      <c r="B13896" t="s">
        <v>33</v>
      </c>
      <c r="C13896" t="str">
        <f t="shared" si="436"/>
        <v>Cumple</v>
      </c>
      <c r="D13896">
        <v>4068</v>
      </c>
      <c r="E13896" t="s">
        <v>13</v>
      </c>
      <c r="F13896">
        <v>5</v>
      </c>
      <c r="G13896">
        <v>3</v>
      </c>
      <c r="H13896">
        <f t="shared" si="435"/>
        <v>2</v>
      </c>
    </row>
    <row r="13897" spans="1:8" x14ac:dyDescent="0.2">
      <c r="A13897" t="s">
        <v>7</v>
      </c>
      <c r="B13897" t="s">
        <v>33</v>
      </c>
      <c r="C13897" t="str">
        <f t="shared" si="436"/>
        <v>Cumple</v>
      </c>
      <c r="D13897">
        <v>240</v>
      </c>
      <c r="E13897" t="s">
        <v>13</v>
      </c>
      <c r="F13897">
        <v>4</v>
      </c>
      <c r="G13897">
        <v>3</v>
      </c>
      <c r="H13897">
        <f t="shared" si="435"/>
        <v>1</v>
      </c>
    </row>
    <row r="13898" spans="1:8" x14ac:dyDescent="0.2">
      <c r="A13898" t="s">
        <v>7</v>
      </c>
      <c r="B13898" t="s">
        <v>33</v>
      </c>
      <c r="C13898" t="str">
        <f t="shared" si="436"/>
        <v>Cumple</v>
      </c>
      <c r="D13898">
        <v>247</v>
      </c>
      <c r="E13898" t="s">
        <v>13</v>
      </c>
      <c r="F13898">
        <v>4</v>
      </c>
      <c r="G13898">
        <v>3</v>
      </c>
      <c r="H13898">
        <f t="shared" si="435"/>
        <v>1</v>
      </c>
    </row>
    <row r="13899" spans="1:8" x14ac:dyDescent="0.2">
      <c r="A13899" t="s">
        <v>7</v>
      </c>
      <c r="B13899" t="s">
        <v>33</v>
      </c>
      <c r="C13899" t="str">
        <f t="shared" si="436"/>
        <v>Cumple</v>
      </c>
      <c r="D13899">
        <v>760</v>
      </c>
      <c r="E13899" t="s">
        <v>13</v>
      </c>
      <c r="F13899">
        <v>4</v>
      </c>
      <c r="G13899">
        <v>3</v>
      </c>
      <c r="H13899">
        <f t="shared" si="435"/>
        <v>1</v>
      </c>
    </row>
    <row r="13900" spans="1:8" x14ac:dyDescent="0.2">
      <c r="A13900" t="s">
        <v>7</v>
      </c>
      <c r="B13900" t="s">
        <v>33</v>
      </c>
      <c r="C13900" t="str">
        <f t="shared" si="436"/>
        <v>No cumple</v>
      </c>
      <c r="D13900">
        <v>766</v>
      </c>
      <c r="E13900" t="s">
        <v>13</v>
      </c>
      <c r="F13900">
        <v>4</v>
      </c>
      <c r="G13900">
        <v>6</v>
      </c>
      <c r="H13900">
        <f t="shared" si="435"/>
        <v>-2</v>
      </c>
    </row>
    <row r="13901" spans="1:8" x14ac:dyDescent="0.2">
      <c r="A13901" t="s">
        <v>7</v>
      </c>
      <c r="B13901" t="s">
        <v>33</v>
      </c>
      <c r="C13901" t="str">
        <f t="shared" si="436"/>
        <v>Cumple</v>
      </c>
      <c r="D13901">
        <v>807</v>
      </c>
      <c r="E13901" t="s">
        <v>13</v>
      </c>
      <c r="F13901">
        <v>4</v>
      </c>
      <c r="G13901">
        <v>3</v>
      </c>
      <c r="H13901">
        <f t="shared" si="435"/>
        <v>1</v>
      </c>
    </row>
    <row r="13902" spans="1:8" x14ac:dyDescent="0.2">
      <c r="A13902" t="s">
        <v>7</v>
      </c>
      <c r="B13902" t="s">
        <v>33</v>
      </c>
      <c r="C13902" t="str">
        <f t="shared" si="436"/>
        <v>No cumple</v>
      </c>
      <c r="D13902">
        <v>879</v>
      </c>
      <c r="E13902" t="s">
        <v>13</v>
      </c>
      <c r="F13902">
        <v>4</v>
      </c>
      <c r="G13902">
        <v>6</v>
      </c>
      <c r="H13902">
        <f t="shared" si="435"/>
        <v>-2</v>
      </c>
    </row>
    <row r="13903" spans="1:8" x14ac:dyDescent="0.2">
      <c r="A13903" t="s">
        <v>7</v>
      </c>
      <c r="B13903" t="s">
        <v>33</v>
      </c>
      <c r="C13903" t="str">
        <f t="shared" si="436"/>
        <v>No cumple</v>
      </c>
      <c r="D13903">
        <v>950</v>
      </c>
      <c r="E13903" t="s">
        <v>13</v>
      </c>
      <c r="F13903">
        <v>4</v>
      </c>
      <c r="G13903">
        <v>6</v>
      </c>
      <c r="H13903">
        <f t="shared" si="435"/>
        <v>-2</v>
      </c>
    </row>
    <row r="13904" spans="1:8" x14ac:dyDescent="0.2">
      <c r="A13904" t="s">
        <v>7</v>
      </c>
      <c r="B13904" t="s">
        <v>33</v>
      </c>
      <c r="C13904" t="str">
        <f t="shared" si="436"/>
        <v>Cumple</v>
      </c>
      <c r="D13904">
        <v>988</v>
      </c>
      <c r="E13904" t="s">
        <v>13</v>
      </c>
      <c r="F13904">
        <v>4</v>
      </c>
      <c r="G13904">
        <v>3</v>
      </c>
      <c r="H13904">
        <f t="shared" si="435"/>
        <v>1</v>
      </c>
    </row>
    <row r="13905" spans="1:8" x14ac:dyDescent="0.2">
      <c r="A13905" t="s">
        <v>7</v>
      </c>
      <c r="B13905" t="s">
        <v>33</v>
      </c>
      <c r="C13905" t="str">
        <f t="shared" si="436"/>
        <v>Cumple</v>
      </c>
      <c r="D13905">
        <v>1812</v>
      </c>
      <c r="E13905" t="s">
        <v>13</v>
      </c>
      <c r="F13905">
        <v>4</v>
      </c>
      <c r="G13905">
        <v>3</v>
      </c>
      <c r="H13905">
        <f t="shared" si="435"/>
        <v>1</v>
      </c>
    </row>
    <row r="13906" spans="1:8" x14ac:dyDescent="0.2">
      <c r="A13906" t="s">
        <v>7</v>
      </c>
      <c r="B13906" t="s">
        <v>33</v>
      </c>
      <c r="C13906" t="str">
        <f t="shared" si="436"/>
        <v>Cumple</v>
      </c>
      <c r="D13906">
        <v>2653</v>
      </c>
      <c r="E13906" t="s">
        <v>13</v>
      </c>
      <c r="F13906">
        <v>4</v>
      </c>
      <c r="G13906">
        <v>3</v>
      </c>
      <c r="H13906">
        <f t="shared" si="435"/>
        <v>1</v>
      </c>
    </row>
    <row r="13907" spans="1:8" x14ac:dyDescent="0.2">
      <c r="A13907" t="s">
        <v>7</v>
      </c>
      <c r="B13907" t="s">
        <v>33</v>
      </c>
      <c r="C13907" t="str">
        <f t="shared" si="436"/>
        <v>Cumple</v>
      </c>
      <c r="D13907">
        <v>2864</v>
      </c>
      <c r="E13907" t="s">
        <v>13</v>
      </c>
      <c r="F13907">
        <v>4</v>
      </c>
      <c r="G13907">
        <v>3</v>
      </c>
      <c r="H13907">
        <f t="shared" si="435"/>
        <v>1</v>
      </c>
    </row>
    <row r="13908" spans="1:8" x14ac:dyDescent="0.2">
      <c r="A13908" t="s">
        <v>7</v>
      </c>
      <c r="B13908" t="s">
        <v>33</v>
      </c>
      <c r="C13908" t="str">
        <f t="shared" si="436"/>
        <v>Cumple</v>
      </c>
      <c r="D13908">
        <v>3566</v>
      </c>
      <c r="E13908" t="s">
        <v>13</v>
      </c>
      <c r="F13908">
        <v>4</v>
      </c>
      <c r="G13908">
        <v>3</v>
      </c>
      <c r="H13908">
        <f t="shared" si="435"/>
        <v>1</v>
      </c>
    </row>
    <row r="13909" spans="1:8" x14ac:dyDescent="0.2">
      <c r="A13909" t="s">
        <v>7</v>
      </c>
      <c r="B13909" t="s">
        <v>33</v>
      </c>
      <c r="C13909" t="str">
        <f t="shared" si="436"/>
        <v>No cumple</v>
      </c>
      <c r="D13909">
        <v>3590</v>
      </c>
      <c r="E13909" t="s">
        <v>13</v>
      </c>
      <c r="F13909">
        <v>4</v>
      </c>
      <c r="G13909">
        <v>6</v>
      </c>
      <c r="H13909">
        <f t="shared" si="435"/>
        <v>-2</v>
      </c>
    </row>
    <row r="13910" spans="1:8" x14ac:dyDescent="0.2">
      <c r="A13910" t="s">
        <v>7</v>
      </c>
      <c r="B13910" t="s">
        <v>33</v>
      </c>
      <c r="C13910" t="str">
        <f t="shared" si="436"/>
        <v>Cumple</v>
      </c>
      <c r="D13910">
        <v>3693</v>
      </c>
      <c r="E13910" t="s">
        <v>13</v>
      </c>
      <c r="F13910">
        <v>4</v>
      </c>
      <c r="G13910">
        <v>3</v>
      </c>
      <c r="H13910">
        <f t="shared" si="435"/>
        <v>1</v>
      </c>
    </row>
    <row r="13911" spans="1:8" x14ac:dyDescent="0.2">
      <c r="A13911" t="s">
        <v>7</v>
      </c>
      <c r="B13911" t="s">
        <v>33</v>
      </c>
      <c r="C13911" t="str">
        <f t="shared" si="436"/>
        <v>No cumple</v>
      </c>
      <c r="D13911">
        <v>3695</v>
      </c>
      <c r="E13911" t="s">
        <v>13</v>
      </c>
      <c r="F13911">
        <v>4</v>
      </c>
      <c r="G13911">
        <v>6</v>
      </c>
      <c r="H13911">
        <f t="shared" si="435"/>
        <v>-2</v>
      </c>
    </row>
    <row r="13912" spans="1:8" x14ac:dyDescent="0.2">
      <c r="A13912" t="s">
        <v>7</v>
      </c>
      <c r="B13912" t="s">
        <v>33</v>
      </c>
      <c r="C13912" t="str">
        <f t="shared" si="436"/>
        <v>Cumple</v>
      </c>
      <c r="D13912">
        <v>3741</v>
      </c>
      <c r="E13912" t="s">
        <v>13</v>
      </c>
      <c r="F13912">
        <v>4</v>
      </c>
      <c r="G13912">
        <v>3</v>
      </c>
      <c r="H13912">
        <f t="shared" si="435"/>
        <v>1</v>
      </c>
    </row>
    <row r="13913" spans="1:8" x14ac:dyDescent="0.2">
      <c r="A13913" t="s">
        <v>7</v>
      </c>
      <c r="B13913" t="s">
        <v>33</v>
      </c>
      <c r="C13913" t="str">
        <f t="shared" si="436"/>
        <v>Cumple</v>
      </c>
      <c r="D13913">
        <v>3795</v>
      </c>
      <c r="E13913" t="s">
        <v>13</v>
      </c>
      <c r="F13913">
        <v>4</v>
      </c>
      <c r="G13913">
        <v>3</v>
      </c>
      <c r="H13913">
        <f t="shared" si="435"/>
        <v>1</v>
      </c>
    </row>
    <row r="13914" spans="1:8" x14ac:dyDescent="0.2">
      <c r="A13914" t="s">
        <v>7</v>
      </c>
      <c r="B13914" t="s">
        <v>33</v>
      </c>
      <c r="C13914" t="str">
        <f t="shared" si="436"/>
        <v>Cumple</v>
      </c>
      <c r="D13914">
        <v>3796</v>
      </c>
      <c r="E13914" t="s">
        <v>13</v>
      </c>
      <c r="F13914">
        <v>4</v>
      </c>
      <c r="G13914">
        <v>3</v>
      </c>
      <c r="H13914">
        <f t="shared" si="435"/>
        <v>1</v>
      </c>
    </row>
    <row r="13915" spans="1:8" x14ac:dyDescent="0.2">
      <c r="A13915" t="s">
        <v>7</v>
      </c>
      <c r="B13915" t="s">
        <v>33</v>
      </c>
      <c r="C13915" t="str">
        <f t="shared" si="436"/>
        <v>Cumple</v>
      </c>
      <c r="D13915">
        <v>3838</v>
      </c>
      <c r="E13915" t="s">
        <v>13</v>
      </c>
      <c r="F13915">
        <v>4</v>
      </c>
      <c r="G13915">
        <v>3</v>
      </c>
      <c r="H13915">
        <f t="shared" si="435"/>
        <v>1</v>
      </c>
    </row>
    <row r="13916" spans="1:8" x14ac:dyDescent="0.2">
      <c r="A13916" t="s">
        <v>7</v>
      </c>
      <c r="B13916" t="s">
        <v>33</v>
      </c>
      <c r="C13916" t="str">
        <f t="shared" si="436"/>
        <v>No cumple</v>
      </c>
      <c r="D13916">
        <v>3853</v>
      </c>
      <c r="E13916" t="s">
        <v>13</v>
      </c>
      <c r="F13916">
        <v>4</v>
      </c>
      <c r="G13916">
        <v>6</v>
      </c>
      <c r="H13916">
        <f t="shared" si="435"/>
        <v>-2</v>
      </c>
    </row>
    <row r="13917" spans="1:8" x14ac:dyDescent="0.2">
      <c r="A13917" t="s">
        <v>7</v>
      </c>
      <c r="B13917" t="s">
        <v>33</v>
      </c>
      <c r="C13917" t="str">
        <f t="shared" si="436"/>
        <v>Cumple</v>
      </c>
      <c r="D13917">
        <v>3865</v>
      </c>
      <c r="E13917" t="s">
        <v>13</v>
      </c>
      <c r="F13917">
        <v>4</v>
      </c>
      <c r="G13917">
        <v>3</v>
      </c>
      <c r="H13917">
        <f t="shared" si="435"/>
        <v>1</v>
      </c>
    </row>
    <row r="13918" spans="1:8" x14ac:dyDescent="0.2">
      <c r="A13918" t="s">
        <v>7</v>
      </c>
      <c r="B13918" t="s">
        <v>33</v>
      </c>
      <c r="C13918" t="str">
        <f t="shared" si="436"/>
        <v>Cumple</v>
      </c>
      <c r="D13918">
        <v>3870</v>
      </c>
      <c r="E13918" t="s">
        <v>13</v>
      </c>
      <c r="F13918">
        <v>4</v>
      </c>
      <c r="G13918">
        <v>3</v>
      </c>
      <c r="H13918">
        <f t="shared" si="435"/>
        <v>1</v>
      </c>
    </row>
    <row r="13919" spans="1:8" x14ac:dyDescent="0.2">
      <c r="A13919" t="s">
        <v>7</v>
      </c>
      <c r="B13919" t="s">
        <v>33</v>
      </c>
      <c r="C13919" t="str">
        <f t="shared" si="436"/>
        <v>Cumple</v>
      </c>
      <c r="D13919">
        <v>3974</v>
      </c>
      <c r="E13919" t="s">
        <v>13</v>
      </c>
      <c r="F13919">
        <v>4</v>
      </c>
      <c r="G13919">
        <v>3</v>
      </c>
      <c r="H13919">
        <f t="shared" si="435"/>
        <v>1</v>
      </c>
    </row>
    <row r="13920" spans="1:8" x14ac:dyDescent="0.2">
      <c r="A13920" t="s">
        <v>7</v>
      </c>
      <c r="B13920" t="s">
        <v>33</v>
      </c>
      <c r="C13920" t="str">
        <f t="shared" si="436"/>
        <v>No cumple</v>
      </c>
      <c r="D13920">
        <v>9134</v>
      </c>
      <c r="E13920" t="s">
        <v>13</v>
      </c>
      <c r="F13920">
        <v>4</v>
      </c>
      <c r="G13920">
        <v>6</v>
      </c>
      <c r="H13920">
        <f t="shared" si="435"/>
        <v>-2</v>
      </c>
    </row>
    <row r="13921" spans="1:8" x14ac:dyDescent="0.2">
      <c r="A13921" t="s">
        <v>7</v>
      </c>
      <c r="B13921" t="s">
        <v>33</v>
      </c>
      <c r="C13921" t="str">
        <f t="shared" si="436"/>
        <v>Cumple</v>
      </c>
      <c r="D13921">
        <v>9637</v>
      </c>
      <c r="E13921" t="s">
        <v>13</v>
      </c>
      <c r="F13921">
        <v>4</v>
      </c>
      <c r="G13921">
        <v>3</v>
      </c>
      <c r="H13921">
        <f t="shared" si="435"/>
        <v>1</v>
      </c>
    </row>
    <row r="13922" spans="1:8" x14ac:dyDescent="0.2">
      <c r="A13922" t="s">
        <v>7</v>
      </c>
      <c r="B13922" t="s">
        <v>33</v>
      </c>
      <c r="C13922" t="str">
        <f t="shared" si="436"/>
        <v>Cumple</v>
      </c>
      <c r="D13922">
        <v>9834</v>
      </c>
      <c r="E13922" t="s">
        <v>13</v>
      </c>
      <c r="F13922">
        <v>4</v>
      </c>
      <c r="G13922">
        <v>3</v>
      </c>
      <c r="H13922">
        <f t="shared" si="435"/>
        <v>1</v>
      </c>
    </row>
    <row r="13923" spans="1:8" x14ac:dyDescent="0.2">
      <c r="A13923" t="s">
        <v>7</v>
      </c>
      <c r="B13923" t="s">
        <v>33</v>
      </c>
      <c r="C13923" t="str">
        <f t="shared" si="436"/>
        <v>Cumple</v>
      </c>
      <c r="D13923">
        <v>9953</v>
      </c>
      <c r="E13923" t="s">
        <v>13</v>
      </c>
      <c r="F13923">
        <v>4</v>
      </c>
      <c r="G13923">
        <v>3</v>
      </c>
      <c r="H13923">
        <f t="shared" si="435"/>
        <v>1</v>
      </c>
    </row>
    <row r="13924" spans="1:8" x14ac:dyDescent="0.2">
      <c r="A13924" t="s">
        <v>7</v>
      </c>
      <c r="B13924" t="s">
        <v>33</v>
      </c>
      <c r="C13924" t="str">
        <f t="shared" si="436"/>
        <v>Cumple</v>
      </c>
      <c r="D13924">
        <v>1451</v>
      </c>
      <c r="E13924" t="s">
        <v>13</v>
      </c>
      <c r="F13924">
        <v>4</v>
      </c>
      <c r="G13924" s="9">
        <v>3</v>
      </c>
      <c r="H13924">
        <f t="shared" si="435"/>
        <v>1</v>
      </c>
    </row>
    <row r="13925" spans="1:8" x14ac:dyDescent="0.2">
      <c r="A13925" t="s">
        <v>7</v>
      </c>
      <c r="B13925" t="s">
        <v>33</v>
      </c>
      <c r="C13925" t="str">
        <f t="shared" si="436"/>
        <v>Cumple</v>
      </c>
      <c r="D13925">
        <v>774</v>
      </c>
      <c r="E13925" t="s">
        <v>13</v>
      </c>
      <c r="F13925">
        <v>4</v>
      </c>
      <c r="G13925">
        <v>3</v>
      </c>
      <c r="H13925">
        <f t="shared" si="435"/>
        <v>1</v>
      </c>
    </row>
    <row r="13926" spans="1:8" x14ac:dyDescent="0.2">
      <c r="A13926" t="s">
        <v>7</v>
      </c>
      <c r="B13926" t="s">
        <v>33</v>
      </c>
      <c r="C13926" t="str">
        <f t="shared" si="436"/>
        <v>Cumple</v>
      </c>
      <c r="D13926">
        <v>4045</v>
      </c>
      <c r="E13926" t="s">
        <v>13</v>
      </c>
      <c r="F13926">
        <v>4</v>
      </c>
      <c r="G13926">
        <v>3</v>
      </c>
      <c r="H13926">
        <f t="shared" si="435"/>
        <v>1</v>
      </c>
    </row>
    <row r="13927" spans="1:8" x14ac:dyDescent="0.2">
      <c r="A13927" t="s">
        <v>7</v>
      </c>
      <c r="B13927" t="s">
        <v>33</v>
      </c>
      <c r="C13927" t="str">
        <f t="shared" si="436"/>
        <v>Cumple</v>
      </c>
      <c r="D13927">
        <v>207</v>
      </c>
      <c r="E13927" t="s">
        <v>13</v>
      </c>
      <c r="F13927">
        <v>3</v>
      </c>
      <c r="G13927">
        <v>3</v>
      </c>
      <c r="H13927">
        <f t="shared" si="435"/>
        <v>0</v>
      </c>
    </row>
    <row r="13928" spans="1:8" x14ac:dyDescent="0.2">
      <c r="A13928" t="s">
        <v>7</v>
      </c>
      <c r="B13928" t="s">
        <v>33</v>
      </c>
      <c r="C13928" t="str">
        <f t="shared" si="436"/>
        <v>Cumple</v>
      </c>
      <c r="D13928">
        <v>221</v>
      </c>
      <c r="E13928" t="s">
        <v>13</v>
      </c>
      <c r="F13928">
        <v>3</v>
      </c>
      <c r="G13928">
        <v>3</v>
      </c>
      <c r="H13928">
        <f t="shared" si="435"/>
        <v>0</v>
      </c>
    </row>
    <row r="13929" spans="1:8" x14ac:dyDescent="0.2">
      <c r="A13929" t="s">
        <v>7</v>
      </c>
      <c r="B13929" t="s">
        <v>33</v>
      </c>
      <c r="C13929" t="str">
        <f t="shared" si="436"/>
        <v>Cumple</v>
      </c>
      <c r="D13929">
        <v>677</v>
      </c>
      <c r="E13929" t="s">
        <v>13</v>
      </c>
      <c r="F13929">
        <v>3</v>
      </c>
      <c r="G13929">
        <v>3</v>
      </c>
      <c r="H13929">
        <f t="shared" si="435"/>
        <v>0</v>
      </c>
    </row>
    <row r="13930" spans="1:8" x14ac:dyDescent="0.2">
      <c r="A13930" t="s">
        <v>7</v>
      </c>
      <c r="B13930" t="s">
        <v>33</v>
      </c>
      <c r="C13930" t="str">
        <f t="shared" si="436"/>
        <v>Cumple</v>
      </c>
      <c r="D13930">
        <v>715</v>
      </c>
      <c r="E13930" t="s">
        <v>13</v>
      </c>
      <c r="F13930">
        <v>3</v>
      </c>
      <c r="G13930">
        <v>3</v>
      </c>
      <c r="H13930">
        <f t="shared" si="435"/>
        <v>0</v>
      </c>
    </row>
    <row r="13931" spans="1:8" x14ac:dyDescent="0.2">
      <c r="A13931" t="s">
        <v>7</v>
      </c>
      <c r="B13931" t="s">
        <v>33</v>
      </c>
      <c r="C13931" t="str">
        <f t="shared" si="436"/>
        <v>Cumple</v>
      </c>
      <c r="D13931">
        <v>772</v>
      </c>
      <c r="E13931" t="s">
        <v>13</v>
      </c>
      <c r="F13931">
        <v>3</v>
      </c>
      <c r="G13931">
        <v>3</v>
      </c>
      <c r="H13931">
        <f t="shared" si="435"/>
        <v>0</v>
      </c>
    </row>
    <row r="13932" spans="1:8" x14ac:dyDescent="0.2">
      <c r="A13932" t="s">
        <v>7</v>
      </c>
      <c r="B13932" t="s">
        <v>33</v>
      </c>
      <c r="C13932" t="str">
        <f t="shared" si="436"/>
        <v>Cumple</v>
      </c>
      <c r="D13932">
        <v>794</v>
      </c>
      <c r="E13932" t="s">
        <v>13</v>
      </c>
      <c r="F13932">
        <v>3</v>
      </c>
      <c r="G13932">
        <v>3</v>
      </c>
      <c r="H13932">
        <f t="shared" si="435"/>
        <v>0</v>
      </c>
    </row>
    <row r="13933" spans="1:8" x14ac:dyDescent="0.2">
      <c r="A13933" t="s">
        <v>7</v>
      </c>
      <c r="B13933" t="s">
        <v>33</v>
      </c>
      <c r="C13933" t="str">
        <f t="shared" si="436"/>
        <v>Cumple</v>
      </c>
      <c r="D13933">
        <v>803</v>
      </c>
      <c r="E13933" t="s">
        <v>13</v>
      </c>
      <c r="F13933">
        <v>3</v>
      </c>
      <c r="G13933">
        <v>3</v>
      </c>
      <c r="H13933">
        <f t="shared" si="435"/>
        <v>0</v>
      </c>
    </row>
    <row r="13934" spans="1:8" x14ac:dyDescent="0.2">
      <c r="A13934" t="s">
        <v>7</v>
      </c>
      <c r="B13934" t="s">
        <v>33</v>
      </c>
      <c r="C13934" t="str">
        <f t="shared" si="436"/>
        <v>No cumple</v>
      </c>
      <c r="D13934">
        <v>826</v>
      </c>
      <c r="E13934" t="s">
        <v>13</v>
      </c>
      <c r="F13934">
        <v>3</v>
      </c>
      <c r="G13934">
        <v>6</v>
      </c>
      <c r="H13934">
        <f t="shared" si="435"/>
        <v>-3</v>
      </c>
    </row>
    <row r="13935" spans="1:8" x14ac:dyDescent="0.2">
      <c r="A13935" t="s">
        <v>7</v>
      </c>
      <c r="B13935" t="s">
        <v>33</v>
      </c>
      <c r="C13935" t="str">
        <f t="shared" si="436"/>
        <v>No cumple</v>
      </c>
      <c r="D13935">
        <v>923</v>
      </c>
      <c r="E13935" t="s">
        <v>13</v>
      </c>
      <c r="F13935">
        <v>3</v>
      </c>
      <c r="G13935">
        <v>6</v>
      </c>
      <c r="H13935">
        <f t="shared" si="435"/>
        <v>-3</v>
      </c>
    </row>
    <row r="13936" spans="1:8" x14ac:dyDescent="0.2">
      <c r="A13936" t="s">
        <v>7</v>
      </c>
      <c r="B13936" t="s">
        <v>33</v>
      </c>
      <c r="C13936" t="str">
        <f t="shared" si="436"/>
        <v>Cumple</v>
      </c>
      <c r="D13936">
        <v>1224</v>
      </c>
      <c r="E13936" t="s">
        <v>13</v>
      </c>
      <c r="F13936">
        <v>3</v>
      </c>
      <c r="G13936">
        <v>3</v>
      </c>
      <c r="H13936">
        <f t="shared" si="435"/>
        <v>0</v>
      </c>
    </row>
    <row r="13937" spans="1:8" x14ac:dyDescent="0.2">
      <c r="A13937" t="s">
        <v>7</v>
      </c>
      <c r="B13937" t="s">
        <v>33</v>
      </c>
      <c r="C13937" t="str">
        <f t="shared" si="436"/>
        <v>Cumple</v>
      </c>
      <c r="D13937">
        <v>1402</v>
      </c>
      <c r="E13937" t="s">
        <v>13</v>
      </c>
      <c r="F13937" s="9">
        <v>6</v>
      </c>
      <c r="G13937">
        <v>6</v>
      </c>
      <c r="H13937">
        <f t="shared" si="435"/>
        <v>0</v>
      </c>
    </row>
    <row r="13938" spans="1:8" x14ac:dyDescent="0.2">
      <c r="A13938" t="s">
        <v>7</v>
      </c>
      <c r="B13938" t="s">
        <v>33</v>
      </c>
      <c r="C13938" t="str">
        <f t="shared" si="436"/>
        <v>Cumple</v>
      </c>
      <c r="D13938">
        <v>1411</v>
      </c>
      <c r="E13938" t="s">
        <v>13</v>
      </c>
      <c r="F13938">
        <v>3</v>
      </c>
      <c r="G13938">
        <v>3</v>
      </c>
      <c r="H13938">
        <f t="shared" si="435"/>
        <v>0</v>
      </c>
    </row>
    <row r="13939" spans="1:8" x14ac:dyDescent="0.2">
      <c r="A13939" t="s">
        <v>7</v>
      </c>
      <c r="B13939" t="s">
        <v>33</v>
      </c>
      <c r="C13939" t="str">
        <f t="shared" si="436"/>
        <v>Cumple</v>
      </c>
      <c r="D13939">
        <v>1425</v>
      </c>
      <c r="E13939" t="s">
        <v>13</v>
      </c>
      <c r="F13939">
        <v>3</v>
      </c>
      <c r="G13939">
        <v>3</v>
      </c>
      <c r="H13939">
        <f t="shared" si="435"/>
        <v>0</v>
      </c>
    </row>
    <row r="13940" spans="1:8" x14ac:dyDescent="0.2">
      <c r="A13940" t="s">
        <v>7</v>
      </c>
      <c r="B13940" t="s">
        <v>33</v>
      </c>
      <c r="C13940" t="str">
        <f t="shared" si="436"/>
        <v>Cumple</v>
      </c>
      <c r="D13940">
        <v>1434</v>
      </c>
      <c r="E13940" t="s">
        <v>13</v>
      </c>
      <c r="F13940">
        <v>3</v>
      </c>
      <c r="G13940">
        <v>3</v>
      </c>
      <c r="H13940">
        <f t="shared" si="435"/>
        <v>0</v>
      </c>
    </row>
    <row r="13941" spans="1:8" x14ac:dyDescent="0.2">
      <c r="A13941" t="s">
        <v>7</v>
      </c>
      <c r="B13941" t="s">
        <v>33</v>
      </c>
      <c r="C13941" t="str">
        <f t="shared" si="436"/>
        <v>Cumple</v>
      </c>
      <c r="D13941">
        <v>1553</v>
      </c>
      <c r="E13941" t="s">
        <v>13</v>
      </c>
      <c r="F13941">
        <v>3</v>
      </c>
      <c r="G13941">
        <v>3</v>
      </c>
      <c r="H13941">
        <f t="shared" si="435"/>
        <v>0</v>
      </c>
    </row>
    <row r="13942" spans="1:8" x14ac:dyDescent="0.2">
      <c r="A13942" t="s">
        <v>7</v>
      </c>
      <c r="B13942" t="s">
        <v>33</v>
      </c>
      <c r="C13942" t="str">
        <f t="shared" si="436"/>
        <v>Cumple</v>
      </c>
      <c r="D13942">
        <v>1584</v>
      </c>
      <c r="E13942" t="s">
        <v>13</v>
      </c>
      <c r="F13942">
        <v>3</v>
      </c>
      <c r="G13942">
        <v>3</v>
      </c>
      <c r="H13942">
        <f t="shared" si="435"/>
        <v>0</v>
      </c>
    </row>
    <row r="13943" spans="1:8" x14ac:dyDescent="0.2">
      <c r="A13943" t="s">
        <v>7</v>
      </c>
      <c r="B13943" t="s">
        <v>33</v>
      </c>
      <c r="C13943" t="str">
        <f t="shared" si="436"/>
        <v>Cumple</v>
      </c>
      <c r="D13943">
        <v>1594</v>
      </c>
      <c r="E13943" t="s">
        <v>13</v>
      </c>
      <c r="F13943">
        <v>3</v>
      </c>
      <c r="G13943">
        <v>3</v>
      </c>
      <c r="H13943">
        <f t="shared" si="435"/>
        <v>0</v>
      </c>
    </row>
    <row r="13944" spans="1:8" x14ac:dyDescent="0.2">
      <c r="A13944" t="s">
        <v>7</v>
      </c>
      <c r="B13944" t="s">
        <v>33</v>
      </c>
      <c r="C13944" t="str">
        <f t="shared" si="436"/>
        <v>Cumple</v>
      </c>
      <c r="D13944">
        <v>1773</v>
      </c>
      <c r="E13944" t="s">
        <v>13</v>
      </c>
      <c r="F13944">
        <v>3</v>
      </c>
      <c r="G13944">
        <v>3</v>
      </c>
      <c r="H13944">
        <f t="shared" si="435"/>
        <v>0</v>
      </c>
    </row>
    <row r="13945" spans="1:8" x14ac:dyDescent="0.2">
      <c r="A13945" t="s">
        <v>7</v>
      </c>
      <c r="B13945" t="s">
        <v>33</v>
      </c>
      <c r="C13945" t="str">
        <f t="shared" si="436"/>
        <v>Cumple</v>
      </c>
      <c r="D13945">
        <v>2722</v>
      </c>
      <c r="E13945" t="s">
        <v>13</v>
      </c>
      <c r="F13945">
        <v>3</v>
      </c>
      <c r="G13945">
        <v>3</v>
      </c>
      <c r="H13945">
        <f t="shared" si="435"/>
        <v>0</v>
      </c>
    </row>
    <row r="13946" spans="1:8" x14ac:dyDescent="0.2">
      <c r="A13946" t="s">
        <v>7</v>
      </c>
      <c r="B13946" t="s">
        <v>33</v>
      </c>
      <c r="C13946" t="str">
        <f t="shared" si="436"/>
        <v>Cumple</v>
      </c>
      <c r="D13946">
        <v>2848</v>
      </c>
      <c r="E13946" t="s">
        <v>13</v>
      </c>
      <c r="F13946">
        <v>3</v>
      </c>
      <c r="G13946">
        <v>3</v>
      </c>
      <c r="H13946">
        <f t="shared" si="435"/>
        <v>0</v>
      </c>
    </row>
    <row r="13947" spans="1:8" x14ac:dyDescent="0.2">
      <c r="A13947" t="s">
        <v>7</v>
      </c>
      <c r="B13947" t="s">
        <v>33</v>
      </c>
      <c r="C13947" t="str">
        <f t="shared" si="436"/>
        <v>Cumple</v>
      </c>
      <c r="D13947">
        <v>3294</v>
      </c>
      <c r="E13947" t="s">
        <v>13</v>
      </c>
      <c r="F13947">
        <v>3</v>
      </c>
      <c r="G13947">
        <v>3</v>
      </c>
      <c r="H13947">
        <f t="shared" si="435"/>
        <v>0</v>
      </c>
    </row>
    <row r="13948" spans="1:8" x14ac:dyDescent="0.2">
      <c r="A13948" t="s">
        <v>7</v>
      </c>
      <c r="B13948" t="s">
        <v>33</v>
      </c>
      <c r="C13948" t="str">
        <f t="shared" si="436"/>
        <v>Cumple</v>
      </c>
      <c r="D13948">
        <v>3694</v>
      </c>
      <c r="E13948" t="s">
        <v>13</v>
      </c>
      <c r="F13948">
        <v>3</v>
      </c>
      <c r="G13948">
        <v>3</v>
      </c>
      <c r="H13948">
        <f t="shared" si="435"/>
        <v>0</v>
      </c>
    </row>
    <row r="13949" spans="1:8" x14ac:dyDescent="0.2">
      <c r="A13949" t="s">
        <v>7</v>
      </c>
      <c r="B13949" t="s">
        <v>33</v>
      </c>
      <c r="C13949" t="str">
        <f t="shared" si="436"/>
        <v>Cumple</v>
      </c>
      <c r="D13949">
        <v>3703</v>
      </c>
      <c r="E13949" t="s">
        <v>13</v>
      </c>
      <c r="F13949">
        <v>3</v>
      </c>
      <c r="G13949">
        <v>3</v>
      </c>
      <c r="H13949">
        <f t="shared" si="435"/>
        <v>0</v>
      </c>
    </row>
    <row r="13950" spans="1:8" x14ac:dyDescent="0.2">
      <c r="A13950" t="s">
        <v>7</v>
      </c>
      <c r="B13950" t="s">
        <v>33</v>
      </c>
      <c r="C13950" t="str">
        <f t="shared" si="436"/>
        <v>Cumple</v>
      </c>
      <c r="D13950">
        <v>9017</v>
      </c>
      <c r="E13950" t="s">
        <v>13</v>
      </c>
      <c r="F13950">
        <v>3</v>
      </c>
      <c r="G13950">
        <v>3</v>
      </c>
      <c r="H13950">
        <f t="shared" si="435"/>
        <v>0</v>
      </c>
    </row>
    <row r="13951" spans="1:8" x14ac:dyDescent="0.2">
      <c r="A13951" t="s">
        <v>7</v>
      </c>
      <c r="B13951" t="s">
        <v>33</v>
      </c>
      <c r="C13951" t="str">
        <f t="shared" si="436"/>
        <v>Cumple</v>
      </c>
      <c r="D13951">
        <v>9035</v>
      </c>
      <c r="E13951" t="s">
        <v>13</v>
      </c>
      <c r="F13951">
        <v>3</v>
      </c>
      <c r="G13951">
        <v>3</v>
      </c>
      <c r="H13951">
        <f t="shared" si="435"/>
        <v>0</v>
      </c>
    </row>
    <row r="13952" spans="1:8" x14ac:dyDescent="0.2">
      <c r="A13952" t="s">
        <v>7</v>
      </c>
      <c r="B13952" t="s">
        <v>33</v>
      </c>
      <c r="C13952" t="str">
        <f t="shared" si="436"/>
        <v>Cumple</v>
      </c>
      <c r="D13952">
        <v>9246</v>
      </c>
      <c r="E13952" t="s">
        <v>13</v>
      </c>
      <c r="F13952" s="9">
        <v>6</v>
      </c>
      <c r="G13952">
        <v>6</v>
      </c>
      <c r="H13952">
        <f t="shared" si="435"/>
        <v>0</v>
      </c>
    </row>
    <row r="13953" spans="1:8" x14ac:dyDescent="0.2">
      <c r="A13953" t="s">
        <v>7</v>
      </c>
      <c r="B13953" t="s">
        <v>33</v>
      </c>
      <c r="C13953" t="str">
        <f t="shared" si="436"/>
        <v>Cumple</v>
      </c>
      <c r="D13953">
        <v>9301</v>
      </c>
      <c r="E13953" t="s">
        <v>13</v>
      </c>
      <c r="F13953">
        <v>3</v>
      </c>
      <c r="G13953">
        <v>3</v>
      </c>
      <c r="H13953">
        <f t="shared" si="435"/>
        <v>0</v>
      </c>
    </row>
    <row r="13954" spans="1:8" x14ac:dyDescent="0.2">
      <c r="A13954" t="s">
        <v>7</v>
      </c>
      <c r="B13954" t="s">
        <v>33</v>
      </c>
      <c r="C13954" t="str">
        <f t="shared" si="436"/>
        <v>No cumple</v>
      </c>
      <c r="D13954">
        <v>9527</v>
      </c>
      <c r="E13954" t="s">
        <v>13</v>
      </c>
      <c r="F13954">
        <v>3</v>
      </c>
      <c r="G13954">
        <v>6</v>
      </c>
      <c r="H13954">
        <f t="shared" si="435"/>
        <v>-3</v>
      </c>
    </row>
    <row r="13955" spans="1:8" x14ac:dyDescent="0.2">
      <c r="A13955" t="s">
        <v>7</v>
      </c>
      <c r="B13955" t="s">
        <v>33</v>
      </c>
      <c r="C13955" t="str">
        <f t="shared" si="436"/>
        <v>No cumple</v>
      </c>
      <c r="D13955">
        <v>9672</v>
      </c>
      <c r="E13955" t="s">
        <v>13</v>
      </c>
      <c r="F13955">
        <v>3</v>
      </c>
      <c r="G13955">
        <v>6</v>
      </c>
      <c r="H13955">
        <f t="shared" ref="H13955:H14018" si="437">F13955-G13955</f>
        <v>-3</v>
      </c>
    </row>
    <row r="13956" spans="1:8" x14ac:dyDescent="0.2">
      <c r="A13956" t="s">
        <v>7</v>
      </c>
      <c r="B13956" t="s">
        <v>33</v>
      </c>
      <c r="C13956" t="str">
        <f t="shared" si="436"/>
        <v>Cumple</v>
      </c>
      <c r="D13956">
        <v>9720</v>
      </c>
      <c r="E13956" t="s">
        <v>13</v>
      </c>
      <c r="F13956">
        <v>3</v>
      </c>
      <c r="G13956">
        <v>3</v>
      </c>
      <c r="H13956">
        <f t="shared" si="437"/>
        <v>0</v>
      </c>
    </row>
    <row r="13957" spans="1:8" x14ac:dyDescent="0.2">
      <c r="A13957" t="s">
        <v>7</v>
      </c>
      <c r="B13957" t="s">
        <v>33</v>
      </c>
      <c r="C13957" t="str">
        <f t="shared" ref="C13957:C14020" si="438">IF(H13957&gt;=0,"Cumple","No cumple")</f>
        <v>Cumple</v>
      </c>
      <c r="D13957">
        <v>9744</v>
      </c>
      <c r="E13957" t="s">
        <v>13</v>
      </c>
      <c r="F13957">
        <v>3</v>
      </c>
      <c r="G13957">
        <v>3</v>
      </c>
      <c r="H13957">
        <f t="shared" si="437"/>
        <v>0</v>
      </c>
    </row>
    <row r="13958" spans="1:8" x14ac:dyDescent="0.2">
      <c r="A13958" t="s">
        <v>7</v>
      </c>
      <c r="B13958" t="s">
        <v>33</v>
      </c>
      <c r="C13958" t="str">
        <f t="shared" si="438"/>
        <v>Cumple</v>
      </c>
      <c r="D13958">
        <v>9991</v>
      </c>
      <c r="E13958" t="s">
        <v>13</v>
      </c>
      <c r="F13958">
        <v>3</v>
      </c>
      <c r="G13958">
        <v>3</v>
      </c>
      <c r="H13958">
        <f t="shared" si="437"/>
        <v>0</v>
      </c>
    </row>
    <row r="13959" spans="1:8" x14ac:dyDescent="0.2">
      <c r="A13959" t="s">
        <v>7</v>
      </c>
      <c r="B13959" t="s">
        <v>33</v>
      </c>
      <c r="C13959" t="str">
        <f t="shared" si="438"/>
        <v>Cumple</v>
      </c>
      <c r="D13959">
        <v>3984</v>
      </c>
      <c r="E13959" t="s">
        <v>13</v>
      </c>
      <c r="F13959">
        <v>3</v>
      </c>
      <c r="G13959">
        <v>3</v>
      </c>
      <c r="H13959">
        <f t="shared" si="437"/>
        <v>0</v>
      </c>
    </row>
    <row r="13960" spans="1:8" x14ac:dyDescent="0.2">
      <c r="A13960" t="s">
        <v>7</v>
      </c>
      <c r="B13960" t="s">
        <v>33</v>
      </c>
      <c r="C13960" t="str">
        <f t="shared" si="438"/>
        <v>Cumple</v>
      </c>
      <c r="D13960">
        <v>4056</v>
      </c>
      <c r="E13960" t="s">
        <v>13</v>
      </c>
      <c r="F13960">
        <v>3</v>
      </c>
      <c r="G13960">
        <v>3</v>
      </c>
      <c r="H13960">
        <f t="shared" si="437"/>
        <v>0</v>
      </c>
    </row>
    <row r="13961" spans="1:8" x14ac:dyDescent="0.2">
      <c r="A13961" t="s">
        <v>7</v>
      </c>
      <c r="B13961" t="s">
        <v>33</v>
      </c>
      <c r="C13961" t="str">
        <f t="shared" si="438"/>
        <v>Cumple</v>
      </c>
      <c r="D13961">
        <v>4057</v>
      </c>
      <c r="E13961" t="s">
        <v>13</v>
      </c>
      <c r="F13961">
        <v>3</v>
      </c>
      <c r="G13961">
        <v>3</v>
      </c>
      <c r="H13961">
        <f t="shared" si="437"/>
        <v>0</v>
      </c>
    </row>
    <row r="13962" spans="1:8" x14ac:dyDescent="0.2">
      <c r="A13962" t="s">
        <v>7</v>
      </c>
      <c r="B13962" t="s">
        <v>33</v>
      </c>
      <c r="C13962" t="str">
        <f t="shared" si="438"/>
        <v>No cumple</v>
      </c>
      <c r="D13962">
        <v>205</v>
      </c>
      <c r="E13962" t="s">
        <v>13</v>
      </c>
      <c r="F13962">
        <v>2</v>
      </c>
      <c r="G13962">
        <v>3</v>
      </c>
      <c r="H13962">
        <f t="shared" si="437"/>
        <v>-1</v>
      </c>
    </row>
    <row r="13963" spans="1:8" x14ac:dyDescent="0.2">
      <c r="A13963" t="s">
        <v>7</v>
      </c>
      <c r="B13963" t="s">
        <v>33</v>
      </c>
      <c r="C13963" t="str">
        <f t="shared" si="438"/>
        <v>No cumple</v>
      </c>
      <c r="D13963">
        <v>217</v>
      </c>
      <c r="E13963" t="s">
        <v>13</v>
      </c>
      <c r="F13963">
        <v>2</v>
      </c>
      <c r="G13963">
        <v>3</v>
      </c>
      <c r="H13963">
        <f t="shared" si="437"/>
        <v>-1</v>
      </c>
    </row>
    <row r="13964" spans="1:8" x14ac:dyDescent="0.2">
      <c r="A13964" t="s">
        <v>7</v>
      </c>
      <c r="B13964" t="s">
        <v>33</v>
      </c>
      <c r="C13964" t="str">
        <f t="shared" si="438"/>
        <v>No cumple</v>
      </c>
      <c r="D13964">
        <v>224</v>
      </c>
      <c r="E13964" t="s">
        <v>13</v>
      </c>
      <c r="F13964">
        <v>2</v>
      </c>
      <c r="G13964">
        <v>3</v>
      </c>
      <c r="H13964">
        <f t="shared" si="437"/>
        <v>-1</v>
      </c>
    </row>
    <row r="13965" spans="1:8" x14ac:dyDescent="0.2">
      <c r="A13965" t="s">
        <v>7</v>
      </c>
      <c r="B13965" t="s">
        <v>33</v>
      </c>
      <c r="C13965" t="str">
        <f t="shared" si="438"/>
        <v>No cumple</v>
      </c>
      <c r="D13965">
        <v>227</v>
      </c>
      <c r="E13965" t="s">
        <v>13</v>
      </c>
      <c r="F13965">
        <v>2</v>
      </c>
      <c r="G13965">
        <v>3</v>
      </c>
      <c r="H13965">
        <f t="shared" si="437"/>
        <v>-1</v>
      </c>
    </row>
    <row r="13966" spans="1:8" x14ac:dyDescent="0.2">
      <c r="A13966" t="s">
        <v>7</v>
      </c>
      <c r="B13966" t="s">
        <v>33</v>
      </c>
      <c r="C13966" t="str">
        <f t="shared" si="438"/>
        <v>No cumple</v>
      </c>
      <c r="D13966">
        <v>679</v>
      </c>
      <c r="E13966" t="s">
        <v>13</v>
      </c>
      <c r="F13966">
        <v>2</v>
      </c>
      <c r="G13966">
        <v>3</v>
      </c>
      <c r="H13966">
        <f t="shared" si="437"/>
        <v>-1</v>
      </c>
    </row>
    <row r="13967" spans="1:8" x14ac:dyDescent="0.2">
      <c r="A13967" t="s">
        <v>7</v>
      </c>
      <c r="B13967" t="s">
        <v>33</v>
      </c>
      <c r="C13967" t="str">
        <f t="shared" si="438"/>
        <v>No cumple</v>
      </c>
      <c r="D13967">
        <v>717</v>
      </c>
      <c r="E13967" t="s">
        <v>13</v>
      </c>
      <c r="F13967">
        <v>2</v>
      </c>
      <c r="G13967">
        <v>3</v>
      </c>
      <c r="H13967">
        <f t="shared" si="437"/>
        <v>-1</v>
      </c>
    </row>
    <row r="13968" spans="1:8" x14ac:dyDescent="0.2">
      <c r="A13968" t="s">
        <v>7</v>
      </c>
      <c r="B13968" t="s">
        <v>33</v>
      </c>
      <c r="C13968" t="str">
        <f t="shared" si="438"/>
        <v>No cumple</v>
      </c>
      <c r="D13968">
        <v>1445</v>
      </c>
      <c r="E13968" t="s">
        <v>13</v>
      </c>
      <c r="F13968">
        <v>2</v>
      </c>
      <c r="G13968">
        <v>6</v>
      </c>
      <c r="H13968">
        <f t="shared" si="437"/>
        <v>-4</v>
      </c>
    </row>
    <row r="13969" spans="1:8" x14ac:dyDescent="0.2">
      <c r="A13969" t="s">
        <v>7</v>
      </c>
      <c r="B13969" t="s">
        <v>33</v>
      </c>
      <c r="C13969" t="str">
        <f t="shared" si="438"/>
        <v>No cumple</v>
      </c>
      <c r="D13969">
        <v>1472</v>
      </c>
      <c r="E13969" t="s">
        <v>13</v>
      </c>
      <c r="F13969">
        <v>2</v>
      </c>
      <c r="G13969">
        <v>3</v>
      </c>
      <c r="H13969">
        <f t="shared" si="437"/>
        <v>-1</v>
      </c>
    </row>
    <row r="13970" spans="1:8" x14ac:dyDescent="0.2">
      <c r="A13970" t="s">
        <v>7</v>
      </c>
      <c r="B13970" t="s">
        <v>33</v>
      </c>
      <c r="C13970" t="str">
        <f t="shared" si="438"/>
        <v>No cumple</v>
      </c>
      <c r="D13970">
        <v>2857</v>
      </c>
      <c r="E13970" t="s">
        <v>13</v>
      </c>
      <c r="F13970">
        <v>2</v>
      </c>
      <c r="G13970">
        <v>3</v>
      </c>
      <c r="H13970">
        <f t="shared" si="437"/>
        <v>-1</v>
      </c>
    </row>
    <row r="13971" spans="1:8" x14ac:dyDescent="0.2">
      <c r="A13971" t="s">
        <v>7</v>
      </c>
      <c r="B13971" t="s">
        <v>33</v>
      </c>
      <c r="C13971" t="str">
        <f t="shared" si="438"/>
        <v>No cumple</v>
      </c>
      <c r="D13971">
        <v>3424</v>
      </c>
      <c r="E13971" t="s">
        <v>13</v>
      </c>
      <c r="F13971">
        <v>2</v>
      </c>
      <c r="G13971">
        <v>3</v>
      </c>
      <c r="H13971">
        <f t="shared" si="437"/>
        <v>-1</v>
      </c>
    </row>
    <row r="13972" spans="1:8" x14ac:dyDescent="0.2">
      <c r="A13972" t="s">
        <v>7</v>
      </c>
      <c r="B13972" t="s">
        <v>33</v>
      </c>
      <c r="C13972" t="str">
        <f t="shared" si="438"/>
        <v>No cumple</v>
      </c>
      <c r="D13972">
        <v>3565</v>
      </c>
      <c r="E13972" t="s">
        <v>13</v>
      </c>
      <c r="F13972">
        <v>2</v>
      </c>
      <c r="G13972">
        <v>3</v>
      </c>
      <c r="H13972">
        <f t="shared" si="437"/>
        <v>-1</v>
      </c>
    </row>
    <row r="13973" spans="1:8" x14ac:dyDescent="0.2">
      <c r="A13973" t="s">
        <v>7</v>
      </c>
      <c r="B13973" t="s">
        <v>33</v>
      </c>
      <c r="C13973" t="str">
        <f t="shared" si="438"/>
        <v>No cumple</v>
      </c>
      <c r="D13973">
        <v>3677</v>
      </c>
      <c r="E13973" t="s">
        <v>13</v>
      </c>
      <c r="F13973">
        <v>2</v>
      </c>
      <c r="G13973">
        <v>3</v>
      </c>
      <c r="H13973">
        <f t="shared" si="437"/>
        <v>-1</v>
      </c>
    </row>
    <row r="13974" spans="1:8" x14ac:dyDescent="0.2">
      <c r="A13974" t="s">
        <v>7</v>
      </c>
      <c r="B13974" t="s">
        <v>33</v>
      </c>
      <c r="C13974" t="str">
        <f t="shared" si="438"/>
        <v>No cumple</v>
      </c>
      <c r="D13974">
        <v>3733</v>
      </c>
      <c r="E13974" t="s">
        <v>13</v>
      </c>
      <c r="F13974">
        <v>2</v>
      </c>
      <c r="G13974">
        <v>3</v>
      </c>
      <c r="H13974">
        <f t="shared" si="437"/>
        <v>-1</v>
      </c>
    </row>
    <row r="13975" spans="1:8" x14ac:dyDescent="0.2">
      <c r="A13975" t="s">
        <v>7</v>
      </c>
      <c r="B13975" t="s">
        <v>33</v>
      </c>
      <c r="C13975" t="str">
        <f t="shared" si="438"/>
        <v>No cumple</v>
      </c>
      <c r="D13975">
        <v>3866</v>
      </c>
      <c r="E13975" t="s">
        <v>13</v>
      </c>
      <c r="F13975">
        <v>2</v>
      </c>
      <c r="G13975">
        <v>3</v>
      </c>
      <c r="H13975">
        <f t="shared" si="437"/>
        <v>-1</v>
      </c>
    </row>
    <row r="13976" spans="1:8" x14ac:dyDescent="0.2">
      <c r="A13976" t="s">
        <v>7</v>
      </c>
      <c r="B13976" t="s">
        <v>33</v>
      </c>
      <c r="C13976" t="str">
        <f t="shared" si="438"/>
        <v>No cumple</v>
      </c>
      <c r="D13976">
        <v>3887</v>
      </c>
      <c r="E13976" t="s">
        <v>13</v>
      </c>
      <c r="F13976">
        <v>2</v>
      </c>
      <c r="G13976">
        <v>3</v>
      </c>
      <c r="H13976">
        <f t="shared" si="437"/>
        <v>-1</v>
      </c>
    </row>
    <row r="13977" spans="1:8" x14ac:dyDescent="0.2">
      <c r="A13977" t="s">
        <v>7</v>
      </c>
      <c r="B13977" t="s">
        <v>33</v>
      </c>
      <c r="C13977" t="str">
        <f t="shared" si="438"/>
        <v>No cumple</v>
      </c>
      <c r="D13977">
        <v>3913</v>
      </c>
      <c r="E13977" t="s">
        <v>13</v>
      </c>
      <c r="F13977">
        <v>2</v>
      </c>
      <c r="G13977">
        <v>3</v>
      </c>
      <c r="H13977">
        <f t="shared" si="437"/>
        <v>-1</v>
      </c>
    </row>
    <row r="13978" spans="1:8" x14ac:dyDescent="0.2">
      <c r="A13978" t="s">
        <v>7</v>
      </c>
      <c r="B13978" t="s">
        <v>33</v>
      </c>
      <c r="C13978" t="str">
        <f t="shared" si="438"/>
        <v>No cumple</v>
      </c>
      <c r="D13978">
        <v>9333</v>
      </c>
      <c r="E13978" t="s">
        <v>13</v>
      </c>
      <c r="F13978">
        <v>2</v>
      </c>
      <c r="G13978">
        <v>3</v>
      </c>
      <c r="H13978">
        <f t="shared" si="437"/>
        <v>-1</v>
      </c>
    </row>
    <row r="13979" spans="1:8" x14ac:dyDescent="0.2">
      <c r="A13979" t="s">
        <v>7</v>
      </c>
      <c r="B13979" t="s">
        <v>33</v>
      </c>
      <c r="C13979" t="str">
        <f t="shared" si="438"/>
        <v>No cumple</v>
      </c>
      <c r="D13979">
        <v>9658</v>
      </c>
      <c r="E13979" t="s">
        <v>13</v>
      </c>
      <c r="F13979">
        <v>2</v>
      </c>
      <c r="G13979">
        <v>3</v>
      </c>
      <c r="H13979">
        <f t="shared" si="437"/>
        <v>-1</v>
      </c>
    </row>
    <row r="13980" spans="1:8" x14ac:dyDescent="0.2">
      <c r="A13980" t="s">
        <v>7</v>
      </c>
      <c r="B13980" t="s">
        <v>33</v>
      </c>
      <c r="C13980" t="str">
        <f t="shared" si="438"/>
        <v>No cumple</v>
      </c>
      <c r="D13980">
        <v>9665</v>
      </c>
      <c r="E13980" t="s">
        <v>13</v>
      </c>
      <c r="F13980">
        <v>2</v>
      </c>
      <c r="G13980">
        <v>3</v>
      </c>
      <c r="H13980">
        <f t="shared" si="437"/>
        <v>-1</v>
      </c>
    </row>
    <row r="13981" spans="1:8" x14ac:dyDescent="0.2">
      <c r="A13981" t="s">
        <v>7</v>
      </c>
      <c r="B13981" t="s">
        <v>33</v>
      </c>
      <c r="C13981" t="str">
        <f t="shared" si="438"/>
        <v>No cumple</v>
      </c>
      <c r="D13981">
        <v>9298</v>
      </c>
      <c r="E13981" t="s">
        <v>13</v>
      </c>
      <c r="F13981">
        <v>2</v>
      </c>
      <c r="G13981">
        <v>3</v>
      </c>
      <c r="H13981">
        <f t="shared" si="437"/>
        <v>-1</v>
      </c>
    </row>
    <row r="13982" spans="1:8" x14ac:dyDescent="0.2">
      <c r="A13982" t="s">
        <v>7</v>
      </c>
      <c r="B13982" t="s">
        <v>33</v>
      </c>
      <c r="C13982" t="str">
        <f t="shared" si="438"/>
        <v>No cumple</v>
      </c>
      <c r="D13982">
        <v>4033</v>
      </c>
      <c r="E13982" t="s">
        <v>13</v>
      </c>
      <c r="F13982">
        <v>2</v>
      </c>
      <c r="G13982">
        <v>3</v>
      </c>
      <c r="H13982">
        <f t="shared" si="437"/>
        <v>-1</v>
      </c>
    </row>
    <row r="13983" spans="1:8" x14ac:dyDescent="0.2">
      <c r="A13983" t="s">
        <v>7</v>
      </c>
      <c r="B13983" t="s">
        <v>33</v>
      </c>
      <c r="C13983" t="str">
        <f t="shared" si="438"/>
        <v>No cumple</v>
      </c>
      <c r="D13983">
        <v>4043</v>
      </c>
      <c r="E13983" t="s">
        <v>13</v>
      </c>
      <c r="F13983">
        <v>2</v>
      </c>
      <c r="G13983">
        <v>3</v>
      </c>
      <c r="H13983">
        <f t="shared" si="437"/>
        <v>-1</v>
      </c>
    </row>
    <row r="13984" spans="1:8" x14ac:dyDescent="0.2">
      <c r="A13984" t="s">
        <v>7</v>
      </c>
      <c r="B13984" t="s">
        <v>33</v>
      </c>
      <c r="C13984" t="str">
        <f t="shared" si="438"/>
        <v>No cumple</v>
      </c>
      <c r="D13984">
        <v>4044</v>
      </c>
      <c r="E13984" t="s">
        <v>13</v>
      </c>
      <c r="F13984">
        <v>2</v>
      </c>
      <c r="G13984">
        <v>3</v>
      </c>
      <c r="H13984">
        <f t="shared" si="437"/>
        <v>-1</v>
      </c>
    </row>
    <row r="13985" spans="1:8" x14ac:dyDescent="0.2">
      <c r="A13985" t="s">
        <v>7</v>
      </c>
      <c r="B13985" t="s">
        <v>33</v>
      </c>
      <c r="C13985" t="str">
        <f t="shared" si="438"/>
        <v>No cumple</v>
      </c>
      <c r="D13985">
        <v>2060</v>
      </c>
      <c r="E13985" t="s">
        <v>13</v>
      </c>
      <c r="F13985">
        <v>2</v>
      </c>
      <c r="G13985">
        <v>6</v>
      </c>
      <c r="H13985">
        <f t="shared" si="437"/>
        <v>-4</v>
      </c>
    </row>
    <row r="13986" spans="1:8" x14ac:dyDescent="0.2">
      <c r="A13986" t="s">
        <v>7</v>
      </c>
      <c r="B13986" t="s">
        <v>33</v>
      </c>
      <c r="C13986" t="str">
        <f t="shared" si="438"/>
        <v>No cumple</v>
      </c>
      <c r="D13986">
        <v>2875</v>
      </c>
      <c r="E13986" t="s">
        <v>13</v>
      </c>
      <c r="F13986">
        <v>2</v>
      </c>
      <c r="G13986">
        <v>3</v>
      </c>
      <c r="H13986">
        <f t="shared" si="437"/>
        <v>-1</v>
      </c>
    </row>
    <row r="13987" spans="1:8" x14ac:dyDescent="0.2">
      <c r="A13987" t="s">
        <v>7</v>
      </c>
      <c r="B13987" t="s">
        <v>33</v>
      </c>
      <c r="C13987" t="str">
        <f t="shared" si="438"/>
        <v>No cumple</v>
      </c>
      <c r="D13987">
        <v>226</v>
      </c>
      <c r="E13987" t="s">
        <v>13</v>
      </c>
      <c r="F13987">
        <v>1</v>
      </c>
      <c r="G13987">
        <v>3</v>
      </c>
      <c r="H13987">
        <f t="shared" si="437"/>
        <v>-2</v>
      </c>
    </row>
    <row r="13988" spans="1:8" x14ac:dyDescent="0.2">
      <c r="A13988" t="s">
        <v>7</v>
      </c>
      <c r="B13988" t="s">
        <v>33</v>
      </c>
      <c r="C13988" t="str">
        <f t="shared" si="438"/>
        <v>No cumple</v>
      </c>
      <c r="D13988">
        <v>243</v>
      </c>
      <c r="E13988" t="s">
        <v>13</v>
      </c>
      <c r="F13988">
        <v>1</v>
      </c>
      <c r="G13988">
        <v>3</v>
      </c>
      <c r="H13988">
        <f t="shared" si="437"/>
        <v>-2</v>
      </c>
    </row>
    <row r="13989" spans="1:8" x14ac:dyDescent="0.2">
      <c r="A13989" t="s">
        <v>7</v>
      </c>
      <c r="B13989" t="s">
        <v>33</v>
      </c>
      <c r="C13989" t="str">
        <f t="shared" si="438"/>
        <v>No cumple</v>
      </c>
      <c r="D13989">
        <v>251</v>
      </c>
      <c r="E13989" t="s">
        <v>13</v>
      </c>
      <c r="F13989">
        <v>1</v>
      </c>
      <c r="G13989">
        <v>3</v>
      </c>
      <c r="H13989">
        <f t="shared" si="437"/>
        <v>-2</v>
      </c>
    </row>
    <row r="13990" spans="1:8" x14ac:dyDescent="0.2">
      <c r="A13990" t="s">
        <v>7</v>
      </c>
      <c r="B13990" t="s">
        <v>33</v>
      </c>
      <c r="C13990" t="str">
        <f t="shared" si="438"/>
        <v>No cumple</v>
      </c>
      <c r="D13990">
        <v>821</v>
      </c>
      <c r="E13990" t="s">
        <v>13</v>
      </c>
      <c r="F13990">
        <v>1</v>
      </c>
      <c r="G13990" s="9">
        <v>3</v>
      </c>
      <c r="H13990">
        <f t="shared" si="437"/>
        <v>-2</v>
      </c>
    </row>
    <row r="13991" spans="1:8" x14ac:dyDescent="0.2">
      <c r="A13991" t="s">
        <v>7</v>
      </c>
      <c r="B13991" t="s">
        <v>33</v>
      </c>
      <c r="C13991" t="str">
        <f t="shared" si="438"/>
        <v>No cumple</v>
      </c>
      <c r="D13991">
        <v>847</v>
      </c>
      <c r="E13991" t="s">
        <v>13</v>
      </c>
      <c r="F13991">
        <v>1</v>
      </c>
      <c r="G13991">
        <v>3</v>
      </c>
      <c r="H13991">
        <f t="shared" si="437"/>
        <v>-2</v>
      </c>
    </row>
    <row r="13992" spans="1:8" x14ac:dyDescent="0.2">
      <c r="A13992" t="s">
        <v>7</v>
      </c>
      <c r="B13992" t="s">
        <v>33</v>
      </c>
      <c r="C13992" t="str">
        <f t="shared" si="438"/>
        <v>No cumple</v>
      </c>
      <c r="D13992">
        <v>859</v>
      </c>
      <c r="E13992" t="s">
        <v>13</v>
      </c>
      <c r="F13992">
        <v>1</v>
      </c>
      <c r="G13992">
        <v>3</v>
      </c>
      <c r="H13992">
        <f t="shared" si="437"/>
        <v>-2</v>
      </c>
    </row>
    <row r="13993" spans="1:8" x14ac:dyDescent="0.2">
      <c r="A13993" t="s">
        <v>7</v>
      </c>
      <c r="B13993" t="s">
        <v>33</v>
      </c>
      <c r="C13993" t="str">
        <f t="shared" si="438"/>
        <v>No cumple</v>
      </c>
      <c r="D13993">
        <v>903</v>
      </c>
      <c r="E13993" t="s">
        <v>13</v>
      </c>
      <c r="F13993">
        <v>1</v>
      </c>
      <c r="G13993">
        <v>3</v>
      </c>
      <c r="H13993">
        <f t="shared" si="437"/>
        <v>-2</v>
      </c>
    </row>
    <row r="13994" spans="1:8" x14ac:dyDescent="0.2">
      <c r="A13994" t="s">
        <v>7</v>
      </c>
      <c r="B13994" t="s">
        <v>33</v>
      </c>
      <c r="C13994" t="str">
        <f t="shared" si="438"/>
        <v>No cumple</v>
      </c>
      <c r="D13994">
        <v>926</v>
      </c>
      <c r="E13994" t="s">
        <v>13</v>
      </c>
      <c r="F13994">
        <v>1</v>
      </c>
      <c r="G13994">
        <v>3</v>
      </c>
      <c r="H13994">
        <f t="shared" si="437"/>
        <v>-2</v>
      </c>
    </row>
    <row r="13995" spans="1:8" x14ac:dyDescent="0.2">
      <c r="A13995" t="s">
        <v>7</v>
      </c>
      <c r="B13995" t="s">
        <v>33</v>
      </c>
      <c r="C13995" t="str">
        <f t="shared" si="438"/>
        <v>No cumple</v>
      </c>
      <c r="D13995">
        <v>951</v>
      </c>
      <c r="E13995" t="s">
        <v>13</v>
      </c>
      <c r="F13995">
        <v>1</v>
      </c>
      <c r="G13995">
        <v>6</v>
      </c>
      <c r="H13995">
        <f t="shared" si="437"/>
        <v>-5</v>
      </c>
    </row>
    <row r="13996" spans="1:8" x14ac:dyDescent="0.2">
      <c r="A13996" t="s">
        <v>7</v>
      </c>
      <c r="B13996" t="s">
        <v>33</v>
      </c>
      <c r="C13996" t="str">
        <f t="shared" si="438"/>
        <v>No cumple</v>
      </c>
      <c r="D13996">
        <v>1420</v>
      </c>
      <c r="E13996" t="s">
        <v>13</v>
      </c>
      <c r="F13996">
        <v>1</v>
      </c>
      <c r="G13996">
        <v>3</v>
      </c>
      <c r="H13996">
        <f t="shared" si="437"/>
        <v>-2</v>
      </c>
    </row>
    <row r="13997" spans="1:8" x14ac:dyDescent="0.2">
      <c r="A13997" t="s">
        <v>7</v>
      </c>
      <c r="B13997" t="s">
        <v>33</v>
      </c>
      <c r="C13997" t="str">
        <f t="shared" si="438"/>
        <v>No cumple</v>
      </c>
      <c r="D13997">
        <v>1698</v>
      </c>
      <c r="E13997" t="s">
        <v>13</v>
      </c>
      <c r="F13997">
        <v>1</v>
      </c>
      <c r="G13997">
        <v>3</v>
      </c>
      <c r="H13997">
        <f t="shared" si="437"/>
        <v>-2</v>
      </c>
    </row>
    <row r="13998" spans="1:8" x14ac:dyDescent="0.2">
      <c r="A13998" t="s">
        <v>7</v>
      </c>
      <c r="B13998" t="s">
        <v>33</v>
      </c>
      <c r="C13998" t="str">
        <f t="shared" si="438"/>
        <v>No cumple</v>
      </c>
      <c r="D13998">
        <v>1699</v>
      </c>
      <c r="E13998" t="s">
        <v>13</v>
      </c>
      <c r="F13998">
        <v>1</v>
      </c>
      <c r="G13998">
        <v>3</v>
      </c>
      <c r="H13998">
        <f t="shared" si="437"/>
        <v>-2</v>
      </c>
    </row>
    <row r="13999" spans="1:8" x14ac:dyDescent="0.2">
      <c r="A13999" t="s">
        <v>7</v>
      </c>
      <c r="B13999" t="s">
        <v>33</v>
      </c>
      <c r="C13999" t="str">
        <f t="shared" si="438"/>
        <v>No cumple</v>
      </c>
      <c r="D13999">
        <v>3735</v>
      </c>
      <c r="E13999" t="s">
        <v>13</v>
      </c>
      <c r="F13999">
        <v>1</v>
      </c>
      <c r="G13999">
        <v>3</v>
      </c>
      <c r="H13999">
        <f t="shared" si="437"/>
        <v>-2</v>
      </c>
    </row>
    <row r="14000" spans="1:8" x14ac:dyDescent="0.2">
      <c r="A14000" t="s">
        <v>7</v>
      </c>
      <c r="B14000" t="s">
        <v>33</v>
      </c>
      <c r="C14000" t="str">
        <f t="shared" si="438"/>
        <v>No cumple</v>
      </c>
      <c r="D14000">
        <v>3742</v>
      </c>
      <c r="E14000" t="s">
        <v>13</v>
      </c>
      <c r="F14000">
        <v>1</v>
      </c>
      <c r="G14000">
        <v>3</v>
      </c>
      <c r="H14000">
        <f t="shared" si="437"/>
        <v>-2</v>
      </c>
    </row>
    <row r="14001" spans="1:8" x14ac:dyDescent="0.2">
      <c r="A14001" t="s">
        <v>7</v>
      </c>
      <c r="B14001" t="s">
        <v>33</v>
      </c>
      <c r="C14001" t="str">
        <f t="shared" si="438"/>
        <v>No cumple</v>
      </c>
      <c r="D14001">
        <v>3790</v>
      </c>
      <c r="E14001" t="s">
        <v>13</v>
      </c>
      <c r="F14001">
        <v>1</v>
      </c>
      <c r="G14001">
        <v>3</v>
      </c>
      <c r="H14001">
        <f t="shared" si="437"/>
        <v>-2</v>
      </c>
    </row>
    <row r="14002" spans="1:8" x14ac:dyDescent="0.2">
      <c r="A14002" t="s">
        <v>7</v>
      </c>
      <c r="B14002" t="s">
        <v>33</v>
      </c>
      <c r="C14002" t="str">
        <f t="shared" si="438"/>
        <v>No cumple</v>
      </c>
      <c r="D14002">
        <v>3833</v>
      </c>
      <c r="E14002" t="s">
        <v>13</v>
      </c>
      <c r="F14002">
        <v>1</v>
      </c>
      <c r="G14002">
        <v>3</v>
      </c>
      <c r="H14002">
        <f t="shared" si="437"/>
        <v>-2</v>
      </c>
    </row>
    <row r="14003" spans="1:8" x14ac:dyDescent="0.2">
      <c r="A14003" t="s">
        <v>7</v>
      </c>
      <c r="B14003" t="s">
        <v>33</v>
      </c>
      <c r="C14003" t="str">
        <f t="shared" si="438"/>
        <v>No cumple</v>
      </c>
      <c r="D14003">
        <v>9382</v>
      </c>
      <c r="E14003" t="s">
        <v>13</v>
      </c>
      <c r="F14003">
        <v>1</v>
      </c>
      <c r="G14003">
        <v>3</v>
      </c>
      <c r="H14003">
        <f t="shared" si="437"/>
        <v>-2</v>
      </c>
    </row>
    <row r="14004" spans="1:8" x14ac:dyDescent="0.2">
      <c r="A14004" t="s">
        <v>7</v>
      </c>
      <c r="B14004" t="s">
        <v>33</v>
      </c>
      <c r="C14004" t="str">
        <f t="shared" si="438"/>
        <v>No cumple</v>
      </c>
      <c r="D14004">
        <v>9656</v>
      </c>
      <c r="E14004" t="s">
        <v>13</v>
      </c>
      <c r="F14004">
        <v>1</v>
      </c>
      <c r="G14004">
        <v>3</v>
      </c>
      <c r="H14004">
        <f t="shared" si="437"/>
        <v>-2</v>
      </c>
    </row>
    <row r="14005" spans="1:8" x14ac:dyDescent="0.2">
      <c r="A14005" t="s">
        <v>7</v>
      </c>
      <c r="B14005" t="s">
        <v>33</v>
      </c>
      <c r="C14005" t="str">
        <f t="shared" si="438"/>
        <v>No cumple</v>
      </c>
      <c r="D14005">
        <v>9921</v>
      </c>
      <c r="E14005" t="s">
        <v>13</v>
      </c>
      <c r="F14005">
        <v>1</v>
      </c>
      <c r="G14005">
        <v>3</v>
      </c>
      <c r="H14005">
        <f t="shared" si="437"/>
        <v>-2</v>
      </c>
    </row>
    <row r="14006" spans="1:8" x14ac:dyDescent="0.2">
      <c r="A14006" t="s">
        <v>7</v>
      </c>
      <c r="B14006" t="s">
        <v>33</v>
      </c>
      <c r="C14006" t="str">
        <f t="shared" si="438"/>
        <v>No cumple</v>
      </c>
      <c r="D14006">
        <v>9381</v>
      </c>
      <c r="E14006" t="s">
        <v>13</v>
      </c>
      <c r="F14006">
        <v>1</v>
      </c>
      <c r="G14006">
        <v>3</v>
      </c>
      <c r="H14006">
        <f t="shared" si="437"/>
        <v>-2</v>
      </c>
    </row>
    <row r="14007" spans="1:8" x14ac:dyDescent="0.2">
      <c r="A14007" t="s">
        <v>7</v>
      </c>
      <c r="B14007" t="s">
        <v>33</v>
      </c>
      <c r="C14007" t="str">
        <f t="shared" si="438"/>
        <v>No cumple</v>
      </c>
      <c r="D14007">
        <v>747</v>
      </c>
      <c r="E14007" t="s">
        <v>13</v>
      </c>
      <c r="F14007">
        <v>1</v>
      </c>
      <c r="G14007">
        <v>3</v>
      </c>
      <c r="H14007">
        <f t="shared" si="437"/>
        <v>-2</v>
      </c>
    </row>
    <row r="14008" spans="1:8" x14ac:dyDescent="0.2">
      <c r="A14008" t="s">
        <v>7</v>
      </c>
      <c r="B14008" t="s">
        <v>33</v>
      </c>
      <c r="C14008" t="str">
        <f t="shared" si="438"/>
        <v>No cumple</v>
      </c>
      <c r="D14008">
        <v>230</v>
      </c>
      <c r="E14008" t="s">
        <v>13</v>
      </c>
      <c r="F14008">
        <v>0</v>
      </c>
      <c r="G14008">
        <v>3</v>
      </c>
      <c r="H14008">
        <f t="shared" si="437"/>
        <v>-3</v>
      </c>
    </row>
    <row r="14009" spans="1:8" x14ac:dyDescent="0.2">
      <c r="A14009" t="s">
        <v>7</v>
      </c>
      <c r="B14009" t="s">
        <v>33</v>
      </c>
      <c r="C14009" t="str">
        <f t="shared" si="438"/>
        <v>No cumple</v>
      </c>
      <c r="D14009">
        <v>239</v>
      </c>
      <c r="E14009" t="s">
        <v>13</v>
      </c>
      <c r="F14009">
        <v>0</v>
      </c>
      <c r="G14009">
        <v>3</v>
      </c>
      <c r="H14009">
        <f t="shared" si="437"/>
        <v>-3</v>
      </c>
    </row>
    <row r="14010" spans="1:8" x14ac:dyDescent="0.2">
      <c r="A14010" t="s">
        <v>7</v>
      </c>
      <c r="B14010" t="s">
        <v>33</v>
      </c>
      <c r="C14010" t="str">
        <f t="shared" si="438"/>
        <v>No cumple</v>
      </c>
      <c r="D14010">
        <v>245</v>
      </c>
      <c r="E14010" t="s">
        <v>13</v>
      </c>
      <c r="F14010">
        <v>0</v>
      </c>
      <c r="G14010">
        <v>3</v>
      </c>
      <c r="H14010">
        <f t="shared" si="437"/>
        <v>-3</v>
      </c>
    </row>
    <row r="14011" spans="1:8" x14ac:dyDescent="0.2">
      <c r="A14011" t="s">
        <v>7</v>
      </c>
      <c r="B14011" t="s">
        <v>33</v>
      </c>
      <c r="C14011" t="str">
        <f t="shared" si="438"/>
        <v>No cumple</v>
      </c>
      <c r="D14011">
        <v>248</v>
      </c>
      <c r="E14011" t="s">
        <v>13</v>
      </c>
      <c r="F14011">
        <v>0</v>
      </c>
      <c r="G14011">
        <v>3</v>
      </c>
      <c r="H14011">
        <f t="shared" si="437"/>
        <v>-3</v>
      </c>
    </row>
    <row r="14012" spans="1:8" x14ac:dyDescent="0.2">
      <c r="A14012" t="s">
        <v>7</v>
      </c>
      <c r="B14012" t="s">
        <v>33</v>
      </c>
      <c r="C14012" t="str">
        <f t="shared" si="438"/>
        <v>No cumple</v>
      </c>
      <c r="D14012">
        <v>836</v>
      </c>
      <c r="E14012" t="s">
        <v>13</v>
      </c>
      <c r="F14012">
        <v>0</v>
      </c>
      <c r="G14012">
        <v>3</v>
      </c>
      <c r="H14012">
        <f t="shared" si="437"/>
        <v>-3</v>
      </c>
    </row>
    <row r="14013" spans="1:8" x14ac:dyDescent="0.2">
      <c r="A14013" t="s">
        <v>7</v>
      </c>
      <c r="B14013" t="s">
        <v>33</v>
      </c>
      <c r="C14013" t="str">
        <f t="shared" si="438"/>
        <v>No cumple</v>
      </c>
      <c r="D14013">
        <v>858</v>
      </c>
      <c r="E14013" t="s">
        <v>13</v>
      </c>
      <c r="F14013">
        <v>0</v>
      </c>
      <c r="G14013">
        <v>3</v>
      </c>
      <c r="H14013">
        <f t="shared" si="437"/>
        <v>-3</v>
      </c>
    </row>
    <row r="14014" spans="1:8" x14ac:dyDescent="0.2">
      <c r="A14014" t="s">
        <v>7</v>
      </c>
      <c r="B14014" t="s">
        <v>33</v>
      </c>
      <c r="C14014" t="str">
        <f t="shared" si="438"/>
        <v>No cumple</v>
      </c>
      <c r="D14014">
        <v>865</v>
      </c>
      <c r="E14014" t="s">
        <v>13</v>
      </c>
      <c r="F14014">
        <v>0</v>
      </c>
      <c r="G14014">
        <v>3</v>
      </c>
      <c r="H14014">
        <f t="shared" si="437"/>
        <v>-3</v>
      </c>
    </row>
    <row r="14015" spans="1:8" x14ac:dyDescent="0.2">
      <c r="A14015" t="s">
        <v>7</v>
      </c>
      <c r="B14015" t="s">
        <v>33</v>
      </c>
      <c r="C14015" t="str">
        <f t="shared" si="438"/>
        <v>No cumple</v>
      </c>
      <c r="D14015">
        <v>902</v>
      </c>
      <c r="E14015" t="s">
        <v>13</v>
      </c>
      <c r="F14015">
        <v>0</v>
      </c>
      <c r="G14015">
        <v>3</v>
      </c>
      <c r="H14015">
        <f t="shared" si="437"/>
        <v>-3</v>
      </c>
    </row>
    <row r="14016" spans="1:8" x14ac:dyDescent="0.2">
      <c r="A14016" t="s">
        <v>7</v>
      </c>
      <c r="B14016" t="s">
        <v>33</v>
      </c>
      <c r="C14016" t="str">
        <f t="shared" si="438"/>
        <v>No cumple</v>
      </c>
      <c r="D14016">
        <v>1297</v>
      </c>
      <c r="E14016" t="s">
        <v>13</v>
      </c>
      <c r="F14016">
        <v>0</v>
      </c>
      <c r="G14016">
        <v>3</v>
      </c>
      <c r="H14016">
        <f t="shared" si="437"/>
        <v>-3</v>
      </c>
    </row>
    <row r="14017" spans="1:8" x14ac:dyDescent="0.2">
      <c r="A14017" t="s">
        <v>7</v>
      </c>
      <c r="B14017" t="s">
        <v>33</v>
      </c>
      <c r="C14017" t="str">
        <f t="shared" si="438"/>
        <v>No cumple</v>
      </c>
      <c r="D14017">
        <v>1423</v>
      </c>
      <c r="E14017" t="s">
        <v>13</v>
      </c>
      <c r="F14017">
        <v>0</v>
      </c>
      <c r="G14017">
        <v>3</v>
      </c>
      <c r="H14017">
        <f t="shared" si="437"/>
        <v>-3</v>
      </c>
    </row>
    <row r="14018" spans="1:8" x14ac:dyDescent="0.2">
      <c r="A14018" t="s">
        <v>7</v>
      </c>
      <c r="B14018" t="s">
        <v>33</v>
      </c>
      <c r="C14018" t="str">
        <f t="shared" si="438"/>
        <v>No cumple</v>
      </c>
      <c r="D14018">
        <v>1437</v>
      </c>
      <c r="E14018" t="s">
        <v>13</v>
      </c>
      <c r="F14018">
        <v>0</v>
      </c>
      <c r="G14018">
        <v>3</v>
      </c>
      <c r="H14018">
        <f t="shared" si="437"/>
        <v>-3</v>
      </c>
    </row>
    <row r="14019" spans="1:8" x14ac:dyDescent="0.2">
      <c r="A14019" t="s">
        <v>7</v>
      </c>
      <c r="B14019" t="s">
        <v>33</v>
      </c>
      <c r="C14019" t="str">
        <f t="shared" si="438"/>
        <v>No cumple</v>
      </c>
      <c r="D14019">
        <v>1441</v>
      </c>
      <c r="E14019" t="s">
        <v>13</v>
      </c>
      <c r="F14019">
        <v>0</v>
      </c>
      <c r="G14019">
        <v>3</v>
      </c>
      <c r="H14019">
        <f t="shared" ref="H14019:H14082" si="439">F14019-G14019</f>
        <v>-3</v>
      </c>
    </row>
    <row r="14020" spans="1:8" x14ac:dyDescent="0.2">
      <c r="A14020" t="s">
        <v>7</v>
      </c>
      <c r="B14020" t="s">
        <v>33</v>
      </c>
      <c r="C14020" t="str">
        <f t="shared" si="438"/>
        <v>No cumple</v>
      </c>
      <c r="D14020">
        <v>1453</v>
      </c>
      <c r="E14020" t="s">
        <v>13</v>
      </c>
      <c r="F14020">
        <v>0</v>
      </c>
      <c r="G14020">
        <v>3</v>
      </c>
      <c r="H14020">
        <f t="shared" si="439"/>
        <v>-3</v>
      </c>
    </row>
    <row r="14021" spans="1:8" x14ac:dyDescent="0.2">
      <c r="A14021" t="s">
        <v>7</v>
      </c>
      <c r="B14021" t="s">
        <v>33</v>
      </c>
      <c r="C14021" t="str">
        <f t="shared" ref="C14021:C14084" si="440">IF(H14021&gt;=0,"Cumple","No cumple")</f>
        <v>No cumple</v>
      </c>
      <c r="D14021">
        <v>1470</v>
      </c>
      <c r="E14021" t="s">
        <v>13</v>
      </c>
      <c r="F14021">
        <v>0</v>
      </c>
      <c r="G14021">
        <v>3</v>
      </c>
      <c r="H14021">
        <f t="shared" si="439"/>
        <v>-3</v>
      </c>
    </row>
    <row r="14022" spans="1:8" x14ac:dyDescent="0.2">
      <c r="A14022" t="s">
        <v>7</v>
      </c>
      <c r="B14022" t="s">
        <v>33</v>
      </c>
      <c r="C14022" t="str">
        <f t="shared" si="440"/>
        <v>No cumple</v>
      </c>
      <c r="D14022">
        <v>1541</v>
      </c>
      <c r="E14022" t="s">
        <v>13</v>
      </c>
      <c r="F14022">
        <v>0</v>
      </c>
      <c r="G14022">
        <v>6</v>
      </c>
      <c r="H14022">
        <f t="shared" si="439"/>
        <v>-6</v>
      </c>
    </row>
    <row r="14023" spans="1:8" x14ac:dyDescent="0.2">
      <c r="A14023" t="s">
        <v>7</v>
      </c>
      <c r="B14023" t="s">
        <v>33</v>
      </c>
      <c r="C14023" t="str">
        <f t="shared" si="440"/>
        <v>No cumple</v>
      </c>
      <c r="D14023">
        <v>1615</v>
      </c>
      <c r="E14023" t="s">
        <v>13</v>
      </c>
      <c r="F14023">
        <v>0</v>
      </c>
      <c r="G14023">
        <v>3</v>
      </c>
      <c r="H14023">
        <f t="shared" si="439"/>
        <v>-3</v>
      </c>
    </row>
    <row r="14024" spans="1:8" x14ac:dyDescent="0.2">
      <c r="A14024" t="s">
        <v>7</v>
      </c>
      <c r="B14024" t="s">
        <v>33</v>
      </c>
      <c r="C14024" t="str">
        <f t="shared" si="440"/>
        <v>No cumple</v>
      </c>
      <c r="D14024">
        <v>1792</v>
      </c>
      <c r="E14024" t="s">
        <v>13</v>
      </c>
      <c r="F14024">
        <v>0</v>
      </c>
      <c r="G14024">
        <v>3</v>
      </c>
      <c r="H14024">
        <f t="shared" si="439"/>
        <v>-3</v>
      </c>
    </row>
    <row r="14025" spans="1:8" x14ac:dyDescent="0.2">
      <c r="A14025" t="s">
        <v>7</v>
      </c>
      <c r="B14025" t="s">
        <v>33</v>
      </c>
      <c r="C14025" t="str">
        <f t="shared" si="440"/>
        <v>No cumple</v>
      </c>
      <c r="D14025">
        <v>1828</v>
      </c>
      <c r="E14025" t="s">
        <v>13</v>
      </c>
      <c r="F14025">
        <v>0</v>
      </c>
      <c r="G14025">
        <v>3</v>
      </c>
      <c r="H14025">
        <f t="shared" si="439"/>
        <v>-3</v>
      </c>
    </row>
    <row r="14026" spans="1:8" x14ac:dyDescent="0.2">
      <c r="A14026" t="s">
        <v>7</v>
      </c>
      <c r="B14026" t="s">
        <v>33</v>
      </c>
      <c r="C14026" t="str">
        <f t="shared" si="440"/>
        <v>No cumple</v>
      </c>
      <c r="D14026">
        <v>2549</v>
      </c>
      <c r="E14026" t="s">
        <v>13</v>
      </c>
      <c r="F14026">
        <v>0</v>
      </c>
      <c r="G14026">
        <v>3</v>
      </c>
      <c r="H14026">
        <f t="shared" si="439"/>
        <v>-3</v>
      </c>
    </row>
    <row r="14027" spans="1:8" x14ac:dyDescent="0.2">
      <c r="A14027" t="s">
        <v>7</v>
      </c>
      <c r="B14027" t="s">
        <v>33</v>
      </c>
      <c r="C14027" t="str">
        <f t="shared" si="440"/>
        <v>No cumple</v>
      </c>
      <c r="D14027">
        <v>2563</v>
      </c>
      <c r="E14027" t="s">
        <v>13</v>
      </c>
      <c r="F14027">
        <v>0</v>
      </c>
      <c r="G14027">
        <v>3</v>
      </c>
      <c r="H14027">
        <f t="shared" si="439"/>
        <v>-3</v>
      </c>
    </row>
    <row r="14028" spans="1:8" x14ac:dyDescent="0.2">
      <c r="A14028" t="s">
        <v>7</v>
      </c>
      <c r="B14028" t="s">
        <v>33</v>
      </c>
      <c r="C14028" t="str">
        <f t="shared" si="440"/>
        <v>No cumple</v>
      </c>
      <c r="D14028">
        <v>2703</v>
      </c>
      <c r="E14028" t="s">
        <v>13</v>
      </c>
      <c r="F14028">
        <v>0</v>
      </c>
      <c r="G14028">
        <v>3</v>
      </c>
      <c r="H14028">
        <f t="shared" si="439"/>
        <v>-3</v>
      </c>
    </row>
    <row r="14029" spans="1:8" x14ac:dyDescent="0.2">
      <c r="A14029" t="s">
        <v>7</v>
      </c>
      <c r="B14029" t="s">
        <v>33</v>
      </c>
      <c r="C14029" t="str">
        <f t="shared" si="440"/>
        <v>No cumple</v>
      </c>
      <c r="D14029">
        <v>3543</v>
      </c>
      <c r="E14029" t="s">
        <v>13</v>
      </c>
      <c r="F14029">
        <v>0</v>
      </c>
      <c r="G14029">
        <v>3</v>
      </c>
      <c r="H14029">
        <f t="shared" si="439"/>
        <v>-3</v>
      </c>
    </row>
    <row r="14030" spans="1:8" x14ac:dyDescent="0.2">
      <c r="A14030" t="s">
        <v>7</v>
      </c>
      <c r="B14030" t="s">
        <v>33</v>
      </c>
      <c r="C14030" t="str">
        <f t="shared" si="440"/>
        <v>No cumple</v>
      </c>
      <c r="D14030">
        <v>3545</v>
      </c>
      <c r="E14030" t="s">
        <v>13</v>
      </c>
      <c r="F14030">
        <v>0</v>
      </c>
      <c r="G14030">
        <v>3</v>
      </c>
      <c r="H14030">
        <f t="shared" si="439"/>
        <v>-3</v>
      </c>
    </row>
    <row r="14031" spans="1:8" x14ac:dyDescent="0.2">
      <c r="A14031" t="s">
        <v>7</v>
      </c>
      <c r="B14031" t="s">
        <v>33</v>
      </c>
      <c r="C14031" t="str">
        <f t="shared" si="440"/>
        <v>No cumple</v>
      </c>
      <c r="D14031">
        <v>3562</v>
      </c>
      <c r="E14031" t="s">
        <v>13</v>
      </c>
      <c r="F14031">
        <v>0</v>
      </c>
      <c r="G14031">
        <v>3</v>
      </c>
      <c r="H14031">
        <f t="shared" si="439"/>
        <v>-3</v>
      </c>
    </row>
    <row r="14032" spans="1:8" x14ac:dyDescent="0.2">
      <c r="A14032" t="s">
        <v>7</v>
      </c>
      <c r="B14032" t="s">
        <v>33</v>
      </c>
      <c r="C14032" t="str">
        <f t="shared" si="440"/>
        <v>No cumple</v>
      </c>
      <c r="D14032">
        <v>3594</v>
      </c>
      <c r="E14032" t="s">
        <v>13</v>
      </c>
      <c r="F14032">
        <v>0</v>
      </c>
      <c r="G14032">
        <v>3</v>
      </c>
      <c r="H14032">
        <f t="shared" si="439"/>
        <v>-3</v>
      </c>
    </row>
    <row r="14033" spans="1:8" x14ac:dyDescent="0.2">
      <c r="A14033" t="s">
        <v>7</v>
      </c>
      <c r="B14033" t="s">
        <v>33</v>
      </c>
      <c r="C14033" t="str">
        <f t="shared" si="440"/>
        <v>No cumple</v>
      </c>
      <c r="D14033">
        <v>3666</v>
      </c>
      <c r="E14033" t="s">
        <v>13</v>
      </c>
      <c r="F14033">
        <v>0</v>
      </c>
      <c r="G14033">
        <v>3</v>
      </c>
      <c r="H14033">
        <f t="shared" si="439"/>
        <v>-3</v>
      </c>
    </row>
    <row r="14034" spans="1:8" x14ac:dyDescent="0.2">
      <c r="A14034" t="s">
        <v>7</v>
      </c>
      <c r="B14034" t="s">
        <v>33</v>
      </c>
      <c r="C14034" t="str">
        <f t="shared" si="440"/>
        <v>No cumple</v>
      </c>
      <c r="D14034">
        <v>3731</v>
      </c>
      <c r="E14034" t="s">
        <v>13</v>
      </c>
      <c r="F14034">
        <v>0</v>
      </c>
      <c r="G14034">
        <v>3</v>
      </c>
      <c r="H14034">
        <f t="shared" si="439"/>
        <v>-3</v>
      </c>
    </row>
    <row r="14035" spans="1:8" x14ac:dyDescent="0.2">
      <c r="A14035" t="s">
        <v>7</v>
      </c>
      <c r="B14035" t="s">
        <v>33</v>
      </c>
      <c r="C14035" t="str">
        <f t="shared" si="440"/>
        <v>No cumple</v>
      </c>
      <c r="D14035">
        <v>3819</v>
      </c>
      <c r="E14035" t="s">
        <v>13</v>
      </c>
      <c r="F14035">
        <v>0</v>
      </c>
      <c r="G14035">
        <v>3</v>
      </c>
      <c r="H14035">
        <f t="shared" si="439"/>
        <v>-3</v>
      </c>
    </row>
    <row r="14036" spans="1:8" x14ac:dyDescent="0.2">
      <c r="A14036" t="s">
        <v>7</v>
      </c>
      <c r="B14036" t="s">
        <v>33</v>
      </c>
      <c r="C14036" t="str">
        <f t="shared" si="440"/>
        <v>No cumple</v>
      </c>
      <c r="D14036">
        <v>3840</v>
      </c>
      <c r="E14036" t="s">
        <v>13</v>
      </c>
      <c r="F14036">
        <v>0</v>
      </c>
      <c r="G14036">
        <v>3</v>
      </c>
      <c r="H14036">
        <f t="shared" si="439"/>
        <v>-3</v>
      </c>
    </row>
    <row r="14037" spans="1:8" x14ac:dyDescent="0.2">
      <c r="A14037" t="s">
        <v>7</v>
      </c>
      <c r="B14037" t="s">
        <v>33</v>
      </c>
      <c r="C14037" t="str">
        <f t="shared" si="440"/>
        <v>No cumple</v>
      </c>
      <c r="D14037">
        <v>3893</v>
      </c>
      <c r="E14037" t="s">
        <v>13</v>
      </c>
      <c r="F14037">
        <v>0</v>
      </c>
      <c r="G14037">
        <v>3</v>
      </c>
      <c r="H14037">
        <f t="shared" si="439"/>
        <v>-3</v>
      </c>
    </row>
    <row r="14038" spans="1:8" x14ac:dyDescent="0.2">
      <c r="A14038" t="s">
        <v>7</v>
      </c>
      <c r="B14038" t="s">
        <v>33</v>
      </c>
      <c r="C14038" t="str">
        <f t="shared" si="440"/>
        <v>No cumple</v>
      </c>
      <c r="D14038">
        <v>7028</v>
      </c>
      <c r="E14038" t="s">
        <v>13</v>
      </c>
      <c r="F14038">
        <v>0</v>
      </c>
      <c r="G14038">
        <v>3</v>
      </c>
      <c r="H14038">
        <f t="shared" si="439"/>
        <v>-3</v>
      </c>
    </row>
    <row r="14039" spans="1:8" x14ac:dyDescent="0.2">
      <c r="A14039" t="s">
        <v>7</v>
      </c>
      <c r="B14039" t="s">
        <v>33</v>
      </c>
      <c r="C14039" t="str">
        <f t="shared" si="440"/>
        <v>No cumple</v>
      </c>
      <c r="D14039">
        <v>9004</v>
      </c>
      <c r="E14039" t="s">
        <v>13</v>
      </c>
      <c r="F14039">
        <v>0</v>
      </c>
      <c r="G14039">
        <v>3</v>
      </c>
      <c r="H14039">
        <f t="shared" si="439"/>
        <v>-3</v>
      </c>
    </row>
    <row r="14040" spans="1:8" x14ac:dyDescent="0.2">
      <c r="A14040" t="s">
        <v>7</v>
      </c>
      <c r="B14040" t="s">
        <v>33</v>
      </c>
      <c r="C14040" t="str">
        <f t="shared" si="440"/>
        <v>No cumple</v>
      </c>
      <c r="D14040">
        <v>9684</v>
      </c>
      <c r="E14040" t="s">
        <v>13</v>
      </c>
      <c r="F14040">
        <v>0</v>
      </c>
      <c r="G14040">
        <v>3</v>
      </c>
      <c r="H14040">
        <f t="shared" si="439"/>
        <v>-3</v>
      </c>
    </row>
    <row r="14041" spans="1:8" x14ac:dyDescent="0.2">
      <c r="A14041" t="s">
        <v>7</v>
      </c>
      <c r="B14041" t="s">
        <v>33</v>
      </c>
      <c r="C14041" t="str">
        <f t="shared" si="440"/>
        <v>No cumple</v>
      </c>
      <c r="D14041">
        <v>9767</v>
      </c>
      <c r="E14041" t="s">
        <v>13</v>
      </c>
      <c r="F14041">
        <v>0</v>
      </c>
      <c r="G14041">
        <v>3</v>
      </c>
      <c r="H14041">
        <f t="shared" si="439"/>
        <v>-3</v>
      </c>
    </row>
    <row r="14042" spans="1:8" x14ac:dyDescent="0.2">
      <c r="A14042" t="s">
        <v>7</v>
      </c>
      <c r="B14042" t="s">
        <v>33</v>
      </c>
      <c r="C14042" t="str">
        <f t="shared" si="440"/>
        <v>No cumple</v>
      </c>
      <c r="D14042">
        <v>9837</v>
      </c>
      <c r="E14042" t="s">
        <v>13</v>
      </c>
      <c r="F14042">
        <v>0</v>
      </c>
      <c r="G14042">
        <v>3</v>
      </c>
      <c r="H14042">
        <f t="shared" si="439"/>
        <v>-3</v>
      </c>
    </row>
    <row r="14043" spans="1:8" x14ac:dyDescent="0.2">
      <c r="A14043" t="s">
        <v>7</v>
      </c>
      <c r="B14043" t="s">
        <v>33</v>
      </c>
      <c r="C14043" t="str">
        <f t="shared" si="440"/>
        <v>No cumple</v>
      </c>
      <c r="D14043">
        <v>9935</v>
      </c>
      <c r="E14043" t="s">
        <v>13</v>
      </c>
      <c r="F14043">
        <v>0</v>
      </c>
      <c r="G14043">
        <v>6</v>
      </c>
      <c r="H14043">
        <f t="shared" si="439"/>
        <v>-6</v>
      </c>
    </row>
    <row r="14044" spans="1:8" x14ac:dyDescent="0.2">
      <c r="A14044" t="s">
        <v>7</v>
      </c>
      <c r="B14044" t="s">
        <v>33</v>
      </c>
      <c r="C14044" t="str">
        <f t="shared" si="440"/>
        <v>No cumple</v>
      </c>
      <c r="D14044">
        <v>9821</v>
      </c>
      <c r="E14044" t="s">
        <v>13</v>
      </c>
      <c r="F14044">
        <v>0</v>
      </c>
      <c r="G14044">
        <v>3</v>
      </c>
      <c r="H14044">
        <f t="shared" si="439"/>
        <v>-3</v>
      </c>
    </row>
    <row r="14045" spans="1:8" x14ac:dyDescent="0.2">
      <c r="A14045" t="s">
        <v>7</v>
      </c>
      <c r="B14045" t="s">
        <v>33</v>
      </c>
      <c r="C14045" t="str">
        <f t="shared" si="440"/>
        <v>No cumple</v>
      </c>
      <c r="D14045">
        <v>319</v>
      </c>
      <c r="E14045" t="s">
        <v>13</v>
      </c>
      <c r="F14045">
        <v>0</v>
      </c>
      <c r="G14045">
        <v>3</v>
      </c>
      <c r="H14045">
        <f t="shared" si="439"/>
        <v>-3</v>
      </c>
    </row>
    <row r="14046" spans="1:8" x14ac:dyDescent="0.2">
      <c r="A14046" t="s">
        <v>7</v>
      </c>
      <c r="B14046" t="s">
        <v>33</v>
      </c>
      <c r="C14046" t="str">
        <f t="shared" si="440"/>
        <v>No cumple</v>
      </c>
      <c r="D14046">
        <v>4034</v>
      </c>
      <c r="E14046" t="s">
        <v>13</v>
      </c>
      <c r="F14046">
        <v>0</v>
      </c>
      <c r="G14046">
        <v>3</v>
      </c>
      <c r="H14046">
        <f t="shared" si="439"/>
        <v>-3</v>
      </c>
    </row>
    <row r="14047" spans="1:8" x14ac:dyDescent="0.2">
      <c r="A14047" t="s">
        <v>7</v>
      </c>
      <c r="B14047" t="s">
        <v>33</v>
      </c>
      <c r="C14047" t="str">
        <f t="shared" si="440"/>
        <v>Cumple</v>
      </c>
      <c r="D14047">
        <v>2726</v>
      </c>
      <c r="E14047" t="s">
        <v>15</v>
      </c>
      <c r="F14047">
        <v>37</v>
      </c>
      <c r="G14047">
        <v>6</v>
      </c>
      <c r="H14047">
        <f t="shared" si="439"/>
        <v>31</v>
      </c>
    </row>
    <row r="14048" spans="1:8" x14ac:dyDescent="0.2">
      <c r="A14048" t="s">
        <v>7</v>
      </c>
      <c r="B14048" t="s">
        <v>33</v>
      </c>
      <c r="C14048" t="str">
        <f t="shared" si="440"/>
        <v>Cumple</v>
      </c>
      <c r="D14048">
        <v>7566</v>
      </c>
      <c r="E14048" t="s">
        <v>15</v>
      </c>
      <c r="F14048">
        <v>36</v>
      </c>
      <c r="G14048">
        <v>6</v>
      </c>
      <c r="H14048">
        <f t="shared" si="439"/>
        <v>30</v>
      </c>
    </row>
    <row r="14049" spans="1:8" x14ac:dyDescent="0.2">
      <c r="A14049" t="s">
        <v>7</v>
      </c>
      <c r="B14049" t="s">
        <v>33</v>
      </c>
      <c r="C14049" t="str">
        <f t="shared" si="440"/>
        <v>Cumple</v>
      </c>
      <c r="D14049">
        <v>376</v>
      </c>
      <c r="E14049" t="s">
        <v>15</v>
      </c>
      <c r="F14049">
        <v>35</v>
      </c>
      <c r="G14049">
        <v>6</v>
      </c>
      <c r="H14049">
        <f t="shared" si="439"/>
        <v>29</v>
      </c>
    </row>
    <row r="14050" spans="1:8" x14ac:dyDescent="0.2">
      <c r="A14050" t="s">
        <v>7</v>
      </c>
      <c r="B14050" t="s">
        <v>33</v>
      </c>
      <c r="C14050" t="str">
        <f t="shared" si="440"/>
        <v>Cumple</v>
      </c>
      <c r="D14050">
        <v>3959</v>
      </c>
      <c r="E14050" t="s">
        <v>15</v>
      </c>
      <c r="F14050">
        <v>29</v>
      </c>
      <c r="G14050">
        <v>6</v>
      </c>
      <c r="H14050">
        <f t="shared" si="439"/>
        <v>23</v>
      </c>
    </row>
    <row r="14051" spans="1:8" x14ac:dyDescent="0.2">
      <c r="A14051" t="s">
        <v>7</v>
      </c>
      <c r="B14051" t="s">
        <v>33</v>
      </c>
      <c r="C14051" t="str">
        <f t="shared" si="440"/>
        <v>Cumple</v>
      </c>
      <c r="D14051">
        <v>9110</v>
      </c>
      <c r="E14051" t="s">
        <v>15</v>
      </c>
      <c r="F14051">
        <v>21</v>
      </c>
      <c r="G14051">
        <v>6</v>
      </c>
      <c r="H14051">
        <f t="shared" si="439"/>
        <v>15</v>
      </c>
    </row>
    <row r="14052" spans="1:8" x14ac:dyDescent="0.2">
      <c r="A14052" t="s">
        <v>7</v>
      </c>
      <c r="B14052" t="s">
        <v>33</v>
      </c>
      <c r="C14052" t="str">
        <f t="shared" si="440"/>
        <v>Cumple</v>
      </c>
      <c r="D14052">
        <v>7635</v>
      </c>
      <c r="E14052" t="s">
        <v>15</v>
      </c>
      <c r="F14052">
        <v>17</v>
      </c>
      <c r="G14052">
        <v>6</v>
      </c>
      <c r="H14052">
        <f t="shared" si="439"/>
        <v>11</v>
      </c>
    </row>
    <row r="14053" spans="1:8" x14ac:dyDescent="0.2">
      <c r="A14053" t="s">
        <v>7</v>
      </c>
      <c r="B14053" t="s">
        <v>33</v>
      </c>
      <c r="C14053" t="str">
        <f t="shared" si="440"/>
        <v>Cumple</v>
      </c>
      <c r="D14053">
        <v>7628</v>
      </c>
      <c r="E14053" t="s">
        <v>15</v>
      </c>
      <c r="F14053">
        <v>15</v>
      </c>
      <c r="G14053">
        <v>6</v>
      </c>
      <c r="H14053">
        <f t="shared" si="439"/>
        <v>9</v>
      </c>
    </row>
    <row r="14054" spans="1:8" x14ac:dyDescent="0.2">
      <c r="A14054" t="s">
        <v>7</v>
      </c>
      <c r="B14054" t="s">
        <v>33</v>
      </c>
      <c r="C14054" t="str">
        <f t="shared" si="440"/>
        <v>Cumple</v>
      </c>
      <c r="D14054">
        <v>7581</v>
      </c>
      <c r="E14054" t="s">
        <v>15</v>
      </c>
      <c r="F14054">
        <v>13</v>
      </c>
      <c r="G14054">
        <v>6</v>
      </c>
      <c r="H14054">
        <f t="shared" si="439"/>
        <v>7</v>
      </c>
    </row>
    <row r="14055" spans="1:8" x14ac:dyDescent="0.2">
      <c r="A14055" t="s">
        <v>7</v>
      </c>
      <c r="B14055" t="s">
        <v>33</v>
      </c>
      <c r="C14055" t="str">
        <f t="shared" si="440"/>
        <v>Cumple</v>
      </c>
      <c r="D14055">
        <v>3789</v>
      </c>
      <c r="E14055" t="s">
        <v>15</v>
      </c>
      <c r="F14055">
        <v>13</v>
      </c>
      <c r="G14055">
        <v>6</v>
      </c>
      <c r="H14055">
        <f t="shared" si="439"/>
        <v>7</v>
      </c>
    </row>
    <row r="14056" spans="1:8" x14ac:dyDescent="0.2">
      <c r="A14056" t="s">
        <v>7</v>
      </c>
      <c r="B14056" t="s">
        <v>33</v>
      </c>
      <c r="C14056" t="str">
        <f t="shared" si="440"/>
        <v>Cumple</v>
      </c>
      <c r="D14056">
        <v>9063</v>
      </c>
      <c r="E14056" t="s">
        <v>16</v>
      </c>
      <c r="F14056">
        <v>12</v>
      </c>
      <c r="G14056">
        <v>6</v>
      </c>
      <c r="H14056">
        <f t="shared" si="439"/>
        <v>6</v>
      </c>
    </row>
    <row r="14057" spans="1:8" x14ac:dyDescent="0.2">
      <c r="A14057" t="s">
        <v>7</v>
      </c>
      <c r="B14057" t="s">
        <v>33</v>
      </c>
      <c r="C14057" t="str">
        <f t="shared" si="440"/>
        <v>Cumple</v>
      </c>
      <c r="D14057">
        <v>2210</v>
      </c>
      <c r="E14057" t="s">
        <v>15</v>
      </c>
      <c r="F14057">
        <v>11</v>
      </c>
      <c r="G14057">
        <v>6</v>
      </c>
      <c r="H14057">
        <f t="shared" si="439"/>
        <v>5</v>
      </c>
    </row>
    <row r="14058" spans="1:8" x14ac:dyDescent="0.2">
      <c r="A14058" t="s">
        <v>7</v>
      </c>
      <c r="B14058" t="s">
        <v>33</v>
      </c>
      <c r="C14058" t="str">
        <f t="shared" si="440"/>
        <v>Cumple</v>
      </c>
      <c r="D14058">
        <v>7055</v>
      </c>
      <c r="E14058" t="s">
        <v>15</v>
      </c>
      <c r="F14058">
        <v>11</v>
      </c>
      <c r="G14058">
        <v>6</v>
      </c>
      <c r="H14058">
        <f t="shared" si="439"/>
        <v>5</v>
      </c>
    </row>
    <row r="14059" spans="1:8" x14ac:dyDescent="0.2">
      <c r="A14059" t="s">
        <v>7</v>
      </c>
      <c r="B14059" t="s">
        <v>33</v>
      </c>
      <c r="C14059" t="str">
        <f t="shared" si="440"/>
        <v>Cumple</v>
      </c>
      <c r="D14059">
        <v>3975</v>
      </c>
      <c r="E14059" t="s">
        <v>15</v>
      </c>
      <c r="F14059">
        <v>11</v>
      </c>
      <c r="G14059">
        <v>6</v>
      </c>
      <c r="H14059">
        <f t="shared" si="439"/>
        <v>5</v>
      </c>
    </row>
    <row r="14060" spans="1:8" x14ac:dyDescent="0.2">
      <c r="A14060" t="s">
        <v>7</v>
      </c>
      <c r="B14060" t="s">
        <v>33</v>
      </c>
      <c r="C14060" t="str">
        <f t="shared" si="440"/>
        <v>Cumple</v>
      </c>
      <c r="D14060">
        <v>9789</v>
      </c>
      <c r="E14060" t="s">
        <v>16</v>
      </c>
      <c r="F14060">
        <v>10</v>
      </c>
      <c r="G14060">
        <v>6</v>
      </c>
      <c r="H14060">
        <f t="shared" si="439"/>
        <v>4</v>
      </c>
    </row>
    <row r="14061" spans="1:8" x14ac:dyDescent="0.2">
      <c r="A14061" t="s">
        <v>7</v>
      </c>
      <c r="B14061" t="s">
        <v>33</v>
      </c>
      <c r="C14061" t="str">
        <f t="shared" si="440"/>
        <v>Cumple</v>
      </c>
      <c r="D14061">
        <v>7438</v>
      </c>
      <c r="E14061" t="s">
        <v>15</v>
      </c>
      <c r="F14061">
        <v>10</v>
      </c>
      <c r="G14061">
        <v>6</v>
      </c>
      <c r="H14061">
        <f t="shared" si="439"/>
        <v>4</v>
      </c>
    </row>
    <row r="14062" spans="1:8" x14ac:dyDescent="0.2">
      <c r="A14062" t="s">
        <v>7</v>
      </c>
      <c r="B14062" t="s">
        <v>33</v>
      </c>
      <c r="C14062" t="str">
        <f t="shared" si="440"/>
        <v>Cumple</v>
      </c>
      <c r="D14062">
        <v>7090</v>
      </c>
      <c r="E14062" t="s">
        <v>15</v>
      </c>
      <c r="F14062">
        <v>10</v>
      </c>
      <c r="G14062">
        <v>6</v>
      </c>
      <c r="H14062">
        <f t="shared" si="439"/>
        <v>4</v>
      </c>
    </row>
    <row r="14063" spans="1:8" x14ac:dyDescent="0.2">
      <c r="A14063" t="s">
        <v>7</v>
      </c>
      <c r="B14063" t="s">
        <v>33</v>
      </c>
      <c r="C14063" t="str">
        <f t="shared" si="440"/>
        <v>Cumple</v>
      </c>
      <c r="D14063">
        <v>7109</v>
      </c>
      <c r="E14063" t="s">
        <v>15</v>
      </c>
      <c r="F14063">
        <v>8</v>
      </c>
      <c r="G14063">
        <v>6</v>
      </c>
      <c r="H14063">
        <f t="shared" si="439"/>
        <v>2</v>
      </c>
    </row>
    <row r="14064" spans="1:8" x14ac:dyDescent="0.2">
      <c r="A14064" t="s">
        <v>7</v>
      </c>
      <c r="B14064" t="s">
        <v>33</v>
      </c>
      <c r="C14064" t="str">
        <f t="shared" si="440"/>
        <v>Cumple</v>
      </c>
      <c r="D14064">
        <v>9281</v>
      </c>
      <c r="E14064" t="s">
        <v>15</v>
      </c>
      <c r="F14064">
        <v>8</v>
      </c>
      <c r="G14064">
        <v>6</v>
      </c>
      <c r="H14064">
        <f t="shared" si="439"/>
        <v>2</v>
      </c>
    </row>
    <row r="14065" spans="1:8" x14ac:dyDescent="0.2">
      <c r="A14065" t="s">
        <v>7</v>
      </c>
      <c r="B14065" t="s">
        <v>33</v>
      </c>
      <c r="C14065" t="str">
        <f t="shared" si="440"/>
        <v>Cumple</v>
      </c>
      <c r="D14065">
        <v>9802</v>
      </c>
      <c r="E14065" t="s">
        <v>15</v>
      </c>
      <c r="F14065">
        <v>7</v>
      </c>
      <c r="G14065">
        <v>6</v>
      </c>
      <c r="H14065">
        <f t="shared" si="439"/>
        <v>1</v>
      </c>
    </row>
    <row r="14066" spans="1:8" x14ac:dyDescent="0.2">
      <c r="A14066" t="s">
        <v>7</v>
      </c>
      <c r="B14066" t="s">
        <v>33</v>
      </c>
      <c r="C14066" t="str">
        <f t="shared" si="440"/>
        <v>Cumple</v>
      </c>
      <c r="D14066">
        <v>7059</v>
      </c>
      <c r="E14066" t="s">
        <v>15</v>
      </c>
      <c r="F14066">
        <v>6</v>
      </c>
      <c r="G14066">
        <v>6</v>
      </c>
      <c r="H14066">
        <f t="shared" si="439"/>
        <v>0</v>
      </c>
    </row>
    <row r="14067" spans="1:8" x14ac:dyDescent="0.2">
      <c r="A14067" t="s">
        <v>7</v>
      </c>
      <c r="B14067" t="s">
        <v>33</v>
      </c>
      <c r="C14067" t="str">
        <f t="shared" si="440"/>
        <v>Cumple</v>
      </c>
      <c r="D14067">
        <v>7044</v>
      </c>
      <c r="E14067" t="s">
        <v>15</v>
      </c>
      <c r="F14067">
        <v>6</v>
      </c>
      <c r="G14067">
        <v>6</v>
      </c>
      <c r="H14067">
        <f t="shared" si="439"/>
        <v>0</v>
      </c>
    </row>
    <row r="14068" spans="1:8" x14ac:dyDescent="0.2">
      <c r="A14068" t="s">
        <v>7</v>
      </c>
      <c r="B14068" t="s">
        <v>33</v>
      </c>
      <c r="C14068" t="str">
        <f t="shared" si="440"/>
        <v>Cumple</v>
      </c>
      <c r="D14068">
        <v>7060</v>
      </c>
      <c r="E14068" t="s">
        <v>15</v>
      </c>
      <c r="F14068">
        <v>6</v>
      </c>
      <c r="G14068">
        <v>6</v>
      </c>
      <c r="H14068">
        <f t="shared" si="439"/>
        <v>0</v>
      </c>
    </row>
    <row r="14069" spans="1:8" x14ac:dyDescent="0.2">
      <c r="A14069" t="s">
        <v>7</v>
      </c>
      <c r="B14069" t="s">
        <v>33</v>
      </c>
      <c r="C14069" t="str">
        <f t="shared" si="440"/>
        <v>Cumple</v>
      </c>
      <c r="D14069">
        <v>7097</v>
      </c>
      <c r="E14069" t="s">
        <v>15</v>
      </c>
      <c r="F14069">
        <v>6</v>
      </c>
      <c r="G14069">
        <v>6</v>
      </c>
      <c r="H14069">
        <f t="shared" si="439"/>
        <v>0</v>
      </c>
    </row>
    <row r="14070" spans="1:8" x14ac:dyDescent="0.2">
      <c r="A14070" t="s">
        <v>7</v>
      </c>
      <c r="B14070" t="s">
        <v>33</v>
      </c>
      <c r="C14070" t="str">
        <f t="shared" si="440"/>
        <v>Cumple</v>
      </c>
      <c r="D14070">
        <v>9296</v>
      </c>
      <c r="E14070" t="s">
        <v>16</v>
      </c>
      <c r="F14070">
        <v>6</v>
      </c>
      <c r="G14070">
        <v>6</v>
      </c>
      <c r="H14070">
        <f t="shared" si="439"/>
        <v>0</v>
      </c>
    </row>
    <row r="14071" spans="1:8" x14ac:dyDescent="0.2">
      <c r="A14071" t="s">
        <v>7</v>
      </c>
      <c r="B14071" t="s">
        <v>33</v>
      </c>
      <c r="C14071" t="str">
        <f t="shared" si="440"/>
        <v>No cumple</v>
      </c>
      <c r="D14071">
        <v>7630</v>
      </c>
      <c r="E14071" t="s">
        <v>15</v>
      </c>
      <c r="F14071">
        <v>5</v>
      </c>
      <c r="G14071">
        <v>6</v>
      </c>
      <c r="H14071">
        <f t="shared" si="439"/>
        <v>-1</v>
      </c>
    </row>
    <row r="14072" spans="1:8" x14ac:dyDescent="0.2">
      <c r="A14072" t="s">
        <v>7</v>
      </c>
      <c r="B14072" t="s">
        <v>33</v>
      </c>
      <c r="C14072" t="str">
        <f t="shared" si="440"/>
        <v>No cumple</v>
      </c>
      <c r="D14072">
        <v>7106</v>
      </c>
      <c r="E14072" t="s">
        <v>15</v>
      </c>
      <c r="F14072">
        <v>5</v>
      </c>
      <c r="G14072">
        <v>6</v>
      </c>
      <c r="H14072">
        <f t="shared" si="439"/>
        <v>-1</v>
      </c>
    </row>
    <row r="14073" spans="1:8" x14ac:dyDescent="0.2">
      <c r="A14073" t="s">
        <v>7</v>
      </c>
      <c r="B14073" t="s">
        <v>33</v>
      </c>
      <c r="C14073" t="str">
        <f t="shared" si="440"/>
        <v>No cumple</v>
      </c>
      <c r="D14073">
        <v>9120</v>
      </c>
      <c r="E14073" t="s">
        <v>15</v>
      </c>
      <c r="F14073">
        <v>4</v>
      </c>
      <c r="G14073">
        <v>6</v>
      </c>
      <c r="H14073">
        <f t="shared" si="439"/>
        <v>-2</v>
      </c>
    </row>
    <row r="14074" spans="1:8" x14ac:dyDescent="0.2">
      <c r="A14074" t="s">
        <v>7</v>
      </c>
      <c r="B14074" t="s">
        <v>33</v>
      </c>
      <c r="C14074" t="str">
        <f t="shared" si="440"/>
        <v>No cumple</v>
      </c>
      <c r="D14074">
        <v>7051</v>
      </c>
      <c r="E14074" t="s">
        <v>15</v>
      </c>
      <c r="F14074">
        <v>4</v>
      </c>
      <c r="G14074">
        <v>6</v>
      </c>
      <c r="H14074">
        <f t="shared" si="439"/>
        <v>-2</v>
      </c>
    </row>
    <row r="14075" spans="1:8" x14ac:dyDescent="0.2">
      <c r="A14075" t="s">
        <v>7</v>
      </c>
      <c r="B14075" t="s">
        <v>33</v>
      </c>
      <c r="C14075" t="str">
        <f t="shared" si="440"/>
        <v>No cumple</v>
      </c>
      <c r="D14075">
        <v>9411</v>
      </c>
      <c r="E14075" t="s">
        <v>15</v>
      </c>
      <c r="F14075">
        <v>4</v>
      </c>
      <c r="G14075">
        <v>6</v>
      </c>
      <c r="H14075">
        <f t="shared" si="439"/>
        <v>-2</v>
      </c>
    </row>
    <row r="14076" spans="1:8" x14ac:dyDescent="0.2">
      <c r="A14076" t="s">
        <v>7</v>
      </c>
      <c r="B14076" t="s">
        <v>33</v>
      </c>
      <c r="C14076" t="str">
        <f t="shared" si="440"/>
        <v>No cumple</v>
      </c>
      <c r="D14076">
        <v>7014</v>
      </c>
      <c r="E14076" t="s">
        <v>15</v>
      </c>
      <c r="F14076">
        <v>3</v>
      </c>
      <c r="G14076">
        <v>6</v>
      </c>
      <c r="H14076">
        <f t="shared" si="439"/>
        <v>-3</v>
      </c>
    </row>
    <row r="14077" spans="1:8" x14ac:dyDescent="0.2">
      <c r="A14077" t="s">
        <v>7</v>
      </c>
      <c r="B14077" t="s">
        <v>33</v>
      </c>
      <c r="C14077" t="str">
        <f t="shared" si="440"/>
        <v>No cumple</v>
      </c>
      <c r="D14077">
        <v>7066</v>
      </c>
      <c r="E14077" t="s">
        <v>15</v>
      </c>
      <c r="F14077">
        <v>3</v>
      </c>
      <c r="G14077">
        <v>6</v>
      </c>
      <c r="H14077">
        <f t="shared" si="439"/>
        <v>-3</v>
      </c>
    </row>
    <row r="14078" spans="1:8" x14ac:dyDescent="0.2">
      <c r="A14078" t="s">
        <v>7</v>
      </c>
      <c r="B14078" t="s">
        <v>33</v>
      </c>
      <c r="C14078" t="str">
        <f t="shared" si="440"/>
        <v>No cumple</v>
      </c>
      <c r="D14078">
        <v>446</v>
      </c>
      <c r="E14078" t="s">
        <v>15</v>
      </c>
      <c r="F14078">
        <v>3</v>
      </c>
      <c r="G14078">
        <v>6</v>
      </c>
      <c r="H14078">
        <f t="shared" si="439"/>
        <v>-3</v>
      </c>
    </row>
    <row r="14079" spans="1:8" x14ac:dyDescent="0.2">
      <c r="A14079" t="s">
        <v>7</v>
      </c>
      <c r="B14079" t="s">
        <v>33</v>
      </c>
      <c r="C14079" t="str">
        <f t="shared" si="440"/>
        <v>No cumple</v>
      </c>
      <c r="D14079">
        <v>2736</v>
      </c>
      <c r="E14079" t="s">
        <v>15</v>
      </c>
      <c r="F14079">
        <v>3</v>
      </c>
      <c r="G14079">
        <v>6</v>
      </c>
      <c r="H14079">
        <f t="shared" si="439"/>
        <v>-3</v>
      </c>
    </row>
    <row r="14080" spans="1:8" x14ac:dyDescent="0.2">
      <c r="A14080" t="s">
        <v>7</v>
      </c>
      <c r="B14080" t="s">
        <v>33</v>
      </c>
      <c r="C14080" t="str">
        <f t="shared" si="440"/>
        <v>No cumple</v>
      </c>
      <c r="D14080">
        <v>7632</v>
      </c>
      <c r="E14080" t="s">
        <v>15</v>
      </c>
      <c r="F14080">
        <v>3</v>
      </c>
      <c r="G14080">
        <v>6</v>
      </c>
      <c r="H14080">
        <f t="shared" si="439"/>
        <v>-3</v>
      </c>
    </row>
    <row r="14081" spans="1:8" x14ac:dyDescent="0.2">
      <c r="A14081" t="s">
        <v>7</v>
      </c>
      <c r="B14081" t="s">
        <v>33</v>
      </c>
      <c r="C14081" t="str">
        <f t="shared" si="440"/>
        <v>No cumple</v>
      </c>
      <c r="D14081">
        <v>9334</v>
      </c>
      <c r="E14081" t="s">
        <v>15</v>
      </c>
      <c r="F14081">
        <v>3</v>
      </c>
      <c r="G14081">
        <v>6</v>
      </c>
      <c r="H14081">
        <f t="shared" si="439"/>
        <v>-3</v>
      </c>
    </row>
    <row r="14082" spans="1:8" x14ac:dyDescent="0.2">
      <c r="A14082" t="s">
        <v>7</v>
      </c>
      <c r="B14082" t="s">
        <v>33</v>
      </c>
      <c r="C14082" t="str">
        <f t="shared" si="440"/>
        <v>No cumple</v>
      </c>
      <c r="D14082">
        <v>9443</v>
      </c>
      <c r="E14082" t="s">
        <v>15</v>
      </c>
      <c r="F14082">
        <v>3</v>
      </c>
      <c r="G14082">
        <v>6</v>
      </c>
      <c r="H14082">
        <f t="shared" si="439"/>
        <v>-3</v>
      </c>
    </row>
    <row r="14083" spans="1:8" x14ac:dyDescent="0.2">
      <c r="A14083" t="s">
        <v>7</v>
      </c>
      <c r="B14083" t="s">
        <v>33</v>
      </c>
      <c r="C14083" t="str">
        <f t="shared" si="440"/>
        <v>No cumple</v>
      </c>
      <c r="D14083">
        <v>9604</v>
      </c>
      <c r="E14083" t="s">
        <v>15</v>
      </c>
      <c r="F14083">
        <v>3</v>
      </c>
      <c r="G14083">
        <v>6</v>
      </c>
      <c r="H14083">
        <f t="shared" ref="H14083:H14146" si="441">F14083-G14083</f>
        <v>-3</v>
      </c>
    </row>
    <row r="14084" spans="1:8" x14ac:dyDescent="0.2">
      <c r="A14084" t="s">
        <v>7</v>
      </c>
      <c r="B14084" t="s">
        <v>33</v>
      </c>
      <c r="C14084" t="str">
        <f t="shared" si="440"/>
        <v>No cumple</v>
      </c>
      <c r="D14084">
        <v>3867</v>
      </c>
      <c r="E14084" t="s">
        <v>15</v>
      </c>
      <c r="F14084">
        <v>3</v>
      </c>
      <c r="G14084">
        <v>6</v>
      </c>
      <c r="H14084">
        <f t="shared" si="441"/>
        <v>-3</v>
      </c>
    </row>
    <row r="14085" spans="1:8" x14ac:dyDescent="0.2">
      <c r="A14085" t="s">
        <v>7</v>
      </c>
      <c r="B14085" t="s">
        <v>33</v>
      </c>
      <c r="C14085" t="str">
        <f t="shared" ref="C14085:C14148" si="442">IF(H14085&gt;=0,"Cumple","No cumple")</f>
        <v>No cumple</v>
      </c>
      <c r="D14085">
        <v>2613</v>
      </c>
      <c r="E14085" t="s">
        <v>15</v>
      </c>
      <c r="F14085">
        <v>3</v>
      </c>
      <c r="G14085">
        <v>6</v>
      </c>
      <c r="H14085">
        <f t="shared" si="441"/>
        <v>-3</v>
      </c>
    </row>
    <row r="14086" spans="1:8" x14ac:dyDescent="0.2">
      <c r="A14086" t="s">
        <v>7</v>
      </c>
      <c r="B14086" t="s">
        <v>33</v>
      </c>
      <c r="C14086" t="str">
        <f t="shared" si="442"/>
        <v>No cumple</v>
      </c>
      <c r="D14086">
        <v>9849</v>
      </c>
      <c r="E14086" t="s">
        <v>16</v>
      </c>
      <c r="F14086">
        <v>2</v>
      </c>
      <c r="G14086">
        <v>6</v>
      </c>
      <c r="H14086">
        <f t="shared" si="441"/>
        <v>-4</v>
      </c>
    </row>
    <row r="14087" spans="1:8" x14ac:dyDescent="0.2">
      <c r="A14087" t="s">
        <v>7</v>
      </c>
      <c r="B14087" t="s">
        <v>33</v>
      </c>
      <c r="C14087" t="str">
        <f t="shared" si="442"/>
        <v>No cumple</v>
      </c>
      <c r="D14087">
        <v>9887</v>
      </c>
      <c r="E14087" t="s">
        <v>16</v>
      </c>
      <c r="F14087">
        <v>2</v>
      </c>
      <c r="G14087">
        <v>6</v>
      </c>
      <c r="H14087">
        <f t="shared" si="441"/>
        <v>-4</v>
      </c>
    </row>
    <row r="14088" spans="1:8" x14ac:dyDescent="0.2">
      <c r="A14088" t="s">
        <v>7</v>
      </c>
      <c r="B14088" t="s">
        <v>33</v>
      </c>
      <c r="C14088" t="str">
        <f t="shared" si="442"/>
        <v>No cumple</v>
      </c>
      <c r="D14088">
        <v>3224</v>
      </c>
      <c r="E14088" t="s">
        <v>15</v>
      </c>
      <c r="F14088">
        <v>2</v>
      </c>
      <c r="G14088">
        <v>6</v>
      </c>
      <c r="H14088">
        <f t="shared" si="441"/>
        <v>-4</v>
      </c>
    </row>
    <row r="14089" spans="1:8" x14ac:dyDescent="0.2">
      <c r="A14089" t="s">
        <v>7</v>
      </c>
      <c r="B14089" t="s">
        <v>33</v>
      </c>
      <c r="C14089" t="str">
        <f t="shared" si="442"/>
        <v>No cumple</v>
      </c>
      <c r="D14089">
        <v>7071</v>
      </c>
      <c r="E14089" t="s">
        <v>15</v>
      </c>
      <c r="F14089">
        <v>2</v>
      </c>
      <c r="G14089">
        <v>6</v>
      </c>
      <c r="H14089">
        <f t="shared" si="441"/>
        <v>-4</v>
      </c>
    </row>
    <row r="14090" spans="1:8" x14ac:dyDescent="0.2">
      <c r="A14090" t="s">
        <v>7</v>
      </c>
      <c r="B14090" t="s">
        <v>33</v>
      </c>
      <c r="C14090" t="str">
        <f t="shared" si="442"/>
        <v>No cumple</v>
      </c>
      <c r="D14090">
        <v>7474</v>
      </c>
      <c r="E14090" t="s">
        <v>15</v>
      </c>
      <c r="F14090">
        <v>2</v>
      </c>
      <c r="G14090">
        <v>6</v>
      </c>
      <c r="H14090">
        <f t="shared" si="441"/>
        <v>-4</v>
      </c>
    </row>
    <row r="14091" spans="1:8" x14ac:dyDescent="0.2">
      <c r="A14091" t="s">
        <v>7</v>
      </c>
      <c r="B14091" t="s">
        <v>33</v>
      </c>
      <c r="C14091" t="str">
        <f t="shared" si="442"/>
        <v>No cumple</v>
      </c>
      <c r="D14091">
        <v>7040</v>
      </c>
      <c r="E14091" t="s">
        <v>15</v>
      </c>
      <c r="F14091">
        <v>2</v>
      </c>
      <c r="G14091">
        <v>6</v>
      </c>
      <c r="H14091">
        <f t="shared" si="441"/>
        <v>-4</v>
      </c>
    </row>
    <row r="14092" spans="1:8" x14ac:dyDescent="0.2">
      <c r="A14092" t="s">
        <v>7</v>
      </c>
      <c r="B14092" t="s">
        <v>33</v>
      </c>
      <c r="C14092" t="str">
        <f t="shared" si="442"/>
        <v>No cumple</v>
      </c>
      <c r="D14092">
        <v>7084</v>
      </c>
      <c r="E14092" t="s">
        <v>15</v>
      </c>
      <c r="F14092">
        <v>2</v>
      </c>
      <c r="G14092">
        <v>6</v>
      </c>
      <c r="H14092">
        <f t="shared" si="441"/>
        <v>-4</v>
      </c>
    </row>
    <row r="14093" spans="1:8" x14ac:dyDescent="0.2">
      <c r="A14093" t="s">
        <v>7</v>
      </c>
      <c r="B14093" t="s">
        <v>33</v>
      </c>
      <c r="C14093" t="str">
        <f t="shared" si="442"/>
        <v>No cumple</v>
      </c>
      <c r="D14093">
        <v>7606</v>
      </c>
      <c r="E14093" t="s">
        <v>15</v>
      </c>
      <c r="F14093">
        <v>2</v>
      </c>
      <c r="G14093">
        <v>6</v>
      </c>
      <c r="H14093">
        <f t="shared" si="441"/>
        <v>-4</v>
      </c>
    </row>
    <row r="14094" spans="1:8" x14ac:dyDescent="0.2">
      <c r="A14094" t="s">
        <v>7</v>
      </c>
      <c r="B14094" t="s">
        <v>33</v>
      </c>
      <c r="C14094" t="str">
        <f t="shared" si="442"/>
        <v>No cumple</v>
      </c>
      <c r="D14094">
        <v>7629</v>
      </c>
      <c r="E14094" t="s">
        <v>15</v>
      </c>
      <c r="F14094">
        <v>2</v>
      </c>
      <c r="G14094">
        <v>6</v>
      </c>
      <c r="H14094">
        <f t="shared" si="441"/>
        <v>-4</v>
      </c>
    </row>
    <row r="14095" spans="1:8" x14ac:dyDescent="0.2">
      <c r="A14095" t="s">
        <v>7</v>
      </c>
      <c r="B14095" t="s">
        <v>33</v>
      </c>
      <c r="C14095" t="str">
        <f t="shared" si="442"/>
        <v>No cumple</v>
      </c>
      <c r="D14095">
        <v>9259</v>
      </c>
      <c r="E14095" t="s">
        <v>15</v>
      </c>
      <c r="F14095">
        <v>2</v>
      </c>
      <c r="G14095">
        <v>6</v>
      </c>
      <c r="H14095">
        <f t="shared" si="441"/>
        <v>-4</v>
      </c>
    </row>
    <row r="14096" spans="1:8" x14ac:dyDescent="0.2">
      <c r="A14096" t="s">
        <v>7</v>
      </c>
      <c r="B14096" t="s">
        <v>33</v>
      </c>
      <c r="C14096" t="str">
        <f t="shared" si="442"/>
        <v>No cumple</v>
      </c>
      <c r="D14096">
        <v>3996</v>
      </c>
      <c r="E14096" t="s">
        <v>15</v>
      </c>
      <c r="F14096">
        <v>2</v>
      </c>
      <c r="G14096">
        <v>6</v>
      </c>
      <c r="H14096">
        <f t="shared" si="441"/>
        <v>-4</v>
      </c>
    </row>
    <row r="14097" spans="1:8" x14ac:dyDescent="0.2">
      <c r="A14097" t="s">
        <v>7</v>
      </c>
      <c r="B14097" t="s">
        <v>33</v>
      </c>
      <c r="C14097" t="str">
        <f t="shared" si="442"/>
        <v>No cumple</v>
      </c>
      <c r="D14097">
        <v>3757</v>
      </c>
      <c r="E14097" t="s">
        <v>15</v>
      </c>
      <c r="F14097">
        <v>1</v>
      </c>
      <c r="G14097">
        <v>6</v>
      </c>
      <c r="H14097">
        <f t="shared" si="441"/>
        <v>-5</v>
      </c>
    </row>
    <row r="14098" spans="1:8" x14ac:dyDescent="0.2">
      <c r="A14098" t="s">
        <v>7</v>
      </c>
      <c r="B14098" t="s">
        <v>33</v>
      </c>
      <c r="C14098" t="str">
        <f t="shared" si="442"/>
        <v>No cumple</v>
      </c>
      <c r="D14098">
        <v>7008</v>
      </c>
      <c r="E14098" t="s">
        <v>15</v>
      </c>
      <c r="F14098">
        <v>1</v>
      </c>
      <c r="G14098">
        <v>6</v>
      </c>
      <c r="H14098">
        <f t="shared" si="441"/>
        <v>-5</v>
      </c>
    </row>
    <row r="14099" spans="1:8" x14ac:dyDescent="0.2">
      <c r="A14099" t="s">
        <v>7</v>
      </c>
      <c r="B14099" t="s">
        <v>33</v>
      </c>
      <c r="C14099" t="str">
        <f t="shared" si="442"/>
        <v>No cumple</v>
      </c>
      <c r="D14099">
        <v>7517</v>
      </c>
      <c r="E14099" t="s">
        <v>15</v>
      </c>
      <c r="F14099">
        <v>1</v>
      </c>
      <c r="G14099">
        <v>6</v>
      </c>
      <c r="H14099">
        <f t="shared" si="441"/>
        <v>-5</v>
      </c>
    </row>
    <row r="14100" spans="1:8" x14ac:dyDescent="0.2">
      <c r="A14100" t="s">
        <v>7</v>
      </c>
      <c r="B14100" t="s">
        <v>33</v>
      </c>
      <c r="C14100" t="str">
        <f t="shared" si="442"/>
        <v>No cumple</v>
      </c>
      <c r="D14100">
        <v>7580</v>
      </c>
      <c r="E14100" t="s">
        <v>15</v>
      </c>
      <c r="F14100">
        <v>1</v>
      </c>
      <c r="G14100">
        <v>6</v>
      </c>
      <c r="H14100">
        <f t="shared" si="441"/>
        <v>-5</v>
      </c>
    </row>
    <row r="14101" spans="1:8" x14ac:dyDescent="0.2">
      <c r="A14101" t="s">
        <v>7</v>
      </c>
      <c r="B14101" t="s">
        <v>33</v>
      </c>
      <c r="C14101" t="str">
        <f t="shared" si="442"/>
        <v>No cumple</v>
      </c>
      <c r="D14101">
        <v>1864</v>
      </c>
      <c r="E14101" t="s">
        <v>15</v>
      </c>
      <c r="F14101">
        <v>1</v>
      </c>
      <c r="G14101">
        <v>6</v>
      </c>
      <c r="H14101">
        <f t="shared" si="441"/>
        <v>-5</v>
      </c>
    </row>
    <row r="14102" spans="1:8" x14ac:dyDescent="0.2">
      <c r="A14102" t="s">
        <v>7</v>
      </c>
      <c r="B14102" t="s">
        <v>33</v>
      </c>
      <c r="C14102" t="str">
        <f t="shared" si="442"/>
        <v>No cumple</v>
      </c>
      <c r="D14102">
        <v>7038</v>
      </c>
      <c r="E14102" t="s">
        <v>15</v>
      </c>
      <c r="F14102">
        <v>1</v>
      </c>
      <c r="G14102">
        <v>6</v>
      </c>
      <c r="H14102">
        <f t="shared" si="441"/>
        <v>-5</v>
      </c>
    </row>
    <row r="14103" spans="1:8" x14ac:dyDescent="0.2">
      <c r="A14103" t="s">
        <v>7</v>
      </c>
      <c r="B14103" t="s">
        <v>33</v>
      </c>
      <c r="C14103" t="str">
        <f t="shared" si="442"/>
        <v>No cumple</v>
      </c>
      <c r="D14103">
        <v>7116</v>
      </c>
      <c r="E14103" t="s">
        <v>15</v>
      </c>
      <c r="F14103">
        <v>1</v>
      </c>
      <c r="G14103">
        <v>6</v>
      </c>
      <c r="H14103">
        <f t="shared" si="441"/>
        <v>-5</v>
      </c>
    </row>
    <row r="14104" spans="1:8" x14ac:dyDescent="0.2">
      <c r="A14104" t="s">
        <v>7</v>
      </c>
      <c r="B14104" t="s">
        <v>33</v>
      </c>
      <c r="C14104" t="str">
        <f t="shared" si="442"/>
        <v>No cumple</v>
      </c>
      <c r="D14104">
        <v>9152</v>
      </c>
      <c r="E14104" t="s">
        <v>15</v>
      </c>
      <c r="F14104">
        <v>1</v>
      </c>
      <c r="G14104">
        <v>6</v>
      </c>
      <c r="H14104">
        <f t="shared" si="441"/>
        <v>-5</v>
      </c>
    </row>
    <row r="14105" spans="1:8" x14ac:dyDescent="0.2">
      <c r="A14105" t="s">
        <v>7</v>
      </c>
      <c r="B14105" t="s">
        <v>33</v>
      </c>
      <c r="C14105" t="str">
        <f t="shared" si="442"/>
        <v>No cumple</v>
      </c>
      <c r="D14105">
        <v>9761</v>
      </c>
      <c r="E14105" t="s">
        <v>15</v>
      </c>
      <c r="F14105">
        <v>1</v>
      </c>
      <c r="G14105">
        <v>6</v>
      </c>
      <c r="H14105">
        <f t="shared" si="441"/>
        <v>-5</v>
      </c>
    </row>
    <row r="14106" spans="1:8" x14ac:dyDescent="0.2">
      <c r="A14106" t="s">
        <v>7</v>
      </c>
      <c r="B14106" t="s">
        <v>33</v>
      </c>
      <c r="C14106" t="str">
        <f t="shared" si="442"/>
        <v>No cumple</v>
      </c>
      <c r="D14106">
        <v>7042</v>
      </c>
      <c r="E14106" t="s">
        <v>15</v>
      </c>
      <c r="F14106">
        <v>1</v>
      </c>
      <c r="G14106">
        <v>6</v>
      </c>
      <c r="H14106">
        <f t="shared" si="441"/>
        <v>-5</v>
      </c>
    </row>
    <row r="14107" spans="1:8" x14ac:dyDescent="0.2">
      <c r="A14107" t="s">
        <v>18</v>
      </c>
      <c r="B14107" t="s">
        <v>33</v>
      </c>
      <c r="C14107" t="str">
        <f t="shared" si="442"/>
        <v>No cumple</v>
      </c>
      <c r="D14107">
        <v>1089</v>
      </c>
      <c r="E14107" t="s">
        <v>16</v>
      </c>
      <c r="F14107">
        <v>0</v>
      </c>
      <c r="G14107">
        <v>6</v>
      </c>
      <c r="H14107">
        <f t="shared" si="441"/>
        <v>-6</v>
      </c>
    </row>
    <row r="14108" spans="1:8" x14ac:dyDescent="0.2">
      <c r="A14108" t="s">
        <v>18</v>
      </c>
      <c r="B14108" t="s">
        <v>33</v>
      </c>
      <c r="C14108" t="str">
        <f t="shared" si="442"/>
        <v>No cumple</v>
      </c>
      <c r="D14108">
        <v>3583</v>
      </c>
      <c r="E14108" t="s">
        <v>16</v>
      </c>
      <c r="F14108">
        <v>0</v>
      </c>
      <c r="G14108">
        <v>6</v>
      </c>
      <c r="H14108">
        <f t="shared" si="441"/>
        <v>-6</v>
      </c>
    </row>
    <row r="14109" spans="1:8" x14ac:dyDescent="0.2">
      <c r="A14109" t="s">
        <v>18</v>
      </c>
      <c r="B14109" t="s">
        <v>33</v>
      </c>
      <c r="C14109" t="str">
        <f t="shared" si="442"/>
        <v>No cumple</v>
      </c>
      <c r="D14109">
        <v>9383</v>
      </c>
      <c r="E14109" t="s">
        <v>16</v>
      </c>
      <c r="F14109">
        <v>0</v>
      </c>
      <c r="G14109">
        <v>6</v>
      </c>
      <c r="H14109">
        <f t="shared" si="441"/>
        <v>-6</v>
      </c>
    </row>
    <row r="14110" spans="1:8" x14ac:dyDescent="0.2">
      <c r="A14110" t="s">
        <v>18</v>
      </c>
      <c r="B14110" t="s">
        <v>33</v>
      </c>
      <c r="C14110" t="str">
        <f t="shared" si="442"/>
        <v>No cumple</v>
      </c>
      <c r="D14110">
        <v>9384</v>
      </c>
      <c r="E14110" t="s">
        <v>16</v>
      </c>
      <c r="F14110">
        <v>0</v>
      </c>
      <c r="G14110">
        <v>6</v>
      </c>
      <c r="H14110">
        <f t="shared" si="441"/>
        <v>-6</v>
      </c>
    </row>
    <row r="14111" spans="1:8" x14ac:dyDescent="0.2">
      <c r="A14111" t="s">
        <v>18</v>
      </c>
      <c r="B14111" t="s">
        <v>33</v>
      </c>
      <c r="C14111" t="str">
        <f t="shared" si="442"/>
        <v>No cumple</v>
      </c>
      <c r="D14111">
        <v>9386</v>
      </c>
      <c r="E14111" t="s">
        <v>16</v>
      </c>
      <c r="F14111">
        <v>0</v>
      </c>
      <c r="G14111">
        <v>6</v>
      </c>
      <c r="H14111">
        <f t="shared" si="441"/>
        <v>-6</v>
      </c>
    </row>
    <row r="14112" spans="1:8" x14ac:dyDescent="0.2">
      <c r="A14112" t="s">
        <v>18</v>
      </c>
      <c r="B14112" t="s">
        <v>33</v>
      </c>
      <c r="C14112" t="str">
        <f t="shared" si="442"/>
        <v>No cumple</v>
      </c>
      <c r="D14112">
        <v>9388</v>
      </c>
      <c r="E14112" t="s">
        <v>16</v>
      </c>
      <c r="F14112">
        <v>0</v>
      </c>
      <c r="G14112">
        <v>6</v>
      </c>
      <c r="H14112">
        <f t="shared" si="441"/>
        <v>-6</v>
      </c>
    </row>
    <row r="14113" spans="1:8" x14ac:dyDescent="0.2">
      <c r="A14113" t="s">
        <v>18</v>
      </c>
      <c r="B14113" t="s">
        <v>33</v>
      </c>
      <c r="C14113" t="str">
        <f t="shared" si="442"/>
        <v>No cumple</v>
      </c>
      <c r="D14113">
        <v>9390</v>
      </c>
      <c r="E14113" t="s">
        <v>16</v>
      </c>
      <c r="F14113">
        <v>0</v>
      </c>
      <c r="G14113">
        <v>6</v>
      </c>
      <c r="H14113">
        <f t="shared" si="441"/>
        <v>-6</v>
      </c>
    </row>
    <row r="14114" spans="1:8" x14ac:dyDescent="0.2">
      <c r="A14114" t="s">
        <v>18</v>
      </c>
      <c r="B14114" t="s">
        <v>33</v>
      </c>
      <c r="C14114" t="str">
        <f t="shared" si="442"/>
        <v>No cumple</v>
      </c>
      <c r="D14114">
        <v>9391</v>
      </c>
      <c r="E14114" t="s">
        <v>16</v>
      </c>
      <c r="F14114">
        <v>0</v>
      </c>
      <c r="G14114">
        <v>6</v>
      </c>
      <c r="H14114">
        <f t="shared" si="441"/>
        <v>-6</v>
      </c>
    </row>
    <row r="14115" spans="1:8" x14ac:dyDescent="0.2">
      <c r="A14115" t="s">
        <v>18</v>
      </c>
      <c r="B14115" t="s">
        <v>33</v>
      </c>
      <c r="C14115" t="str">
        <f t="shared" si="442"/>
        <v>No cumple</v>
      </c>
      <c r="D14115">
        <v>9393</v>
      </c>
      <c r="E14115" t="s">
        <v>16</v>
      </c>
      <c r="F14115">
        <v>0</v>
      </c>
      <c r="G14115">
        <v>6</v>
      </c>
      <c r="H14115">
        <f t="shared" si="441"/>
        <v>-6</v>
      </c>
    </row>
    <row r="14116" spans="1:8" x14ac:dyDescent="0.2">
      <c r="A14116" t="s">
        <v>18</v>
      </c>
      <c r="B14116" t="s">
        <v>33</v>
      </c>
      <c r="C14116" t="str">
        <f t="shared" si="442"/>
        <v>No cumple</v>
      </c>
      <c r="D14116">
        <v>9394</v>
      </c>
      <c r="E14116" t="s">
        <v>16</v>
      </c>
      <c r="F14116">
        <v>0</v>
      </c>
      <c r="G14116">
        <v>6</v>
      </c>
      <c r="H14116">
        <f t="shared" si="441"/>
        <v>-6</v>
      </c>
    </row>
    <row r="14117" spans="1:8" x14ac:dyDescent="0.2">
      <c r="A14117" t="s">
        <v>18</v>
      </c>
      <c r="B14117" t="s">
        <v>33</v>
      </c>
      <c r="C14117" t="str">
        <f t="shared" si="442"/>
        <v>No cumple</v>
      </c>
      <c r="D14117">
        <v>9395</v>
      </c>
      <c r="E14117" t="s">
        <v>16</v>
      </c>
      <c r="F14117">
        <v>0</v>
      </c>
      <c r="G14117">
        <v>6</v>
      </c>
      <c r="H14117">
        <f t="shared" si="441"/>
        <v>-6</v>
      </c>
    </row>
    <row r="14118" spans="1:8" x14ac:dyDescent="0.2">
      <c r="A14118" t="s">
        <v>18</v>
      </c>
      <c r="B14118" t="s">
        <v>33</v>
      </c>
      <c r="C14118" t="str">
        <f t="shared" si="442"/>
        <v>No cumple</v>
      </c>
      <c r="D14118">
        <v>9407</v>
      </c>
      <c r="E14118" t="s">
        <v>16</v>
      </c>
      <c r="F14118">
        <v>0</v>
      </c>
      <c r="G14118">
        <v>6</v>
      </c>
      <c r="H14118">
        <f t="shared" si="441"/>
        <v>-6</v>
      </c>
    </row>
    <row r="14119" spans="1:8" x14ac:dyDescent="0.2">
      <c r="A14119" t="s">
        <v>18</v>
      </c>
      <c r="B14119" t="s">
        <v>33</v>
      </c>
      <c r="C14119" t="str">
        <f t="shared" si="442"/>
        <v>No cumple</v>
      </c>
      <c r="D14119">
        <v>9417</v>
      </c>
      <c r="E14119" t="s">
        <v>16</v>
      </c>
      <c r="F14119">
        <v>0</v>
      </c>
      <c r="G14119">
        <v>6</v>
      </c>
      <c r="H14119">
        <f t="shared" si="441"/>
        <v>-6</v>
      </c>
    </row>
    <row r="14120" spans="1:8" x14ac:dyDescent="0.2">
      <c r="A14120" t="s">
        <v>18</v>
      </c>
      <c r="B14120" t="s">
        <v>33</v>
      </c>
      <c r="C14120" t="str">
        <f t="shared" si="442"/>
        <v>No cumple</v>
      </c>
      <c r="D14120">
        <v>9418</v>
      </c>
      <c r="E14120" t="s">
        <v>16</v>
      </c>
      <c r="F14120">
        <v>0</v>
      </c>
      <c r="G14120">
        <v>6</v>
      </c>
      <c r="H14120">
        <f t="shared" si="441"/>
        <v>-6</v>
      </c>
    </row>
    <row r="14121" spans="1:8" x14ac:dyDescent="0.2">
      <c r="A14121" t="s">
        <v>7</v>
      </c>
      <c r="B14121" t="s">
        <v>33</v>
      </c>
      <c r="C14121" t="str">
        <f t="shared" si="442"/>
        <v>No cumple</v>
      </c>
      <c r="D14121">
        <v>9492</v>
      </c>
      <c r="E14121" t="s">
        <v>16</v>
      </c>
      <c r="F14121">
        <v>0</v>
      </c>
      <c r="G14121">
        <v>6</v>
      </c>
      <c r="H14121">
        <f t="shared" si="441"/>
        <v>-6</v>
      </c>
    </row>
    <row r="14122" spans="1:8" x14ac:dyDescent="0.2">
      <c r="A14122" t="s">
        <v>18</v>
      </c>
      <c r="B14122" t="s">
        <v>33</v>
      </c>
      <c r="C14122" t="str">
        <f t="shared" si="442"/>
        <v>No cumple</v>
      </c>
      <c r="D14122">
        <v>9493</v>
      </c>
      <c r="E14122" t="s">
        <v>16</v>
      </c>
      <c r="F14122">
        <v>0</v>
      </c>
      <c r="G14122">
        <v>6</v>
      </c>
      <c r="H14122">
        <f t="shared" si="441"/>
        <v>-6</v>
      </c>
    </row>
    <row r="14123" spans="1:8" x14ac:dyDescent="0.2">
      <c r="A14123" t="s">
        <v>18</v>
      </c>
      <c r="B14123" t="s">
        <v>33</v>
      </c>
      <c r="C14123" t="str">
        <f t="shared" si="442"/>
        <v>No cumple</v>
      </c>
      <c r="D14123">
        <v>9678</v>
      </c>
      <c r="E14123" t="s">
        <v>16</v>
      </c>
      <c r="F14123">
        <v>0</v>
      </c>
      <c r="G14123">
        <v>6</v>
      </c>
      <c r="H14123">
        <f t="shared" si="441"/>
        <v>-6</v>
      </c>
    </row>
    <row r="14124" spans="1:8" x14ac:dyDescent="0.2">
      <c r="A14124" t="s">
        <v>18</v>
      </c>
      <c r="B14124" t="s">
        <v>33</v>
      </c>
      <c r="C14124" t="str">
        <f t="shared" si="442"/>
        <v>No cumple</v>
      </c>
      <c r="D14124">
        <v>9947</v>
      </c>
      <c r="E14124" t="s">
        <v>16</v>
      </c>
      <c r="F14124">
        <v>0</v>
      </c>
      <c r="G14124">
        <v>6</v>
      </c>
      <c r="H14124">
        <f t="shared" si="441"/>
        <v>-6</v>
      </c>
    </row>
    <row r="14125" spans="1:8" x14ac:dyDescent="0.2">
      <c r="A14125" t="s">
        <v>18</v>
      </c>
      <c r="B14125" t="s">
        <v>33</v>
      </c>
      <c r="C14125" t="str">
        <f t="shared" si="442"/>
        <v>No cumple</v>
      </c>
      <c r="D14125">
        <v>136</v>
      </c>
      <c r="E14125" t="s">
        <v>16</v>
      </c>
      <c r="F14125">
        <v>0</v>
      </c>
      <c r="G14125">
        <v>6</v>
      </c>
      <c r="H14125">
        <f t="shared" si="441"/>
        <v>-6</v>
      </c>
    </row>
    <row r="14126" spans="1:8" x14ac:dyDescent="0.2">
      <c r="A14126" t="s">
        <v>18</v>
      </c>
      <c r="B14126" t="s">
        <v>33</v>
      </c>
      <c r="C14126" t="str">
        <f t="shared" si="442"/>
        <v>No cumple</v>
      </c>
      <c r="D14126">
        <v>1539</v>
      </c>
      <c r="E14126" t="s">
        <v>16</v>
      </c>
      <c r="F14126">
        <v>0</v>
      </c>
      <c r="G14126">
        <v>6</v>
      </c>
      <c r="H14126">
        <f t="shared" si="441"/>
        <v>-6</v>
      </c>
    </row>
    <row r="14127" spans="1:8" x14ac:dyDescent="0.2">
      <c r="A14127" t="s">
        <v>18</v>
      </c>
      <c r="B14127" t="s">
        <v>33</v>
      </c>
      <c r="C14127" t="str">
        <f t="shared" si="442"/>
        <v>No cumple</v>
      </c>
      <c r="D14127">
        <v>9387</v>
      </c>
      <c r="E14127" t="s">
        <v>16</v>
      </c>
      <c r="F14127">
        <v>0</v>
      </c>
      <c r="G14127">
        <v>6</v>
      </c>
      <c r="H14127">
        <f t="shared" si="441"/>
        <v>-6</v>
      </c>
    </row>
    <row r="14128" spans="1:8" x14ac:dyDescent="0.2">
      <c r="A14128" t="s">
        <v>18</v>
      </c>
      <c r="B14128" t="s">
        <v>33</v>
      </c>
      <c r="C14128" t="str">
        <f t="shared" si="442"/>
        <v>No cumple</v>
      </c>
      <c r="D14128">
        <v>9404</v>
      </c>
      <c r="E14128" t="s">
        <v>16</v>
      </c>
      <c r="F14128">
        <v>0</v>
      </c>
      <c r="G14128">
        <v>6</v>
      </c>
      <c r="H14128">
        <f t="shared" si="441"/>
        <v>-6</v>
      </c>
    </row>
    <row r="14129" spans="1:8" x14ac:dyDescent="0.2">
      <c r="A14129" t="s">
        <v>18</v>
      </c>
      <c r="B14129" t="s">
        <v>33</v>
      </c>
      <c r="C14129" t="str">
        <f t="shared" si="442"/>
        <v>No cumple</v>
      </c>
      <c r="D14129">
        <v>9405</v>
      </c>
      <c r="E14129" t="s">
        <v>16</v>
      </c>
      <c r="F14129">
        <v>0</v>
      </c>
      <c r="G14129">
        <v>6</v>
      </c>
      <c r="H14129">
        <f t="shared" si="441"/>
        <v>-6</v>
      </c>
    </row>
    <row r="14130" spans="1:8" x14ac:dyDescent="0.2">
      <c r="A14130" t="s">
        <v>18</v>
      </c>
      <c r="B14130" t="s">
        <v>33</v>
      </c>
      <c r="C14130" t="str">
        <f t="shared" si="442"/>
        <v>No cumple</v>
      </c>
      <c r="D14130">
        <v>9406</v>
      </c>
      <c r="E14130" t="s">
        <v>16</v>
      </c>
      <c r="F14130">
        <v>0</v>
      </c>
      <c r="G14130">
        <v>6</v>
      </c>
      <c r="H14130">
        <f t="shared" si="441"/>
        <v>-6</v>
      </c>
    </row>
    <row r="14131" spans="1:8" x14ac:dyDescent="0.2">
      <c r="A14131" t="s">
        <v>18</v>
      </c>
      <c r="B14131" t="s">
        <v>33</v>
      </c>
      <c r="C14131" t="str">
        <f t="shared" si="442"/>
        <v>No cumple</v>
      </c>
      <c r="D14131">
        <v>9409</v>
      </c>
      <c r="E14131" t="s">
        <v>16</v>
      </c>
      <c r="F14131">
        <v>0</v>
      </c>
      <c r="G14131">
        <v>6</v>
      </c>
      <c r="H14131">
        <f t="shared" si="441"/>
        <v>-6</v>
      </c>
    </row>
    <row r="14132" spans="1:8" x14ac:dyDescent="0.2">
      <c r="A14132" t="s">
        <v>18</v>
      </c>
      <c r="B14132" t="s">
        <v>33</v>
      </c>
      <c r="C14132" t="str">
        <f t="shared" si="442"/>
        <v>No cumple</v>
      </c>
      <c r="D14132">
        <v>9410</v>
      </c>
      <c r="E14132" t="s">
        <v>16</v>
      </c>
      <c r="F14132">
        <v>0</v>
      </c>
      <c r="G14132">
        <v>6</v>
      </c>
      <c r="H14132">
        <f t="shared" si="441"/>
        <v>-6</v>
      </c>
    </row>
    <row r="14133" spans="1:8" x14ac:dyDescent="0.2">
      <c r="A14133" t="s">
        <v>18</v>
      </c>
      <c r="B14133" t="s">
        <v>33</v>
      </c>
      <c r="C14133" t="str">
        <f t="shared" si="442"/>
        <v>No cumple</v>
      </c>
      <c r="D14133">
        <v>9444</v>
      </c>
      <c r="E14133" t="s">
        <v>16</v>
      </c>
      <c r="F14133">
        <v>0</v>
      </c>
      <c r="G14133">
        <v>6</v>
      </c>
      <c r="H14133">
        <f t="shared" si="441"/>
        <v>-6</v>
      </c>
    </row>
    <row r="14134" spans="1:8" x14ac:dyDescent="0.2">
      <c r="A14134" t="s">
        <v>18</v>
      </c>
      <c r="B14134" t="s">
        <v>33</v>
      </c>
      <c r="C14134" t="str">
        <f t="shared" si="442"/>
        <v>No cumple</v>
      </c>
      <c r="D14134">
        <v>9447</v>
      </c>
      <c r="E14134" t="s">
        <v>16</v>
      </c>
      <c r="F14134">
        <v>0</v>
      </c>
      <c r="G14134">
        <v>6</v>
      </c>
      <c r="H14134">
        <f t="shared" si="441"/>
        <v>-6</v>
      </c>
    </row>
    <row r="14135" spans="1:8" x14ac:dyDescent="0.2">
      <c r="A14135" t="s">
        <v>18</v>
      </c>
      <c r="B14135" t="s">
        <v>33</v>
      </c>
      <c r="C14135" t="str">
        <f t="shared" si="442"/>
        <v>No cumple</v>
      </c>
      <c r="D14135">
        <v>9494</v>
      </c>
      <c r="E14135" t="s">
        <v>16</v>
      </c>
      <c r="F14135">
        <v>0</v>
      </c>
      <c r="G14135">
        <v>6</v>
      </c>
      <c r="H14135">
        <f t="shared" si="441"/>
        <v>-6</v>
      </c>
    </row>
    <row r="14136" spans="1:8" x14ac:dyDescent="0.2">
      <c r="A14136" t="s">
        <v>18</v>
      </c>
      <c r="B14136" t="s">
        <v>33</v>
      </c>
      <c r="C14136" t="str">
        <f t="shared" si="442"/>
        <v>No cumple</v>
      </c>
      <c r="D14136">
        <v>9572</v>
      </c>
      <c r="E14136" t="s">
        <v>16</v>
      </c>
      <c r="F14136">
        <v>0</v>
      </c>
      <c r="G14136">
        <v>6</v>
      </c>
      <c r="H14136">
        <f t="shared" si="441"/>
        <v>-6</v>
      </c>
    </row>
    <row r="14137" spans="1:8" x14ac:dyDescent="0.2">
      <c r="A14137" t="s">
        <v>18</v>
      </c>
      <c r="B14137" t="s">
        <v>33</v>
      </c>
      <c r="C14137" t="str">
        <f t="shared" si="442"/>
        <v>No cumple</v>
      </c>
      <c r="D14137">
        <v>9797</v>
      </c>
      <c r="E14137" t="s">
        <v>16</v>
      </c>
      <c r="F14137">
        <v>0</v>
      </c>
      <c r="G14137">
        <v>6</v>
      </c>
      <c r="H14137">
        <f t="shared" si="441"/>
        <v>-6</v>
      </c>
    </row>
    <row r="14138" spans="1:8" x14ac:dyDescent="0.2">
      <c r="A14138" t="s">
        <v>7</v>
      </c>
      <c r="B14138" t="s">
        <v>33</v>
      </c>
      <c r="C14138" t="str">
        <f t="shared" si="442"/>
        <v>No cumple</v>
      </c>
      <c r="D14138">
        <v>7026</v>
      </c>
      <c r="E14138" t="s">
        <v>15</v>
      </c>
      <c r="F14138">
        <v>0</v>
      </c>
      <c r="G14138">
        <v>6</v>
      </c>
      <c r="H14138">
        <f t="shared" si="441"/>
        <v>-6</v>
      </c>
    </row>
    <row r="14139" spans="1:8" x14ac:dyDescent="0.2">
      <c r="A14139" t="s">
        <v>7</v>
      </c>
      <c r="B14139" t="s">
        <v>33</v>
      </c>
      <c r="C14139" t="str">
        <f t="shared" si="442"/>
        <v>No cumple</v>
      </c>
      <c r="D14139">
        <v>7032</v>
      </c>
      <c r="E14139" t="s">
        <v>15</v>
      </c>
      <c r="F14139">
        <v>0</v>
      </c>
      <c r="G14139">
        <v>6</v>
      </c>
      <c r="H14139">
        <f t="shared" si="441"/>
        <v>-6</v>
      </c>
    </row>
    <row r="14140" spans="1:8" x14ac:dyDescent="0.2">
      <c r="A14140" t="s">
        <v>7</v>
      </c>
      <c r="B14140" t="s">
        <v>33</v>
      </c>
      <c r="C14140" t="str">
        <f t="shared" si="442"/>
        <v>No cumple</v>
      </c>
      <c r="D14140">
        <v>7068</v>
      </c>
      <c r="E14140" t="s">
        <v>15</v>
      </c>
      <c r="F14140">
        <v>0</v>
      </c>
      <c r="G14140">
        <v>6</v>
      </c>
      <c r="H14140">
        <f t="shared" si="441"/>
        <v>-6</v>
      </c>
    </row>
    <row r="14141" spans="1:8" x14ac:dyDescent="0.2">
      <c r="A14141" t="s">
        <v>18</v>
      </c>
      <c r="B14141" t="s">
        <v>33</v>
      </c>
      <c r="C14141" t="str">
        <f t="shared" si="442"/>
        <v>No cumple</v>
      </c>
      <c r="D14141">
        <v>7092</v>
      </c>
      <c r="E14141" t="s">
        <v>15</v>
      </c>
      <c r="F14141">
        <v>0</v>
      </c>
      <c r="G14141">
        <v>6</v>
      </c>
      <c r="H14141">
        <f t="shared" si="441"/>
        <v>-6</v>
      </c>
    </row>
    <row r="14142" spans="1:8" x14ac:dyDescent="0.2">
      <c r="A14142" t="s">
        <v>7</v>
      </c>
      <c r="B14142" t="s">
        <v>33</v>
      </c>
      <c r="C14142" t="str">
        <f t="shared" si="442"/>
        <v>No cumple</v>
      </c>
      <c r="D14142">
        <v>7123</v>
      </c>
      <c r="E14142" t="s">
        <v>15</v>
      </c>
      <c r="F14142">
        <v>0</v>
      </c>
      <c r="G14142">
        <v>6</v>
      </c>
      <c r="H14142">
        <f t="shared" si="441"/>
        <v>-6</v>
      </c>
    </row>
    <row r="14143" spans="1:8" x14ac:dyDescent="0.2">
      <c r="A14143" t="s">
        <v>7</v>
      </c>
      <c r="B14143" t="s">
        <v>33</v>
      </c>
      <c r="C14143" t="str">
        <f t="shared" si="442"/>
        <v>No cumple</v>
      </c>
      <c r="D14143">
        <v>7183</v>
      </c>
      <c r="E14143" t="s">
        <v>15</v>
      </c>
      <c r="F14143">
        <v>0</v>
      </c>
      <c r="G14143">
        <v>6</v>
      </c>
      <c r="H14143">
        <f t="shared" si="441"/>
        <v>-6</v>
      </c>
    </row>
    <row r="14144" spans="1:8" x14ac:dyDescent="0.2">
      <c r="A14144" t="s">
        <v>18</v>
      </c>
      <c r="B14144" t="s">
        <v>33</v>
      </c>
      <c r="C14144" t="str">
        <f t="shared" si="442"/>
        <v>No cumple</v>
      </c>
      <c r="D14144">
        <v>7345</v>
      </c>
      <c r="E14144" t="s">
        <v>15</v>
      </c>
      <c r="F14144">
        <v>0</v>
      </c>
      <c r="G14144">
        <v>6</v>
      </c>
      <c r="H14144">
        <f t="shared" si="441"/>
        <v>-6</v>
      </c>
    </row>
    <row r="14145" spans="1:8" x14ac:dyDescent="0.2">
      <c r="A14145" t="s">
        <v>7</v>
      </c>
      <c r="B14145" t="s">
        <v>33</v>
      </c>
      <c r="C14145" t="str">
        <f t="shared" si="442"/>
        <v>No cumple</v>
      </c>
      <c r="D14145">
        <v>7380</v>
      </c>
      <c r="E14145" t="s">
        <v>15</v>
      </c>
      <c r="F14145">
        <v>0</v>
      </c>
      <c r="G14145">
        <v>6</v>
      </c>
      <c r="H14145">
        <f t="shared" si="441"/>
        <v>-6</v>
      </c>
    </row>
    <row r="14146" spans="1:8" x14ac:dyDescent="0.2">
      <c r="A14146" t="s">
        <v>18</v>
      </c>
      <c r="B14146" t="s">
        <v>33</v>
      </c>
      <c r="C14146" t="str">
        <f t="shared" si="442"/>
        <v>No cumple</v>
      </c>
      <c r="D14146">
        <v>7395</v>
      </c>
      <c r="E14146" t="s">
        <v>15</v>
      </c>
      <c r="F14146">
        <v>0</v>
      </c>
      <c r="G14146">
        <v>6</v>
      </c>
      <c r="H14146">
        <f t="shared" si="441"/>
        <v>-6</v>
      </c>
    </row>
    <row r="14147" spans="1:8" x14ac:dyDescent="0.2">
      <c r="A14147" t="s">
        <v>7</v>
      </c>
      <c r="B14147" t="s">
        <v>33</v>
      </c>
      <c r="C14147" t="str">
        <f t="shared" si="442"/>
        <v>No cumple</v>
      </c>
      <c r="D14147">
        <v>7398</v>
      </c>
      <c r="E14147" t="s">
        <v>15</v>
      </c>
      <c r="F14147">
        <v>0</v>
      </c>
      <c r="G14147">
        <v>6</v>
      </c>
      <c r="H14147">
        <f t="shared" ref="H14147:H14166" si="443">F14147-G14147</f>
        <v>-6</v>
      </c>
    </row>
    <row r="14148" spans="1:8" x14ac:dyDescent="0.2">
      <c r="A14148" t="s">
        <v>7</v>
      </c>
      <c r="B14148" t="s">
        <v>33</v>
      </c>
      <c r="C14148" t="str">
        <f t="shared" si="442"/>
        <v>No cumple</v>
      </c>
      <c r="D14148">
        <v>7402</v>
      </c>
      <c r="E14148" t="s">
        <v>15</v>
      </c>
      <c r="F14148">
        <v>0</v>
      </c>
      <c r="G14148">
        <v>6</v>
      </c>
      <c r="H14148">
        <f t="shared" si="443"/>
        <v>-6</v>
      </c>
    </row>
    <row r="14149" spans="1:8" x14ac:dyDescent="0.2">
      <c r="A14149" t="s">
        <v>7</v>
      </c>
      <c r="B14149" t="s">
        <v>33</v>
      </c>
      <c r="C14149" t="str">
        <f t="shared" ref="C14149:C14212" si="444">IF(H14149&gt;=0,"Cumple","No cumple")</f>
        <v>No cumple</v>
      </c>
      <c r="D14149">
        <v>7417</v>
      </c>
      <c r="E14149" t="s">
        <v>15</v>
      </c>
      <c r="F14149">
        <v>0</v>
      </c>
      <c r="G14149">
        <v>6</v>
      </c>
      <c r="H14149">
        <f t="shared" si="443"/>
        <v>-6</v>
      </c>
    </row>
    <row r="14150" spans="1:8" x14ac:dyDescent="0.2">
      <c r="A14150" t="s">
        <v>7</v>
      </c>
      <c r="B14150" t="s">
        <v>33</v>
      </c>
      <c r="C14150" t="str">
        <f t="shared" si="444"/>
        <v>No cumple</v>
      </c>
      <c r="D14150">
        <v>7494</v>
      </c>
      <c r="E14150" t="s">
        <v>15</v>
      </c>
      <c r="F14150">
        <v>0</v>
      </c>
      <c r="G14150">
        <v>6</v>
      </c>
      <c r="H14150">
        <f t="shared" si="443"/>
        <v>-6</v>
      </c>
    </row>
    <row r="14151" spans="1:8" x14ac:dyDescent="0.2">
      <c r="A14151" t="s">
        <v>18</v>
      </c>
      <c r="B14151" t="s">
        <v>33</v>
      </c>
      <c r="C14151" t="str">
        <f t="shared" si="444"/>
        <v>No cumple</v>
      </c>
      <c r="D14151">
        <v>7559</v>
      </c>
      <c r="E14151" t="s">
        <v>15</v>
      </c>
      <c r="F14151">
        <v>0</v>
      </c>
      <c r="G14151">
        <v>6</v>
      </c>
      <c r="H14151">
        <f t="shared" si="443"/>
        <v>-6</v>
      </c>
    </row>
    <row r="14152" spans="1:8" x14ac:dyDescent="0.2">
      <c r="A14152" t="s">
        <v>18</v>
      </c>
      <c r="B14152" t="s">
        <v>33</v>
      </c>
      <c r="C14152" t="str">
        <f t="shared" si="444"/>
        <v>No cumple</v>
      </c>
      <c r="D14152">
        <v>7567</v>
      </c>
      <c r="E14152" t="s">
        <v>15</v>
      </c>
      <c r="F14152">
        <v>0</v>
      </c>
      <c r="G14152">
        <v>6</v>
      </c>
      <c r="H14152">
        <f t="shared" si="443"/>
        <v>-6</v>
      </c>
    </row>
    <row r="14153" spans="1:8" x14ac:dyDescent="0.2">
      <c r="A14153" t="s">
        <v>7</v>
      </c>
      <c r="B14153" t="s">
        <v>33</v>
      </c>
      <c r="C14153" t="str">
        <f t="shared" si="444"/>
        <v>No cumple</v>
      </c>
      <c r="D14153">
        <v>7622</v>
      </c>
      <c r="E14153" t="s">
        <v>15</v>
      </c>
      <c r="F14153">
        <v>0</v>
      </c>
      <c r="G14153">
        <v>6</v>
      </c>
      <c r="H14153">
        <f t="shared" si="443"/>
        <v>-6</v>
      </c>
    </row>
    <row r="14154" spans="1:8" x14ac:dyDescent="0.2">
      <c r="A14154" t="s">
        <v>7</v>
      </c>
      <c r="B14154" t="s">
        <v>33</v>
      </c>
      <c r="C14154" t="str">
        <f t="shared" si="444"/>
        <v>No cumple</v>
      </c>
      <c r="D14154">
        <v>7631</v>
      </c>
      <c r="E14154" t="s">
        <v>15</v>
      </c>
      <c r="F14154">
        <v>0</v>
      </c>
      <c r="G14154">
        <v>6</v>
      </c>
      <c r="H14154">
        <f t="shared" si="443"/>
        <v>-6</v>
      </c>
    </row>
    <row r="14155" spans="1:8" x14ac:dyDescent="0.2">
      <c r="A14155" t="s">
        <v>7</v>
      </c>
      <c r="B14155" t="s">
        <v>33</v>
      </c>
      <c r="C14155" t="str">
        <f t="shared" si="444"/>
        <v>No cumple</v>
      </c>
      <c r="D14155">
        <v>7045</v>
      </c>
      <c r="E14155" t="s">
        <v>15</v>
      </c>
      <c r="F14155">
        <v>0</v>
      </c>
      <c r="G14155">
        <v>6</v>
      </c>
      <c r="H14155">
        <f t="shared" si="443"/>
        <v>-6</v>
      </c>
    </row>
    <row r="14156" spans="1:8" x14ac:dyDescent="0.2">
      <c r="A14156" t="s">
        <v>7</v>
      </c>
      <c r="B14156" t="s">
        <v>33</v>
      </c>
      <c r="C14156" t="str">
        <f t="shared" si="444"/>
        <v>No cumple</v>
      </c>
      <c r="D14156">
        <v>7046</v>
      </c>
      <c r="E14156" t="s">
        <v>15</v>
      </c>
      <c r="F14156">
        <v>0</v>
      </c>
      <c r="G14156">
        <v>6</v>
      </c>
      <c r="H14156">
        <f t="shared" si="443"/>
        <v>-6</v>
      </c>
    </row>
    <row r="14157" spans="1:8" x14ac:dyDescent="0.2">
      <c r="A14157" t="s">
        <v>7</v>
      </c>
      <c r="B14157" t="s">
        <v>33</v>
      </c>
      <c r="C14157" t="str">
        <f t="shared" si="444"/>
        <v>No cumple</v>
      </c>
      <c r="D14157">
        <v>7085</v>
      </c>
      <c r="E14157" t="s">
        <v>15</v>
      </c>
      <c r="F14157">
        <v>0</v>
      </c>
      <c r="G14157">
        <v>6</v>
      </c>
      <c r="H14157">
        <f t="shared" si="443"/>
        <v>-6</v>
      </c>
    </row>
    <row r="14158" spans="1:8" x14ac:dyDescent="0.2">
      <c r="A14158" t="s">
        <v>7</v>
      </c>
      <c r="B14158" t="s">
        <v>33</v>
      </c>
      <c r="C14158" t="str">
        <f t="shared" si="444"/>
        <v>No cumple</v>
      </c>
      <c r="D14158">
        <v>7633</v>
      </c>
      <c r="E14158" t="s">
        <v>15</v>
      </c>
      <c r="F14158">
        <v>0</v>
      </c>
      <c r="G14158">
        <v>6</v>
      </c>
      <c r="H14158">
        <f t="shared" si="443"/>
        <v>-6</v>
      </c>
    </row>
    <row r="14159" spans="1:8" x14ac:dyDescent="0.2">
      <c r="A14159" t="s">
        <v>7</v>
      </c>
      <c r="B14159" t="s">
        <v>33</v>
      </c>
      <c r="C14159" t="str">
        <f t="shared" si="444"/>
        <v>No cumple</v>
      </c>
      <c r="D14159">
        <v>8001</v>
      </c>
      <c r="E14159" t="s">
        <v>15</v>
      </c>
      <c r="F14159">
        <v>0</v>
      </c>
      <c r="G14159">
        <v>6</v>
      </c>
      <c r="H14159">
        <f t="shared" si="443"/>
        <v>-6</v>
      </c>
    </row>
    <row r="14160" spans="1:8" x14ac:dyDescent="0.2">
      <c r="A14160" t="s">
        <v>7</v>
      </c>
      <c r="B14160" t="s">
        <v>33</v>
      </c>
      <c r="C14160" t="str">
        <f t="shared" si="444"/>
        <v>No cumple</v>
      </c>
      <c r="D14160">
        <v>9424</v>
      </c>
      <c r="E14160" t="s">
        <v>15</v>
      </c>
      <c r="F14160">
        <v>0</v>
      </c>
      <c r="G14160">
        <v>6</v>
      </c>
      <c r="H14160">
        <f t="shared" si="443"/>
        <v>-6</v>
      </c>
    </row>
    <row r="14161" spans="1:8" x14ac:dyDescent="0.2">
      <c r="A14161" t="s">
        <v>7</v>
      </c>
      <c r="B14161" t="s">
        <v>33</v>
      </c>
      <c r="C14161" t="str">
        <f t="shared" si="444"/>
        <v>No cumple</v>
      </c>
      <c r="D14161">
        <v>9543</v>
      </c>
      <c r="E14161" t="s">
        <v>15</v>
      </c>
      <c r="F14161">
        <v>0</v>
      </c>
      <c r="G14161">
        <v>6</v>
      </c>
      <c r="H14161">
        <f t="shared" si="443"/>
        <v>-6</v>
      </c>
    </row>
    <row r="14162" spans="1:8" x14ac:dyDescent="0.2">
      <c r="A14162" t="s">
        <v>18</v>
      </c>
      <c r="B14162" t="s">
        <v>33</v>
      </c>
      <c r="C14162" t="str">
        <f t="shared" si="444"/>
        <v>No cumple</v>
      </c>
      <c r="D14162">
        <v>9779</v>
      </c>
      <c r="E14162" t="s">
        <v>16</v>
      </c>
      <c r="F14162">
        <v>0</v>
      </c>
      <c r="G14162">
        <v>6</v>
      </c>
      <c r="H14162">
        <f t="shared" si="443"/>
        <v>-6</v>
      </c>
    </row>
    <row r="14163" spans="1:8" x14ac:dyDescent="0.2">
      <c r="A14163" t="s">
        <v>7</v>
      </c>
      <c r="B14163" t="s">
        <v>33</v>
      </c>
      <c r="C14163" t="str">
        <f t="shared" si="444"/>
        <v>No cumple</v>
      </c>
      <c r="D14163">
        <v>2849</v>
      </c>
      <c r="E14163" t="s">
        <v>15</v>
      </c>
      <c r="F14163">
        <v>0</v>
      </c>
      <c r="G14163">
        <v>6</v>
      </c>
      <c r="H14163">
        <f t="shared" si="443"/>
        <v>-6</v>
      </c>
    </row>
    <row r="14164" spans="1:8" x14ac:dyDescent="0.2">
      <c r="A14164" t="s">
        <v>18</v>
      </c>
      <c r="B14164" t="s">
        <v>33</v>
      </c>
      <c r="C14164" t="str">
        <f t="shared" si="444"/>
        <v>No cumple</v>
      </c>
      <c r="D14164">
        <v>9529</v>
      </c>
      <c r="E14164" t="s">
        <v>16</v>
      </c>
      <c r="F14164">
        <v>0</v>
      </c>
      <c r="G14164">
        <v>6</v>
      </c>
      <c r="H14164">
        <f t="shared" si="443"/>
        <v>-6</v>
      </c>
    </row>
    <row r="14165" spans="1:8" x14ac:dyDescent="0.2">
      <c r="A14165" t="s">
        <v>18</v>
      </c>
      <c r="B14165" t="s">
        <v>33</v>
      </c>
      <c r="C14165" t="str">
        <f t="shared" si="444"/>
        <v>No cumple</v>
      </c>
      <c r="D14165">
        <v>9445</v>
      </c>
      <c r="E14165" t="s">
        <v>16</v>
      </c>
      <c r="F14165">
        <v>0</v>
      </c>
      <c r="G14165">
        <v>6</v>
      </c>
      <c r="H14165">
        <f t="shared" si="443"/>
        <v>-6</v>
      </c>
    </row>
    <row r="14166" spans="1:8" x14ac:dyDescent="0.2">
      <c r="A14166" t="s">
        <v>7</v>
      </c>
      <c r="B14166" t="s">
        <v>33</v>
      </c>
      <c r="C14166" t="str">
        <f t="shared" si="444"/>
        <v>No cumple</v>
      </c>
      <c r="D14166">
        <v>4058</v>
      </c>
      <c r="E14166" t="s">
        <v>15</v>
      </c>
      <c r="F14166">
        <v>0</v>
      </c>
      <c r="G14166">
        <v>6</v>
      </c>
      <c r="H14166">
        <f t="shared" si="443"/>
        <v>-6</v>
      </c>
    </row>
    <row r="14167" spans="1:8" x14ac:dyDescent="0.2">
      <c r="A14167" t="s">
        <v>7</v>
      </c>
      <c r="B14167" t="s">
        <v>34</v>
      </c>
      <c r="C14167" t="str">
        <f t="shared" si="444"/>
        <v>Cumple</v>
      </c>
      <c r="D14167">
        <v>9214</v>
      </c>
      <c r="E14167" t="s">
        <v>8</v>
      </c>
      <c r="F14167">
        <v>26</v>
      </c>
      <c r="G14167">
        <v>8</v>
      </c>
      <c r="H14167">
        <f>F14167-G14167</f>
        <v>18</v>
      </c>
    </row>
    <row r="14168" spans="1:8" x14ac:dyDescent="0.2">
      <c r="A14168" t="s">
        <v>7</v>
      </c>
      <c r="B14168" t="s">
        <v>34</v>
      </c>
      <c r="C14168" t="str">
        <f t="shared" si="444"/>
        <v>Cumple</v>
      </c>
      <c r="D14168">
        <v>302</v>
      </c>
      <c r="E14168" t="s">
        <v>8</v>
      </c>
      <c r="F14168">
        <v>18</v>
      </c>
      <c r="G14168">
        <v>8</v>
      </c>
      <c r="H14168">
        <f t="shared" ref="H14168:H14231" si="445">F14168-G14168</f>
        <v>10</v>
      </c>
    </row>
    <row r="14169" spans="1:8" x14ac:dyDescent="0.2">
      <c r="A14169" t="s">
        <v>7</v>
      </c>
      <c r="B14169" t="s">
        <v>34</v>
      </c>
      <c r="C14169" t="str">
        <f t="shared" si="444"/>
        <v>Cumple</v>
      </c>
      <c r="D14169">
        <v>411</v>
      </c>
      <c r="E14169" t="s">
        <v>8</v>
      </c>
      <c r="F14169">
        <v>18</v>
      </c>
      <c r="G14169">
        <v>8</v>
      </c>
      <c r="H14169">
        <f t="shared" si="445"/>
        <v>10</v>
      </c>
    </row>
    <row r="14170" spans="1:8" x14ac:dyDescent="0.2">
      <c r="A14170" t="s">
        <v>7</v>
      </c>
      <c r="B14170" t="s">
        <v>34</v>
      </c>
      <c r="C14170" t="str">
        <f t="shared" si="444"/>
        <v>Cumple</v>
      </c>
      <c r="D14170">
        <v>2020</v>
      </c>
      <c r="E14170" t="s">
        <v>8</v>
      </c>
      <c r="F14170">
        <v>16</v>
      </c>
      <c r="G14170">
        <v>8</v>
      </c>
      <c r="H14170">
        <f t="shared" si="445"/>
        <v>8</v>
      </c>
    </row>
    <row r="14171" spans="1:8" x14ac:dyDescent="0.2">
      <c r="A14171" t="s">
        <v>7</v>
      </c>
      <c r="B14171" t="s">
        <v>34</v>
      </c>
      <c r="C14171" t="str">
        <f t="shared" si="444"/>
        <v>Cumple</v>
      </c>
      <c r="D14171">
        <v>2168</v>
      </c>
      <c r="E14171" t="s">
        <v>8</v>
      </c>
      <c r="F14171">
        <v>15</v>
      </c>
      <c r="G14171">
        <v>8</v>
      </c>
      <c r="H14171">
        <f t="shared" si="445"/>
        <v>7</v>
      </c>
    </row>
    <row r="14172" spans="1:8" x14ac:dyDescent="0.2">
      <c r="A14172" t="s">
        <v>7</v>
      </c>
      <c r="B14172" t="s">
        <v>34</v>
      </c>
      <c r="C14172" t="str">
        <f t="shared" si="444"/>
        <v>Cumple</v>
      </c>
      <c r="D14172">
        <v>9964</v>
      </c>
      <c r="E14172" t="s">
        <v>8</v>
      </c>
      <c r="F14172">
        <v>15</v>
      </c>
      <c r="G14172">
        <v>8</v>
      </c>
      <c r="H14172">
        <f t="shared" si="445"/>
        <v>7</v>
      </c>
    </row>
    <row r="14173" spans="1:8" x14ac:dyDescent="0.2">
      <c r="A14173" t="s">
        <v>7</v>
      </c>
      <c r="B14173" t="s">
        <v>34</v>
      </c>
      <c r="C14173" t="str">
        <f t="shared" si="444"/>
        <v>Cumple</v>
      </c>
      <c r="D14173">
        <v>2394</v>
      </c>
      <c r="E14173" t="s">
        <v>8</v>
      </c>
      <c r="F14173">
        <v>14</v>
      </c>
      <c r="G14173">
        <v>8</v>
      </c>
      <c r="H14173">
        <f t="shared" si="445"/>
        <v>6</v>
      </c>
    </row>
    <row r="14174" spans="1:8" x14ac:dyDescent="0.2">
      <c r="A14174" t="s">
        <v>7</v>
      </c>
      <c r="B14174" t="s">
        <v>34</v>
      </c>
      <c r="C14174" t="str">
        <f t="shared" si="444"/>
        <v>Cumple</v>
      </c>
      <c r="D14174">
        <v>2446</v>
      </c>
      <c r="E14174" t="s">
        <v>8</v>
      </c>
      <c r="F14174">
        <v>14</v>
      </c>
      <c r="G14174">
        <v>8</v>
      </c>
      <c r="H14174">
        <f t="shared" si="445"/>
        <v>6</v>
      </c>
    </row>
    <row r="14175" spans="1:8" x14ac:dyDescent="0.2">
      <c r="A14175" t="s">
        <v>7</v>
      </c>
      <c r="B14175" t="s">
        <v>34</v>
      </c>
      <c r="C14175" t="str">
        <f t="shared" si="444"/>
        <v>Cumple</v>
      </c>
      <c r="D14175">
        <v>412</v>
      </c>
      <c r="E14175" t="s">
        <v>8</v>
      </c>
      <c r="F14175">
        <v>13</v>
      </c>
      <c r="G14175">
        <v>8</v>
      </c>
      <c r="H14175">
        <f t="shared" si="445"/>
        <v>5</v>
      </c>
    </row>
    <row r="14176" spans="1:8" x14ac:dyDescent="0.2">
      <c r="A14176" t="s">
        <v>7</v>
      </c>
      <c r="B14176" t="s">
        <v>34</v>
      </c>
      <c r="C14176" t="str">
        <f t="shared" si="444"/>
        <v>Cumple</v>
      </c>
      <c r="D14176">
        <v>643</v>
      </c>
      <c r="E14176" t="s">
        <v>8</v>
      </c>
      <c r="F14176">
        <v>13</v>
      </c>
      <c r="G14176">
        <v>8</v>
      </c>
      <c r="H14176">
        <f t="shared" si="445"/>
        <v>5</v>
      </c>
    </row>
    <row r="14177" spans="1:8" x14ac:dyDescent="0.2">
      <c r="A14177" t="s">
        <v>7</v>
      </c>
      <c r="B14177" t="s">
        <v>34</v>
      </c>
      <c r="C14177" t="str">
        <f t="shared" si="444"/>
        <v>Cumple</v>
      </c>
      <c r="D14177">
        <v>2349</v>
      </c>
      <c r="E14177" t="s">
        <v>8</v>
      </c>
      <c r="F14177">
        <v>13</v>
      </c>
      <c r="G14177">
        <v>8</v>
      </c>
      <c r="H14177">
        <f t="shared" si="445"/>
        <v>5</v>
      </c>
    </row>
    <row r="14178" spans="1:8" x14ac:dyDescent="0.2">
      <c r="A14178" t="s">
        <v>7</v>
      </c>
      <c r="B14178" t="s">
        <v>34</v>
      </c>
      <c r="C14178" t="str">
        <f t="shared" si="444"/>
        <v>Cumple</v>
      </c>
      <c r="D14178">
        <v>3848</v>
      </c>
      <c r="E14178" t="s">
        <v>8</v>
      </c>
      <c r="F14178">
        <v>13</v>
      </c>
      <c r="G14178">
        <v>8</v>
      </c>
      <c r="H14178">
        <f t="shared" si="445"/>
        <v>5</v>
      </c>
    </row>
    <row r="14179" spans="1:8" x14ac:dyDescent="0.2">
      <c r="A14179" t="s">
        <v>7</v>
      </c>
      <c r="B14179" t="s">
        <v>34</v>
      </c>
      <c r="C14179" t="str">
        <f t="shared" si="444"/>
        <v>Cumple</v>
      </c>
      <c r="D14179">
        <v>9211</v>
      </c>
      <c r="E14179" t="s">
        <v>8</v>
      </c>
      <c r="F14179">
        <v>13</v>
      </c>
      <c r="G14179">
        <v>8</v>
      </c>
      <c r="H14179">
        <f t="shared" si="445"/>
        <v>5</v>
      </c>
    </row>
    <row r="14180" spans="1:8" x14ac:dyDescent="0.2">
      <c r="A14180" t="s">
        <v>7</v>
      </c>
      <c r="B14180" t="s">
        <v>34</v>
      </c>
      <c r="C14180" t="str">
        <f t="shared" si="444"/>
        <v>Cumple</v>
      </c>
      <c r="D14180">
        <v>722</v>
      </c>
      <c r="E14180" t="s">
        <v>8</v>
      </c>
      <c r="F14180">
        <v>12</v>
      </c>
      <c r="G14180">
        <v>8</v>
      </c>
      <c r="H14180">
        <f t="shared" si="445"/>
        <v>4</v>
      </c>
    </row>
    <row r="14181" spans="1:8" x14ac:dyDescent="0.2">
      <c r="A14181" t="s">
        <v>7</v>
      </c>
      <c r="B14181" t="s">
        <v>34</v>
      </c>
      <c r="C14181" t="str">
        <f t="shared" si="444"/>
        <v>Cumple</v>
      </c>
      <c r="D14181">
        <v>2278</v>
      </c>
      <c r="E14181" t="s">
        <v>8</v>
      </c>
      <c r="F14181">
        <v>12</v>
      </c>
      <c r="G14181">
        <v>8</v>
      </c>
      <c r="H14181">
        <f t="shared" si="445"/>
        <v>4</v>
      </c>
    </row>
    <row r="14182" spans="1:8" x14ac:dyDescent="0.2">
      <c r="A14182" t="s">
        <v>7</v>
      </c>
      <c r="B14182" t="s">
        <v>34</v>
      </c>
      <c r="C14182" t="str">
        <f t="shared" si="444"/>
        <v>Cumple</v>
      </c>
      <c r="D14182">
        <v>9883</v>
      </c>
      <c r="E14182" t="s">
        <v>8</v>
      </c>
      <c r="F14182">
        <v>12</v>
      </c>
      <c r="G14182">
        <v>8</v>
      </c>
      <c r="H14182">
        <f t="shared" si="445"/>
        <v>4</v>
      </c>
    </row>
    <row r="14183" spans="1:8" x14ac:dyDescent="0.2">
      <c r="A14183" t="s">
        <v>7</v>
      </c>
      <c r="B14183" t="s">
        <v>34</v>
      </c>
      <c r="C14183" t="str">
        <f t="shared" si="444"/>
        <v>Cumple</v>
      </c>
      <c r="D14183">
        <v>507</v>
      </c>
      <c r="E14183" t="s">
        <v>8</v>
      </c>
      <c r="F14183">
        <v>11</v>
      </c>
      <c r="G14183">
        <v>8</v>
      </c>
      <c r="H14183">
        <f t="shared" si="445"/>
        <v>3</v>
      </c>
    </row>
    <row r="14184" spans="1:8" x14ac:dyDescent="0.2">
      <c r="A14184" t="s">
        <v>7</v>
      </c>
      <c r="B14184" t="s">
        <v>34</v>
      </c>
      <c r="C14184" t="str">
        <f t="shared" si="444"/>
        <v>Cumple</v>
      </c>
      <c r="D14184">
        <v>596</v>
      </c>
      <c r="E14184" t="s">
        <v>8</v>
      </c>
      <c r="F14184">
        <v>11</v>
      </c>
      <c r="G14184">
        <v>8</v>
      </c>
      <c r="H14184">
        <f t="shared" si="445"/>
        <v>3</v>
      </c>
    </row>
    <row r="14185" spans="1:8" x14ac:dyDescent="0.2">
      <c r="A14185" t="s">
        <v>7</v>
      </c>
      <c r="B14185" t="s">
        <v>34</v>
      </c>
      <c r="C14185" t="str">
        <f t="shared" si="444"/>
        <v>Cumple</v>
      </c>
      <c r="D14185">
        <v>1799</v>
      </c>
      <c r="E14185" t="s">
        <v>8</v>
      </c>
      <c r="F14185">
        <v>11</v>
      </c>
      <c r="G14185">
        <v>8</v>
      </c>
      <c r="H14185">
        <f t="shared" si="445"/>
        <v>3</v>
      </c>
    </row>
    <row r="14186" spans="1:8" x14ac:dyDescent="0.2">
      <c r="A14186" t="s">
        <v>7</v>
      </c>
      <c r="B14186" t="s">
        <v>34</v>
      </c>
      <c r="C14186" t="str">
        <f t="shared" si="444"/>
        <v>Cumple</v>
      </c>
      <c r="D14186">
        <v>2246</v>
      </c>
      <c r="E14186" t="s">
        <v>8</v>
      </c>
      <c r="F14186">
        <v>11</v>
      </c>
      <c r="G14186">
        <v>8</v>
      </c>
      <c r="H14186">
        <f t="shared" si="445"/>
        <v>3</v>
      </c>
    </row>
    <row r="14187" spans="1:8" x14ac:dyDescent="0.2">
      <c r="A14187" t="s">
        <v>7</v>
      </c>
      <c r="B14187" t="s">
        <v>34</v>
      </c>
      <c r="C14187" t="str">
        <f t="shared" si="444"/>
        <v>Cumple</v>
      </c>
      <c r="D14187">
        <v>2520</v>
      </c>
      <c r="E14187" t="s">
        <v>8</v>
      </c>
      <c r="F14187">
        <v>11</v>
      </c>
      <c r="G14187">
        <v>8</v>
      </c>
      <c r="H14187">
        <f t="shared" si="445"/>
        <v>3</v>
      </c>
    </row>
    <row r="14188" spans="1:8" x14ac:dyDescent="0.2">
      <c r="A14188" t="s">
        <v>7</v>
      </c>
      <c r="B14188" t="s">
        <v>34</v>
      </c>
      <c r="C14188" t="str">
        <f t="shared" si="444"/>
        <v>Cumple</v>
      </c>
      <c r="D14188">
        <v>3532</v>
      </c>
      <c r="E14188" t="s">
        <v>8</v>
      </c>
      <c r="F14188">
        <v>11</v>
      </c>
      <c r="G14188">
        <v>8</v>
      </c>
      <c r="H14188">
        <f t="shared" si="445"/>
        <v>3</v>
      </c>
    </row>
    <row r="14189" spans="1:8" x14ac:dyDescent="0.2">
      <c r="A14189" t="s">
        <v>7</v>
      </c>
      <c r="B14189" t="s">
        <v>34</v>
      </c>
      <c r="C14189" t="str">
        <f t="shared" si="444"/>
        <v>Cumple</v>
      </c>
      <c r="D14189">
        <v>467</v>
      </c>
      <c r="E14189" t="s">
        <v>8</v>
      </c>
      <c r="F14189">
        <v>10</v>
      </c>
      <c r="G14189">
        <v>8</v>
      </c>
      <c r="H14189">
        <f t="shared" si="445"/>
        <v>2</v>
      </c>
    </row>
    <row r="14190" spans="1:8" x14ac:dyDescent="0.2">
      <c r="A14190" t="s">
        <v>7</v>
      </c>
      <c r="B14190" t="s">
        <v>34</v>
      </c>
      <c r="C14190" t="str">
        <f t="shared" si="444"/>
        <v>Cumple</v>
      </c>
      <c r="D14190">
        <v>2220</v>
      </c>
      <c r="E14190" t="s">
        <v>8</v>
      </c>
      <c r="F14190">
        <v>10</v>
      </c>
      <c r="G14190">
        <v>8</v>
      </c>
      <c r="H14190">
        <f t="shared" si="445"/>
        <v>2</v>
      </c>
    </row>
    <row r="14191" spans="1:8" x14ac:dyDescent="0.2">
      <c r="A14191" t="s">
        <v>7</v>
      </c>
      <c r="B14191" t="s">
        <v>34</v>
      </c>
      <c r="C14191" t="str">
        <f t="shared" si="444"/>
        <v>Cumple</v>
      </c>
      <c r="D14191">
        <v>2422</v>
      </c>
      <c r="E14191" t="s">
        <v>8</v>
      </c>
      <c r="F14191">
        <v>10</v>
      </c>
      <c r="G14191">
        <v>8</v>
      </c>
      <c r="H14191">
        <f t="shared" si="445"/>
        <v>2</v>
      </c>
    </row>
    <row r="14192" spans="1:8" x14ac:dyDescent="0.2">
      <c r="A14192" t="s">
        <v>7</v>
      </c>
      <c r="B14192" t="s">
        <v>34</v>
      </c>
      <c r="C14192" t="str">
        <f t="shared" si="444"/>
        <v>Cumple</v>
      </c>
      <c r="D14192">
        <v>3775</v>
      </c>
      <c r="E14192" t="s">
        <v>8</v>
      </c>
      <c r="F14192">
        <v>10</v>
      </c>
      <c r="G14192">
        <v>8</v>
      </c>
      <c r="H14192">
        <f t="shared" si="445"/>
        <v>2</v>
      </c>
    </row>
    <row r="14193" spans="1:8" x14ac:dyDescent="0.2">
      <c r="A14193" t="s">
        <v>7</v>
      </c>
      <c r="B14193" t="s">
        <v>34</v>
      </c>
      <c r="C14193" t="str">
        <f t="shared" si="444"/>
        <v>Cumple</v>
      </c>
      <c r="D14193">
        <v>3978</v>
      </c>
      <c r="E14193" t="s">
        <v>8</v>
      </c>
      <c r="F14193">
        <v>10</v>
      </c>
      <c r="G14193">
        <v>8</v>
      </c>
      <c r="H14193">
        <f t="shared" si="445"/>
        <v>2</v>
      </c>
    </row>
    <row r="14194" spans="1:8" x14ac:dyDescent="0.2">
      <c r="A14194" t="s">
        <v>7</v>
      </c>
      <c r="B14194" t="s">
        <v>34</v>
      </c>
      <c r="C14194" t="str">
        <f t="shared" si="444"/>
        <v>Cumple</v>
      </c>
      <c r="D14194">
        <v>423</v>
      </c>
      <c r="E14194" t="s">
        <v>8</v>
      </c>
      <c r="F14194">
        <v>9</v>
      </c>
      <c r="G14194">
        <v>8</v>
      </c>
      <c r="H14194">
        <f t="shared" si="445"/>
        <v>1</v>
      </c>
    </row>
    <row r="14195" spans="1:8" x14ac:dyDescent="0.2">
      <c r="A14195" t="s">
        <v>7</v>
      </c>
      <c r="B14195" t="s">
        <v>34</v>
      </c>
      <c r="C14195" t="str">
        <f t="shared" si="444"/>
        <v>Cumple</v>
      </c>
      <c r="D14195">
        <v>460</v>
      </c>
      <c r="E14195" t="s">
        <v>8</v>
      </c>
      <c r="F14195">
        <v>9</v>
      </c>
      <c r="G14195">
        <v>8</v>
      </c>
      <c r="H14195">
        <f t="shared" si="445"/>
        <v>1</v>
      </c>
    </row>
    <row r="14196" spans="1:8" x14ac:dyDescent="0.2">
      <c r="A14196" t="s">
        <v>7</v>
      </c>
      <c r="B14196" t="s">
        <v>34</v>
      </c>
      <c r="C14196" t="str">
        <f t="shared" si="444"/>
        <v>Cumple</v>
      </c>
      <c r="D14196">
        <v>674</v>
      </c>
      <c r="E14196" t="s">
        <v>8</v>
      </c>
      <c r="F14196">
        <v>9</v>
      </c>
      <c r="G14196">
        <v>8</v>
      </c>
      <c r="H14196">
        <f t="shared" si="445"/>
        <v>1</v>
      </c>
    </row>
    <row r="14197" spans="1:8" x14ac:dyDescent="0.2">
      <c r="A14197" t="s">
        <v>7</v>
      </c>
      <c r="B14197" t="s">
        <v>34</v>
      </c>
      <c r="C14197" t="str">
        <f t="shared" si="444"/>
        <v>Cumple</v>
      </c>
      <c r="D14197">
        <v>1915</v>
      </c>
      <c r="E14197" t="s">
        <v>8</v>
      </c>
      <c r="F14197">
        <v>9</v>
      </c>
      <c r="G14197">
        <v>8</v>
      </c>
      <c r="H14197">
        <f t="shared" si="445"/>
        <v>1</v>
      </c>
    </row>
    <row r="14198" spans="1:8" x14ac:dyDescent="0.2">
      <c r="A14198" t="s">
        <v>7</v>
      </c>
      <c r="B14198" t="s">
        <v>34</v>
      </c>
      <c r="C14198" t="str">
        <f t="shared" si="444"/>
        <v>Cumple</v>
      </c>
      <c r="D14198">
        <v>2189</v>
      </c>
      <c r="E14198" t="s">
        <v>8</v>
      </c>
      <c r="F14198">
        <v>9</v>
      </c>
      <c r="G14198">
        <v>8</v>
      </c>
      <c r="H14198">
        <f t="shared" si="445"/>
        <v>1</v>
      </c>
    </row>
    <row r="14199" spans="1:8" x14ac:dyDescent="0.2">
      <c r="A14199" t="s">
        <v>7</v>
      </c>
      <c r="B14199" t="s">
        <v>34</v>
      </c>
      <c r="C14199" t="str">
        <f t="shared" si="444"/>
        <v>Cumple</v>
      </c>
      <c r="D14199">
        <v>2410</v>
      </c>
      <c r="E14199" t="s">
        <v>8</v>
      </c>
      <c r="F14199">
        <v>9</v>
      </c>
      <c r="G14199">
        <v>8</v>
      </c>
      <c r="H14199">
        <f t="shared" si="445"/>
        <v>1</v>
      </c>
    </row>
    <row r="14200" spans="1:8" x14ac:dyDescent="0.2">
      <c r="A14200" t="s">
        <v>7</v>
      </c>
      <c r="B14200" t="s">
        <v>34</v>
      </c>
      <c r="C14200" t="str">
        <f t="shared" si="444"/>
        <v>Cumple</v>
      </c>
      <c r="D14200">
        <v>5032</v>
      </c>
      <c r="E14200" t="s">
        <v>8</v>
      </c>
      <c r="F14200">
        <v>9</v>
      </c>
      <c r="G14200">
        <v>8</v>
      </c>
      <c r="H14200">
        <f t="shared" si="445"/>
        <v>1</v>
      </c>
    </row>
    <row r="14201" spans="1:8" x14ac:dyDescent="0.2">
      <c r="A14201" t="s">
        <v>7</v>
      </c>
      <c r="B14201" t="s">
        <v>34</v>
      </c>
      <c r="C14201" t="str">
        <f t="shared" si="444"/>
        <v>Cumple</v>
      </c>
      <c r="D14201">
        <v>9896</v>
      </c>
      <c r="E14201" t="s">
        <v>8</v>
      </c>
      <c r="F14201">
        <v>9</v>
      </c>
      <c r="G14201">
        <v>8</v>
      </c>
      <c r="H14201">
        <f t="shared" si="445"/>
        <v>1</v>
      </c>
    </row>
    <row r="14202" spans="1:8" x14ac:dyDescent="0.2">
      <c r="A14202" t="s">
        <v>7</v>
      </c>
      <c r="B14202" t="s">
        <v>34</v>
      </c>
      <c r="C14202" t="str">
        <f t="shared" si="444"/>
        <v>Cumple</v>
      </c>
      <c r="D14202">
        <v>553</v>
      </c>
      <c r="E14202" t="s">
        <v>8</v>
      </c>
      <c r="F14202">
        <v>8</v>
      </c>
      <c r="G14202">
        <v>8</v>
      </c>
      <c r="H14202">
        <f t="shared" si="445"/>
        <v>0</v>
      </c>
    </row>
    <row r="14203" spans="1:8" x14ac:dyDescent="0.2">
      <c r="A14203" t="s">
        <v>7</v>
      </c>
      <c r="B14203" t="s">
        <v>34</v>
      </c>
      <c r="C14203" t="str">
        <f t="shared" si="444"/>
        <v>Cumple</v>
      </c>
      <c r="D14203">
        <v>561</v>
      </c>
      <c r="E14203" t="s">
        <v>8</v>
      </c>
      <c r="F14203">
        <v>8</v>
      </c>
      <c r="G14203">
        <v>8</v>
      </c>
      <c r="H14203">
        <f t="shared" si="445"/>
        <v>0</v>
      </c>
    </row>
    <row r="14204" spans="1:8" x14ac:dyDescent="0.2">
      <c r="A14204" t="s">
        <v>7</v>
      </c>
      <c r="B14204" t="s">
        <v>34</v>
      </c>
      <c r="C14204" t="str">
        <f t="shared" si="444"/>
        <v>Cumple</v>
      </c>
      <c r="D14204">
        <v>633</v>
      </c>
      <c r="E14204" t="s">
        <v>8</v>
      </c>
      <c r="F14204">
        <v>8</v>
      </c>
      <c r="G14204">
        <v>8</v>
      </c>
      <c r="H14204">
        <f t="shared" si="445"/>
        <v>0</v>
      </c>
    </row>
    <row r="14205" spans="1:8" x14ac:dyDescent="0.2">
      <c r="A14205" t="s">
        <v>7</v>
      </c>
      <c r="B14205" t="s">
        <v>34</v>
      </c>
      <c r="C14205" t="str">
        <f t="shared" si="444"/>
        <v>Cumple</v>
      </c>
      <c r="D14205">
        <v>660</v>
      </c>
      <c r="E14205" t="s">
        <v>8</v>
      </c>
      <c r="F14205">
        <v>8</v>
      </c>
      <c r="G14205">
        <v>8</v>
      </c>
      <c r="H14205">
        <f t="shared" si="445"/>
        <v>0</v>
      </c>
    </row>
    <row r="14206" spans="1:8" x14ac:dyDescent="0.2">
      <c r="A14206" t="s">
        <v>7</v>
      </c>
      <c r="B14206" t="s">
        <v>34</v>
      </c>
      <c r="C14206" t="str">
        <f t="shared" si="444"/>
        <v>Cumple</v>
      </c>
      <c r="D14206">
        <v>1868</v>
      </c>
      <c r="E14206" t="s">
        <v>8</v>
      </c>
      <c r="F14206">
        <v>8</v>
      </c>
      <c r="G14206">
        <v>8</v>
      </c>
      <c r="H14206">
        <f t="shared" si="445"/>
        <v>0</v>
      </c>
    </row>
    <row r="14207" spans="1:8" x14ac:dyDescent="0.2">
      <c r="A14207" t="s">
        <v>7</v>
      </c>
      <c r="B14207" t="s">
        <v>34</v>
      </c>
      <c r="C14207" t="str">
        <f t="shared" si="444"/>
        <v>Cumple</v>
      </c>
      <c r="D14207">
        <v>2416</v>
      </c>
      <c r="E14207" t="s">
        <v>8</v>
      </c>
      <c r="F14207">
        <v>8</v>
      </c>
      <c r="G14207">
        <v>8</v>
      </c>
      <c r="H14207">
        <f t="shared" si="445"/>
        <v>0</v>
      </c>
    </row>
    <row r="14208" spans="1:8" x14ac:dyDescent="0.2">
      <c r="A14208" t="s">
        <v>7</v>
      </c>
      <c r="B14208" t="s">
        <v>34</v>
      </c>
      <c r="C14208" t="str">
        <f t="shared" si="444"/>
        <v>Cumple</v>
      </c>
      <c r="D14208">
        <v>3598</v>
      </c>
      <c r="E14208" t="s">
        <v>8</v>
      </c>
      <c r="F14208">
        <v>8</v>
      </c>
      <c r="G14208">
        <v>8</v>
      </c>
      <c r="H14208">
        <f t="shared" si="445"/>
        <v>0</v>
      </c>
    </row>
    <row r="14209" spans="1:8" x14ac:dyDescent="0.2">
      <c r="A14209" t="s">
        <v>7</v>
      </c>
      <c r="B14209" t="s">
        <v>34</v>
      </c>
      <c r="C14209" t="str">
        <f t="shared" si="444"/>
        <v>Cumple</v>
      </c>
      <c r="D14209">
        <v>3966</v>
      </c>
      <c r="E14209" t="s">
        <v>8</v>
      </c>
      <c r="F14209">
        <v>8</v>
      </c>
      <c r="G14209">
        <v>8</v>
      </c>
      <c r="H14209">
        <f t="shared" si="445"/>
        <v>0</v>
      </c>
    </row>
    <row r="14210" spans="1:8" x14ac:dyDescent="0.2">
      <c r="A14210" t="s">
        <v>7</v>
      </c>
      <c r="B14210" t="s">
        <v>34</v>
      </c>
      <c r="C14210" t="str">
        <f t="shared" si="444"/>
        <v>Cumple</v>
      </c>
      <c r="D14210">
        <v>9112</v>
      </c>
      <c r="E14210" t="s">
        <v>8</v>
      </c>
      <c r="F14210">
        <v>8</v>
      </c>
      <c r="G14210">
        <v>8</v>
      </c>
      <c r="H14210">
        <f t="shared" si="445"/>
        <v>0</v>
      </c>
    </row>
    <row r="14211" spans="1:8" x14ac:dyDescent="0.2">
      <c r="A14211" t="s">
        <v>7</v>
      </c>
      <c r="B14211" t="s">
        <v>34</v>
      </c>
      <c r="C14211" t="str">
        <f t="shared" si="444"/>
        <v>Cumple</v>
      </c>
      <c r="D14211">
        <v>9204</v>
      </c>
      <c r="E14211" t="s">
        <v>8</v>
      </c>
      <c r="F14211">
        <v>8</v>
      </c>
      <c r="G14211">
        <v>8</v>
      </c>
      <c r="H14211">
        <f t="shared" si="445"/>
        <v>0</v>
      </c>
    </row>
    <row r="14212" spans="1:8" x14ac:dyDescent="0.2">
      <c r="A14212" t="s">
        <v>7</v>
      </c>
      <c r="B14212" t="s">
        <v>34</v>
      </c>
      <c r="C14212" t="str">
        <f t="shared" si="444"/>
        <v>Cumple</v>
      </c>
      <c r="D14212">
        <v>9292</v>
      </c>
      <c r="E14212" t="s">
        <v>8</v>
      </c>
      <c r="F14212">
        <v>8</v>
      </c>
      <c r="G14212">
        <v>8</v>
      </c>
      <c r="H14212">
        <f t="shared" si="445"/>
        <v>0</v>
      </c>
    </row>
    <row r="14213" spans="1:8" x14ac:dyDescent="0.2">
      <c r="A14213" t="s">
        <v>7</v>
      </c>
      <c r="B14213" t="s">
        <v>34</v>
      </c>
      <c r="C14213" t="str">
        <f t="shared" ref="C14213:C14276" si="446">IF(H14213&gt;=0,"Cumple","No cumple")</f>
        <v>Cumple</v>
      </c>
      <c r="D14213">
        <v>9922</v>
      </c>
      <c r="E14213" t="s">
        <v>8</v>
      </c>
      <c r="F14213">
        <v>8</v>
      </c>
      <c r="G14213">
        <v>8</v>
      </c>
      <c r="H14213">
        <f t="shared" si="445"/>
        <v>0</v>
      </c>
    </row>
    <row r="14214" spans="1:8" x14ac:dyDescent="0.2">
      <c r="A14214" t="s">
        <v>7</v>
      </c>
      <c r="B14214" t="s">
        <v>34</v>
      </c>
      <c r="C14214" t="str">
        <f t="shared" si="446"/>
        <v>Cumple</v>
      </c>
      <c r="D14214">
        <v>2776</v>
      </c>
      <c r="E14214" t="s">
        <v>8</v>
      </c>
      <c r="F14214">
        <v>8</v>
      </c>
      <c r="G14214">
        <v>8</v>
      </c>
      <c r="H14214">
        <f t="shared" si="445"/>
        <v>0</v>
      </c>
    </row>
    <row r="14215" spans="1:8" x14ac:dyDescent="0.2">
      <c r="A14215" t="s">
        <v>7</v>
      </c>
      <c r="B14215" t="s">
        <v>34</v>
      </c>
      <c r="C14215" t="str">
        <f t="shared" si="446"/>
        <v>No cumple</v>
      </c>
      <c r="D14215">
        <v>380</v>
      </c>
      <c r="E14215" t="s">
        <v>8</v>
      </c>
      <c r="F14215">
        <v>7</v>
      </c>
      <c r="G14215">
        <v>8</v>
      </c>
      <c r="H14215">
        <f t="shared" si="445"/>
        <v>-1</v>
      </c>
    </row>
    <row r="14216" spans="1:8" x14ac:dyDescent="0.2">
      <c r="A14216" t="s">
        <v>7</v>
      </c>
      <c r="B14216" t="s">
        <v>34</v>
      </c>
      <c r="C14216" t="str">
        <f t="shared" si="446"/>
        <v>No cumple</v>
      </c>
      <c r="D14216">
        <v>688</v>
      </c>
      <c r="E14216" t="s">
        <v>8</v>
      </c>
      <c r="F14216">
        <v>7</v>
      </c>
      <c r="G14216">
        <v>8</v>
      </c>
      <c r="H14216">
        <f t="shared" si="445"/>
        <v>-1</v>
      </c>
    </row>
    <row r="14217" spans="1:8" x14ac:dyDescent="0.2">
      <c r="A14217" t="s">
        <v>7</v>
      </c>
      <c r="B14217" t="s">
        <v>34</v>
      </c>
      <c r="C14217" t="str">
        <f t="shared" si="446"/>
        <v>No cumple</v>
      </c>
      <c r="D14217">
        <v>1440</v>
      </c>
      <c r="E14217" t="s">
        <v>8</v>
      </c>
      <c r="F14217">
        <v>7</v>
      </c>
      <c r="G14217">
        <v>8</v>
      </c>
      <c r="H14217">
        <f t="shared" si="445"/>
        <v>-1</v>
      </c>
    </row>
    <row r="14218" spans="1:8" x14ac:dyDescent="0.2">
      <c r="A14218" t="s">
        <v>7</v>
      </c>
      <c r="B14218" t="s">
        <v>34</v>
      </c>
      <c r="C14218" t="str">
        <f t="shared" si="446"/>
        <v>No cumple</v>
      </c>
      <c r="D14218">
        <v>2122</v>
      </c>
      <c r="E14218" t="s">
        <v>8</v>
      </c>
      <c r="F14218">
        <v>7</v>
      </c>
      <c r="G14218">
        <v>8</v>
      </c>
      <c r="H14218">
        <f t="shared" si="445"/>
        <v>-1</v>
      </c>
    </row>
    <row r="14219" spans="1:8" x14ac:dyDescent="0.2">
      <c r="A14219" t="s">
        <v>7</v>
      </c>
      <c r="B14219" t="s">
        <v>34</v>
      </c>
      <c r="C14219" t="str">
        <f t="shared" si="446"/>
        <v>No cumple</v>
      </c>
      <c r="D14219">
        <v>2913</v>
      </c>
      <c r="E14219" t="s">
        <v>8</v>
      </c>
      <c r="F14219">
        <v>7</v>
      </c>
      <c r="G14219">
        <v>8</v>
      </c>
      <c r="H14219">
        <f t="shared" si="445"/>
        <v>-1</v>
      </c>
    </row>
    <row r="14220" spans="1:8" x14ac:dyDescent="0.2">
      <c r="A14220" t="s">
        <v>7</v>
      </c>
      <c r="B14220" t="s">
        <v>34</v>
      </c>
      <c r="C14220" t="str">
        <f t="shared" si="446"/>
        <v>No cumple</v>
      </c>
      <c r="D14220">
        <v>3398</v>
      </c>
      <c r="E14220" t="s">
        <v>8</v>
      </c>
      <c r="F14220">
        <v>7</v>
      </c>
      <c r="G14220">
        <v>8</v>
      </c>
      <c r="H14220">
        <f t="shared" si="445"/>
        <v>-1</v>
      </c>
    </row>
    <row r="14221" spans="1:8" x14ac:dyDescent="0.2">
      <c r="A14221" t="s">
        <v>7</v>
      </c>
      <c r="B14221" t="s">
        <v>34</v>
      </c>
      <c r="C14221" t="str">
        <f t="shared" si="446"/>
        <v>No cumple</v>
      </c>
      <c r="D14221">
        <v>3399</v>
      </c>
      <c r="E14221" t="s">
        <v>8</v>
      </c>
      <c r="F14221">
        <v>7</v>
      </c>
      <c r="G14221">
        <v>8</v>
      </c>
      <c r="H14221">
        <f t="shared" si="445"/>
        <v>-1</v>
      </c>
    </row>
    <row r="14222" spans="1:8" x14ac:dyDescent="0.2">
      <c r="A14222" t="s">
        <v>7</v>
      </c>
      <c r="B14222" t="s">
        <v>34</v>
      </c>
      <c r="C14222" t="str">
        <f t="shared" si="446"/>
        <v>No cumple</v>
      </c>
      <c r="D14222">
        <v>5142</v>
      </c>
      <c r="E14222" t="s">
        <v>8</v>
      </c>
      <c r="F14222">
        <v>7</v>
      </c>
      <c r="G14222">
        <v>8</v>
      </c>
      <c r="H14222">
        <f t="shared" si="445"/>
        <v>-1</v>
      </c>
    </row>
    <row r="14223" spans="1:8" x14ac:dyDescent="0.2">
      <c r="A14223" t="s">
        <v>7</v>
      </c>
      <c r="B14223" t="s">
        <v>34</v>
      </c>
      <c r="C14223" t="str">
        <f t="shared" si="446"/>
        <v>No cumple</v>
      </c>
      <c r="D14223">
        <v>7065</v>
      </c>
      <c r="E14223" t="s">
        <v>8</v>
      </c>
      <c r="F14223">
        <v>7</v>
      </c>
      <c r="G14223">
        <v>8</v>
      </c>
      <c r="H14223">
        <f t="shared" si="445"/>
        <v>-1</v>
      </c>
    </row>
    <row r="14224" spans="1:8" x14ac:dyDescent="0.2">
      <c r="A14224" t="s">
        <v>7</v>
      </c>
      <c r="B14224" t="s">
        <v>34</v>
      </c>
      <c r="C14224" t="str">
        <f t="shared" si="446"/>
        <v>No cumple</v>
      </c>
      <c r="D14224">
        <v>9228</v>
      </c>
      <c r="E14224" t="s">
        <v>8</v>
      </c>
      <c r="F14224">
        <v>7</v>
      </c>
      <c r="G14224">
        <v>8</v>
      </c>
      <c r="H14224">
        <f t="shared" si="445"/>
        <v>-1</v>
      </c>
    </row>
    <row r="14225" spans="1:8" x14ac:dyDescent="0.2">
      <c r="A14225" t="s">
        <v>7</v>
      </c>
      <c r="B14225" t="s">
        <v>34</v>
      </c>
      <c r="C14225" t="str">
        <f t="shared" si="446"/>
        <v>No cumple</v>
      </c>
      <c r="D14225">
        <v>9617</v>
      </c>
      <c r="E14225" t="s">
        <v>8</v>
      </c>
      <c r="F14225">
        <v>7</v>
      </c>
      <c r="G14225">
        <v>8</v>
      </c>
      <c r="H14225">
        <f t="shared" si="445"/>
        <v>-1</v>
      </c>
    </row>
    <row r="14226" spans="1:8" x14ac:dyDescent="0.2">
      <c r="A14226" t="s">
        <v>7</v>
      </c>
      <c r="B14226" t="s">
        <v>34</v>
      </c>
      <c r="C14226" t="str">
        <f t="shared" si="446"/>
        <v>No cumple</v>
      </c>
      <c r="D14226">
        <v>9682</v>
      </c>
      <c r="E14226" t="s">
        <v>8</v>
      </c>
      <c r="F14226">
        <v>7</v>
      </c>
      <c r="G14226">
        <v>8</v>
      </c>
      <c r="H14226">
        <f t="shared" si="445"/>
        <v>-1</v>
      </c>
    </row>
    <row r="14227" spans="1:8" x14ac:dyDescent="0.2">
      <c r="A14227" t="s">
        <v>7</v>
      </c>
      <c r="B14227" t="s">
        <v>34</v>
      </c>
      <c r="C14227" t="str">
        <f t="shared" si="446"/>
        <v>No cumple</v>
      </c>
      <c r="D14227">
        <v>9811</v>
      </c>
      <c r="E14227" t="s">
        <v>8</v>
      </c>
      <c r="F14227">
        <v>7</v>
      </c>
      <c r="G14227">
        <v>8</v>
      </c>
      <c r="H14227">
        <f t="shared" si="445"/>
        <v>-1</v>
      </c>
    </row>
    <row r="14228" spans="1:8" x14ac:dyDescent="0.2">
      <c r="A14228" t="s">
        <v>7</v>
      </c>
      <c r="B14228" t="s">
        <v>34</v>
      </c>
      <c r="C14228" t="str">
        <f t="shared" si="446"/>
        <v>No cumple</v>
      </c>
      <c r="D14228">
        <v>4052</v>
      </c>
      <c r="E14228" t="s">
        <v>8</v>
      </c>
      <c r="F14228">
        <v>7</v>
      </c>
      <c r="G14228">
        <v>8</v>
      </c>
      <c r="H14228">
        <f t="shared" si="445"/>
        <v>-1</v>
      </c>
    </row>
    <row r="14229" spans="1:8" x14ac:dyDescent="0.2">
      <c r="A14229" t="s">
        <v>7</v>
      </c>
      <c r="B14229" t="s">
        <v>34</v>
      </c>
      <c r="C14229" t="str">
        <f t="shared" si="446"/>
        <v>No cumple</v>
      </c>
      <c r="D14229">
        <v>571</v>
      </c>
      <c r="E14229" t="s">
        <v>8</v>
      </c>
      <c r="F14229">
        <v>6</v>
      </c>
      <c r="G14229">
        <v>8</v>
      </c>
      <c r="H14229">
        <f t="shared" si="445"/>
        <v>-2</v>
      </c>
    </row>
    <row r="14230" spans="1:8" x14ac:dyDescent="0.2">
      <c r="A14230" t="s">
        <v>7</v>
      </c>
      <c r="B14230" t="s">
        <v>34</v>
      </c>
      <c r="C14230" t="str">
        <f t="shared" si="446"/>
        <v>No cumple</v>
      </c>
      <c r="D14230">
        <v>1549</v>
      </c>
      <c r="E14230" t="s">
        <v>8</v>
      </c>
      <c r="F14230">
        <v>6</v>
      </c>
      <c r="G14230">
        <v>8</v>
      </c>
      <c r="H14230">
        <f t="shared" si="445"/>
        <v>-2</v>
      </c>
    </row>
    <row r="14231" spans="1:8" x14ac:dyDescent="0.2">
      <c r="A14231" t="s">
        <v>7</v>
      </c>
      <c r="B14231" t="s">
        <v>34</v>
      </c>
      <c r="C14231" t="str">
        <f t="shared" si="446"/>
        <v>No cumple</v>
      </c>
      <c r="D14231">
        <v>2547</v>
      </c>
      <c r="E14231" t="s">
        <v>8</v>
      </c>
      <c r="F14231">
        <v>6</v>
      </c>
      <c r="G14231">
        <v>8</v>
      </c>
      <c r="H14231">
        <f t="shared" si="445"/>
        <v>-2</v>
      </c>
    </row>
    <row r="14232" spans="1:8" x14ac:dyDescent="0.2">
      <c r="A14232" t="s">
        <v>7</v>
      </c>
      <c r="B14232" t="s">
        <v>34</v>
      </c>
      <c r="C14232" t="str">
        <f t="shared" si="446"/>
        <v>No cumple</v>
      </c>
      <c r="D14232">
        <v>3917</v>
      </c>
      <c r="E14232" t="s">
        <v>8</v>
      </c>
      <c r="F14232">
        <v>6</v>
      </c>
      <c r="G14232">
        <v>8</v>
      </c>
      <c r="H14232">
        <f t="shared" ref="H14232:H14295" si="447">F14232-G14232</f>
        <v>-2</v>
      </c>
    </row>
    <row r="14233" spans="1:8" x14ac:dyDescent="0.2">
      <c r="A14233" t="s">
        <v>7</v>
      </c>
      <c r="B14233" t="s">
        <v>34</v>
      </c>
      <c r="C14233" t="str">
        <f t="shared" si="446"/>
        <v>No cumple</v>
      </c>
      <c r="D14233">
        <v>3960</v>
      </c>
      <c r="E14233" t="s">
        <v>8</v>
      </c>
      <c r="F14233">
        <v>6</v>
      </c>
      <c r="G14233">
        <v>8</v>
      </c>
      <c r="H14233">
        <f t="shared" si="447"/>
        <v>-2</v>
      </c>
    </row>
    <row r="14234" spans="1:8" x14ac:dyDescent="0.2">
      <c r="A14234" t="s">
        <v>7</v>
      </c>
      <c r="B14234" t="s">
        <v>34</v>
      </c>
      <c r="C14234" t="str">
        <f t="shared" si="446"/>
        <v>No cumple</v>
      </c>
      <c r="D14234">
        <v>9234</v>
      </c>
      <c r="E14234" t="s">
        <v>8</v>
      </c>
      <c r="F14234">
        <v>6</v>
      </c>
      <c r="G14234">
        <v>8</v>
      </c>
      <c r="H14234">
        <f t="shared" si="447"/>
        <v>-2</v>
      </c>
    </row>
    <row r="14235" spans="1:8" x14ac:dyDescent="0.2">
      <c r="A14235" t="s">
        <v>7</v>
      </c>
      <c r="B14235" t="s">
        <v>34</v>
      </c>
      <c r="C14235" t="str">
        <f t="shared" si="446"/>
        <v>No cumple</v>
      </c>
      <c r="D14235">
        <v>9472</v>
      </c>
      <c r="E14235" t="s">
        <v>8</v>
      </c>
      <c r="F14235">
        <v>6</v>
      </c>
      <c r="G14235">
        <v>8</v>
      </c>
      <c r="H14235">
        <f t="shared" si="447"/>
        <v>-2</v>
      </c>
    </row>
    <row r="14236" spans="1:8" x14ac:dyDescent="0.2">
      <c r="A14236" t="s">
        <v>7</v>
      </c>
      <c r="B14236" t="s">
        <v>34</v>
      </c>
      <c r="C14236" t="str">
        <f t="shared" si="446"/>
        <v>No cumple</v>
      </c>
      <c r="D14236">
        <v>9237</v>
      </c>
      <c r="E14236" t="s">
        <v>8</v>
      </c>
      <c r="F14236">
        <v>6</v>
      </c>
      <c r="G14236">
        <v>8</v>
      </c>
      <c r="H14236">
        <f t="shared" si="447"/>
        <v>-2</v>
      </c>
    </row>
    <row r="14237" spans="1:8" x14ac:dyDescent="0.2">
      <c r="A14237" t="s">
        <v>7</v>
      </c>
      <c r="B14237" t="s">
        <v>34</v>
      </c>
      <c r="C14237" t="str">
        <f t="shared" si="446"/>
        <v>No cumple</v>
      </c>
      <c r="D14237">
        <v>4036</v>
      </c>
      <c r="E14237" t="s">
        <v>8</v>
      </c>
      <c r="F14237">
        <v>6</v>
      </c>
      <c r="G14237">
        <v>8</v>
      </c>
      <c r="H14237">
        <f t="shared" si="447"/>
        <v>-2</v>
      </c>
    </row>
    <row r="14238" spans="1:8" x14ac:dyDescent="0.2">
      <c r="A14238" t="s">
        <v>7</v>
      </c>
      <c r="B14238" t="s">
        <v>34</v>
      </c>
      <c r="C14238" t="str">
        <f t="shared" si="446"/>
        <v>No cumple</v>
      </c>
      <c r="D14238">
        <v>3198</v>
      </c>
      <c r="E14238" t="s">
        <v>8</v>
      </c>
      <c r="F14238">
        <v>6</v>
      </c>
      <c r="G14238">
        <v>8</v>
      </c>
      <c r="H14238">
        <f t="shared" si="447"/>
        <v>-2</v>
      </c>
    </row>
    <row r="14239" spans="1:8" x14ac:dyDescent="0.2">
      <c r="A14239" t="s">
        <v>7</v>
      </c>
      <c r="B14239" t="s">
        <v>34</v>
      </c>
      <c r="C14239" t="str">
        <f t="shared" si="446"/>
        <v>No cumple</v>
      </c>
      <c r="D14239">
        <v>4061</v>
      </c>
      <c r="E14239" t="s">
        <v>8</v>
      </c>
      <c r="F14239">
        <v>6</v>
      </c>
      <c r="G14239">
        <v>8</v>
      </c>
      <c r="H14239">
        <f t="shared" si="447"/>
        <v>-2</v>
      </c>
    </row>
    <row r="14240" spans="1:8" x14ac:dyDescent="0.2">
      <c r="A14240" t="s">
        <v>7</v>
      </c>
      <c r="B14240" t="s">
        <v>34</v>
      </c>
      <c r="C14240" t="str">
        <f t="shared" si="446"/>
        <v>No cumple</v>
      </c>
      <c r="D14240">
        <v>373</v>
      </c>
      <c r="E14240" t="s">
        <v>8</v>
      </c>
      <c r="F14240">
        <v>5</v>
      </c>
      <c r="G14240">
        <v>8</v>
      </c>
      <c r="H14240">
        <f t="shared" si="447"/>
        <v>-3</v>
      </c>
    </row>
    <row r="14241" spans="1:8" x14ac:dyDescent="0.2">
      <c r="A14241" t="s">
        <v>7</v>
      </c>
      <c r="B14241" t="s">
        <v>34</v>
      </c>
      <c r="C14241" t="str">
        <f t="shared" si="446"/>
        <v>No cumple</v>
      </c>
      <c r="D14241">
        <v>627</v>
      </c>
      <c r="E14241" t="s">
        <v>8</v>
      </c>
      <c r="F14241">
        <v>5</v>
      </c>
      <c r="G14241">
        <v>8</v>
      </c>
      <c r="H14241">
        <f t="shared" si="447"/>
        <v>-3</v>
      </c>
    </row>
    <row r="14242" spans="1:8" x14ac:dyDescent="0.2">
      <c r="A14242" t="s">
        <v>7</v>
      </c>
      <c r="B14242" t="s">
        <v>34</v>
      </c>
      <c r="C14242" t="str">
        <f t="shared" si="446"/>
        <v>No cumple</v>
      </c>
      <c r="D14242">
        <v>659</v>
      </c>
      <c r="E14242" t="s">
        <v>8</v>
      </c>
      <c r="F14242">
        <v>5</v>
      </c>
      <c r="G14242">
        <v>8</v>
      </c>
      <c r="H14242">
        <f t="shared" si="447"/>
        <v>-3</v>
      </c>
    </row>
    <row r="14243" spans="1:8" x14ac:dyDescent="0.2">
      <c r="A14243" t="s">
        <v>7</v>
      </c>
      <c r="B14243" t="s">
        <v>34</v>
      </c>
      <c r="C14243" t="str">
        <f t="shared" si="446"/>
        <v>No cumple</v>
      </c>
      <c r="D14243">
        <v>680</v>
      </c>
      <c r="E14243" t="s">
        <v>8</v>
      </c>
      <c r="F14243">
        <v>5</v>
      </c>
      <c r="G14243">
        <v>8</v>
      </c>
      <c r="H14243">
        <f t="shared" si="447"/>
        <v>-3</v>
      </c>
    </row>
    <row r="14244" spans="1:8" x14ac:dyDescent="0.2">
      <c r="A14244" t="s">
        <v>7</v>
      </c>
      <c r="B14244" t="s">
        <v>34</v>
      </c>
      <c r="C14244" t="str">
        <f t="shared" si="446"/>
        <v>No cumple</v>
      </c>
      <c r="D14244">
        <v>1424</v>
      </c>
      <c r="E14244" t="s">
        <v>8</v>
      </c>
      <c r="F14244">
        <v>5</v>
      </c>
      <c r="G14244">
        <v>8</v>
      </c>
      <c r="H14244">
        <f t="shared" si="447"/>
        <v>-3</v>
      </c>
    </row>
    <row r="14245" spans="1:8" x14ac:dyDescent="0.2">
      <c r="A14245" t="s">
        <v>7</v>
      </c>
      <c r="B14245" t="s">
        <v>34</v>
      </c>
      <c r="C14245" t="str">
        <f t="shared" si="446"/>
        <v>No cumple</v>
      </c>
      <c r="D14245">
        <v>1790</v>
      </c>
      <c r="E14245" t="s">
        <v>8</v>
      </c>
      <c r="F14245">
        <v>5</v>
      </c>
      <c r="G14245">
        <v>8</v>
      </c>
      <c r="H14245">
        <f t="shared" si="447"/>
        <v>-3</v>
      </c>
    </row>
    <row r="14246" spans="1:8" x14ac:dyDescent="0.2">
      <c r="A14246" t="s">
        <v>7</v>
      </c>
      <c r="B14246" t="s">
        <v>34</v>
      </c>
      <c r="C14246" t="str">
        <f t="shared" si="446"/>
        <v>No cumple</v>
      </c>
      <c r="D14246">
        <v>2030</v>
      </c>
      <c r="E14246" t="s">
        <v>8</v>
      </c>
      <c r="F14246">
        <v>5</v>
      </c>
      <c r="G14246">
        <v>8</v>
      </c>
      <c r="H14246">
        <f t="shared" si="447"/>
        <v>-3</v>
      </c>
    </row>
    <row r="14247" spans="1:8" x14ac:dyDescent="0.2">
      <c r="A14247" t="s">
        <v>7</v>
      </c>
      <c r="B14247" t="s">
        <v>34</v>
      </c>
      <c r="C14247" t="str">
        <f t="shared" si="446"/>
        <v>No cumple</v>
      </c>
      <c r="D14247">
        <v>2135</v>
      </c>
      <c r="E14247" t="s">
        <v>8</v>
      </c>
      <c r="F14247">
        <v>5</v>
      </c>
      <c r="G14247">
        <v>8</v>
      </c>
      <c r="H14247">
        <f t="shared" si="447"/>
        <v>-3</v>
      </c>
    </row>
    <row r="14248" spans="1:8" x14ac:dyDescent="0.2">
      <c r="A14248" t="s">
        <v>7</v>
      </c>
      <c r="B14248" t="s">
        <v>34</v>
      </c>
      <c r="C14248" t="str">
        <f t="shared" si="446"/>
        <v>No cumple</v>
      </c>
      <c r="D14248">
        <v>2235</v>
      </c>
      <c r="E14248" t="s">
        <v>8</v>
      </c>
      <c r="F14248">
        <v>5</v>
      </c>
      <c r="G14248">
        <v>8</v>
      </c>
      <c r="H14248">
        <f t="shared" si="447"/>
        <v>-3</v>
      </c>
    </row>
    <row r="14249" spans="1:8" x14ac:dyDescent="0.2">
      <c r="A14249" t="s">
        <v>7</v>
      </c>
      <c r="B14249" t="s">
        <v>34</v>
      </c>
      <c r="C14249" t="str">
        <f t="shared" si="446"/>
        <v>No cumple</v>
      </c>
      <c r="D14249">
        <v>2321</v>
      </c>
      <c r="E14249" t="s">
        <v>8</v>
      </c>
      <c r="F14249">
        <v>5</v>
      </c>
      <c r="G14249">
        <v>8</v>
      </c>
      <c r="H14249">
        <f t="shared" si="447"/>
        <v>-3</v>
      </c>
    </row>
    <row r="14250" spans="1:8" x14ac:dyDescent="0.2">
      <c r="A14250" t="s">
        <v>7</v>
      </c>
      <c r="B14250" t="s">
        <v>34</v>
      </c>
      <c r="C14250" t="str">
        <f t="shared" si="446"/>
        <v>No cumple</v>
      </c>
      <c r="D14250">
        <v>2746</v>
      </c>
      <c r="E14250" t="s">
        <v>8</v>
      </c>
      <c r="F14250">
        <v>5</v>
      </c>
      <c r="G14250">
        <v>8</v>
      </c>
      <c r="H14250">
        <f t="shared" si="447"/>
        <v>-3</v>
      </c>
    </row>
    <row r="14251" spans="1:8" x14ac:dyDescent="0.2">
      <c r="A14251" t="s">
        <v>7</v>
      </c>
      <c r="B14251" t="s">
        <v>34</v>
      </c>
      <c r="C14251" t="str">
        <f t="shared" si="446"/>
        <v>No cumple</v>
      </c>
      <c r="D14251">
        <v>3349</v>
      </c>
      <c r="E14251" t="s">
        <v>8</v>
      </c>
      <c r="F14251">
        <v>5</v>
      </c>
      <c r="G14251">
        <v>8</v>
      </c>
      <c r="H14251">
        <f t="shared" si="447"/>
        <v>-3</v>
      </c>
    </row>
    <row r="14252" spans="1:8" x14ac:dyDescent="0.2">
      <c r="A14252" t="s">
        <v>7</v>
      </c>
      <c r="B14252" t="s">
        <v>34</v>
      </c>
      <c r="C14252" t="str">
        <f t="shared" si="446"/>
        <v>No cumple</v>
      </c>
      <c r="D14252">
        <v>5023</v>
      </c>
      <c r="E14252" t="s">
        <v>8</v>
      </c>
      <c r="F14252">
        <v>5</v>
      </c>
      <c r="G14252">
        <v>8</v>
      </c>
      <c r="H14252">
        <f t="shared" si="447"/>
        <v>-3</v>
      </c>
    </row>
    <row r="14253" spans="1:8" x14ac:dyDescent="0.2">
      <c r="A14253" t="s">
        <v>7</v>
      </c>
      <c r="B14253" t="s">
        <v>34</v>
      </c>
      <c r="C14253" t="str">
        <f t="shared" si="446"/>
        <v>No cumple</v>
      </c>
      <c r="D14253">
        <v>9226</v>
      </c>
      <c r="E14253" t="s">
        <v>8</v>
      </c>
      <c r="F14253">
        <v>5</v>
      </c>
      <c r="G14253">
        <v>8</v>
      </c>
      <c r="H14253">
        <f t="shared" si="447"/>
        <v>-3</v>
      </c>
    </row>
    <row r="14254" spans="1:8" x14ac:dyDescent="0.2">
      <c r="A14254" t="s">
        <v>7</v>
      </c>
      <c r="B14254" t="s">
        <v>34</v>
      </c>
      <c r="C14254" t="str">
        <f t="shared" si="446"/>
        <v>No cumple</v>
      </c>
      <c r="D14254">
        <v>9561</v>
      </c>
      <c r="E14254" t="s">
        <v>8</v>
      </c>
      <c r="F14254">
        <v>5</v>
      </c>
      <c r="G14254">
        <v>8</v>
      </c>
      <c r="H14254">
        <f t="shared" si="447"/>
        <v>-3</v>
      </c>
    </row>
    <row r="14255" spans="1:8" x14ac:dyDescent="0.2">
      <c r="A14255" t="s">
        <v>7</v>
      </c>
      <c r="B14255" t="s">
        <v>34</v>
      </c>
      <c r="C14255" t="str">
        <f t="shared" si="446"/>
        <v>No cumple</v>
      </c>
      <c r="D14255">
        <v>9636</v>
      </c>
      <c r="E14255" t="s">
        <v>8</v>
      </c>
      <c r="F14255">
        <v>5</v>
      </c>
      <c r="G14255">
        <v>8</v>
      </c>
      <c r="H14255">
        <f t="shared" si="447"/>
        <v>-3</v>
      </c>
    </row>
    <row r="14256" spans="1:8" x14ac:dyDescent="0.2">
      <c r="A14256" t="s">
        <v>7</v>
      </c>
      <c r="B14256" t="s">
        <v>34</v>
      </c>
      <c r="C14256" t="str">
        <f t="shared" si="446"/>
        <v>No cumple</v>
      </c>
      <c r="D14256">
        <v>1543</v>
      </c>
      <c r="E14256" t="s">
        <v>8</v>
      </c>
      <c r="F14256">
        <v>5</v>
      </c>
      <c r="G14256">
        <v>8</v>
      </c>
      <c r="H14256">
        <f t="shared" si="447"/>
        <v>-3</v>
      </c>
    </row>
    <row r="14257" spans="1:8" x14ac:dyDescent="0.2">
      <c r="A14257" t="s">
        <v>7</v>
      </c>
      <c r="B14257" t="s">
        <v>34</v>
      </c>
      <c r="C14257" t="str">
        <f t="shared" si="446"/>
        <v>No cumple</v>
      </c>
      <c r="D14257">
        <v>591</v>
      </c>
      <c r="E14257" t="s">
        <v>8</v>
      </c>
      <c r="F14257">
        <v>4</v>
      </c>
      <c r="G14257">
        <v>8</v>
      </c>
      <c r="H14257">
        <f t="shared" si="447"/>
        <v>-4</v>
      </c>
    </row>
    <row r="14258" spans="1:8" x14ac:dyDescent="0.2">
      <c r="A14258" t="s">
        <v>7</v>
      </c>
      <c r="B14258" t="s">
        <v>34</v>
      </c>
      <c r="C14258" t="str">
        <f t="shared" si="446"/>
        <v>No cumple</v>
      </c>
      <c r="D14258">
        <v>675</v>
      </c>
      <c r="E14258" t="s">
        <v>8</v>
      </c>
      <c r="F14258">
        <v>4</v>
      </c>
      <c r="G14258">
        <v>8</v>
      </c>
      <c r="H14258">
        <f t="shared" si="447"/>
        <v>-4</v>
      </c>
    </row>
    <row r="14259" spans="1:8" x14ac:dyDescent="0.2">
      <c r="A14259" t="s">
        <v>7</v>
      </c>
      <c r="B14259" t="s">
        <v>34</v>
      </c>
      <c r="C14259" t="str">
        <f t="shared" si="446"/>
        <v>No cumple</v>
      </c>
      <c r="D14259">
        <v>2039</v>
      </c>
      <c r="E14259" t="s">
        <v>8</v>
      </c>
      <c r="F14259">
        <v>4</v>
      </c>
      <c r="G14259">
        <v>8</v>
      </c>
      <c r="H14259">
        <f t="shared" si="447"/>
        <v>-4</v>
      </c>
    </row>
    <row r="14260" spans="1:8" x14ac:dyDescent="0.2">
      <c r="A14260" t="s">
        <v>7</v>
      </c>
      <c r="B14260" t="s">
        <v>34</v>
      </c>
      <c r="C14260" t="str">
        <f t="shared" si="446"/>
        <v>No cumple</v>
      </c>
      <c r="D14260">
        <v>2186</v>
      </c>
      <c r="E14260" t="s">
        <v>8</v>
      </c>
      <c r="F14260">
        <v>4</v>
      </c>
      <c r="G14260">
        <v>8</v>
      </c>
      <c r="H14260">
        <f t="shared" si="447"/>
        <v>-4</v>
      </c>
    </row>
    <row r="14261" spans="1:8" x14ac:dyDescent="0.2">
      <c r="A14261" t="s">
        <v>7</v>
      </c>
      <c r="B14261" t="s">
        <v>34</v>
      </c>
      <c r="C14261" t="str">
        <f t="shared" si="446"/>
        <v>No cumple</v>
      </c>
      <c r="D14261">
        <v>2727</v>
      </c>
      <c r="E14261" t="s">
        <v>8</v>
      </c>
      <c r="F14261">
        <v>4</v>
      </c>
      <c r="G14261">
        <v>8</v>
      </c>
      <c r="H14261">
        <f t="shared" si="447"/>
        <v>-4</v>
      </c>
    </row>
    <row r="14262" spans="1:8" x14ac:dyDescent="0.2">
      <c r="A14262" t="s">
        <v>7</v>
      </c>
      <c r="B14262" t="s">
        <v>34</v>
      </c>
      <c r="C14262" t="str">
        <f t="shared" si="446"/>
        <v>No cumple</v>
      </c>
      <c r="D14262">
        <v>3593</v>
      </c>
      <c r="E14262" t="s">
        <v>8</v>
      </c>
      <c r="F14262">
        <v>4</v>
      </c>
      <c r="G14262">
        <v>8</v>
      </c>
      <c r="H14262">
        <f t="shared" si="447"/>
        <v>-4</v>
      </c>
    </row>
    <row r="14263" spans="1:8" x14ac:dyDescent="0.2">
      <c r="A14263" t="s">
        <v>7</v>
      </c>
      <c r="B14263" t="s">
        <v>34</v>
      </c>
      <c r="C14263" t="str">
        <f t="shared" si="446"/>
        <v>No cumple</v>
      </c>
      <c r="D14263">
        <v>9241</v>
      </c>
      <c r="E14263" t="s">
        <v>8</v>
      </c>
      <c r="F14263">
        <v>4</v>
      </c>
      <c r="G14263">
        <v>8</v>
      </c>
      <c r="H14263">
        <f t="shared" si="447"/>
        <v>-4</v>
      </c>
    </row>
    <row r="14264" spans="1:8" x14ac:dyDescent="0.2">
      <c r="A14264" t="s">
        <v>7</v>
      </c>
      <c r="B14264" t="s">
        <v>34</v>
      </c>
      <c r="C14264" t="str">
        <f t="shared" si="446"/>
        <v>No cumple</v>
      </c>
      <c r="D14264">
        <v>9642</v>
      </c>
      <c r="E14264" t="s">
        <v>8</v>
      </c>
      <c r="F14264">
        <v>4</v>
      </c>
      <c r="G14264">
        <v>8</v>
      </c>
      <c r="H14264">
        <f t="shared" si="447"/>
        <v>-4</v>
      </c>
    </row>
    <row r="14265" spans="1:8" x14ac:dyDescent="0.2">
      <c r="A14265" t="s">
        <v>7</v>
      </c>
      <c r="B14265" t="s">
        <v>34</v>
      </c>
      <c r="C14265" t="str">
        <f t="shared" si="446"/>
        <v>No cumple</v>
      </c>
      <c r="D14265">
        <v>3980</v>
      </c>
      <c r="E14265" t="s">
        <v>8</v>
      </c>
      <c r="F14265">
        <v>4</v>
      </c>
      <c r="G14265">
        <v>8</v>
      </c>
      <c r="H14265">
        <f t="shared" si="447"/>
        <v>-4</v>
      </c>
    </row>
    <row r="14266" spans="1:8" x14ac:dyDescent="0.2">
      <c r="A14266" t="s">
        <v>7</v>
      </c>
      <c r="B14266" t="s">
        <v>34</v>
      </c>
      <c r="C14266" t="str">
        <f t="shared" si="446"/>
        <v>No cumple</v>
      </c>
      <c r="D14266">
        <v>529</v>
      </c>
      <c r="E14266" t="s">
        <v>8</v>
      </c>
      <c r="F14266">
        <v>3</v>
      </c>
      <c r="G14266">
        <v>8</v>
      </c>
      <c r="H14266">
        <f t="shared" si="447"/>
        <v>-5</v>
      </c>
    </row>
    <row r="14267" spans="1:8" x14ac:dyDescent="0.2">
      <c r="A14267" t="s">
        <v>7</v>
      </c>
      <c r="B14267" t="s">
        <v>34</v>
      </c>
      <c r="C14267" t="str">
        <f t="shared" si="446"/>
        <v>No cumple</v>
      </c>
      <c r="D14267">
        <v>1779</v>
      </c>
      <c r="E14267" t="s">
        <v>8</v>
      </c>
      <c r="F14267">
        <v>3</v>
      </c>
      <c r="G14267">
        <v>8</v>
      </c>
      <c r="H14267">
        <f t="shared" si="447"/>
        <v>-5</v>
      </c>
    </row>
    <row r="14268" spans="1:8" x14ac:dyDescent="0.2">
      <c r="A14268" t="s">
        <v>7</v>
      </c>
      <c r="B14268" t="s">
        <v>34</v>
      </c>
      <c r="C14268" t="str">
        <f t="shared" si="446"/>
        <v>No cumple</v>
      </c>
      <c r="D14268">
        <v>2047</v>
      </c>
      <c r="E14268" t="s">
        <v>8</v>
      </c>
      <c r="F14268">
        <v>3</v>
      </c>
      <c r="G14268">
        <v>8</v>
      </c>
      <c r="H14268">
        <f t="shared" si="447"/>
        <v>-5</v>
      </c>
    </row>
    <row r="14269" spans="1:8" x14ac:dyDescent="0.2">
      <c r="A14269" t="s">
        <v>7</v>
      </c>
      <c r="B14269" t="s">
        <v>34</v>
      </c>
      <c r="C14269" t="str">
        <f t="shared" si="446"/>
        <v>No cumple</v>
      </c>
      <c r="D14269">
        <v>2441</v>
      </c>
      <c r="E14269" t="s">
        <v>8</v>
      </c>
      <c r="F14269">
        <v>3</v>
      </c>
      <c r="G14269">
        <v>8</v>
      </c>
      <c r="H14269">
        <f t="shared" si="447"/>
        <v>-5</v>
      </c>
    </row>
    <row r="14270" spans="1:8" x14ac:dyDescent="0.2">
      <c r="A14270" t="s">
        <v>7</v>
      </c>
      <c r="B14270" t="s">
        <v>34</v>
      </c>
      <c r="C14270" t="str">
        <f t="shared" si="446"/>
        <v>No cumple</v>
      </c>
      <c r="D14270">
        <v>2479</v>
      </c>
      <c r="E14270" t="s">
        <v>8</v>
      </c>
      <c r="F14270">
        <v>3</v>
      </c>
      <c r="G14270">
        <v>8</v>
      </c>
      <c r="H14270">
        <f t="shared" si="447"/>
        <v>-5</v>
      </c>
    </row>
    <row r="14271" spans="1:8" x14ac:dyDescent="0.2">
      <c r="A14271" t="s">
        <v>7</v>
      </c>
      <c r="B14271" t="s">
        <v>34</v>
      </c>
      <c r="C14271" t="str">
        <f t="shared" si="446"/>
        <v>No cumple</v>
      </c>
      <c r="D14271">
        <v>2512</v>
      </c>
      <c r="E14271" t="s">
        <v>8</v>
      </c>
      <c r="F14271">
        <v>3</v>
      </c>
      <c r="G14271">
        <v>8</v>
      </c>
      <c r="H14271">
        <f t="shared" si="447"/>
        <v>-5</v>
      </c>
    </row>
    <row r="14272" spans="1:8" x14ac:dyDescent="0.2">
      <c r="A14272" t="s">
        <v>7</v>
      </c>
      <c r="B14272" t="s">
        <v>34</v>
      </c>
      <c r="C14272" t="str">
        <f t="shared" si="446"/>
        <v>No cumple</v>
      </c>
      <c r="D14272">
        <v>2631</v>
      </c>
      <c r="E14272" t="s">
        <v>8</v>
      </c>
      <c r="F14272">
        <v>3</v>
      </c>
      <c r="G14272">
        <v>8</v>
      </c>
      <c r="H14272">
        <f t="shared" si="447"/>
        <v>-5</v>
      </c>
    </row>
    <row r="14273" spans="1:8" x14ac:dyDescent="0.2">
      <c r="A14273" t="s">
        <v>7</v>
      </c>
      <c r="B14273" t="s">
        <v>34</v>
      </c>
      <c r="C14273" t="str">
        <f t="shared" si="446"/>
        <v>No cumple</v>
      </c>
      <c r="D14273">
        <v>2790</v>
      </c>
      <c r="E14273" t="s">
        <v>8</v>
      </c>
      <c r="F14273">
        <v>3</v>
      </c>
      <c r="G14273">
        <v>8</v>
      </c>
      <c r="H14273">
        <f t="shared" si="447"/>
        <v>-5</v>
      </c>
    </row>
    <row r="14274" spans="1:8" x14ac:dyDescent="0.2">
      <c r="A14274" t="s">
        <v>7</v>
      </c>
      <c r="B14274" t="s">
        <v>34</v>
      </c>
      <c r="C14274" t="str">
        <f t="shared" si="446"/>
        <v>No cumple</v>
      </c>
      <c r="D14274">
        <v>2808</v>
      </c>
      <c r="E14274" t="s">
        <v>8</v>
      </c>
      <c r="F14274">
        <v>3</v>
      </c>
      <c r="G14274">
        <v>8</v>
      </c>
      <c r="H14274">
        <f t="shared" si="447"/>
        <v>-5</v>
      </c>
    </row>
    <row r="14275" spans="1:8" x14ac:dyDescent="0.2">
      <c r="A14275" t="s">
        <v>7</v>
      </c>
      <c r="B14275" t="s">
        <v>34</v>
      </c>
      <c r="C14275" t="str">
        <f t="shared" si="446"/>
        <v>No cumple</v>
      </c>
      <c r="D14275">
        <v>2928</v>
      </c>
      <c r="E14275" t="s">
        <v>8</v>
      </c>
      <c r="F14275">
        <v>3</v>
      </c>
      <c r="G14275">
        <v>8</v>
      </c>
      <c r="H14275">
        <f t="shared" si="447"/>
        <v>-5</v>
      </c>
    </row>
    <row r="14276" spans="1:8" x14ac:dyDescent="0.2">
      <c r="A14276" t="s">
        <v>7</v>
      </c>
      <c r="B14276" t="s">
        <v>34</v>
      </c>
      <c r="C14276" t="str">
        <f t="shared" si="446"/>
        <v>No cumple</v>
      </c>
      <c r="D14276">
        <v>3557</v>
      </c>
      <c r="E14276" t="s">
        <v>8</v>
      </c>
      <c r="F14276">
        <v>3</v>
      </c>
      <c r="G14276">
        <v>8</v>
      </c>
      <c r="H14276">
        <f t="shared" si="447"/>
        <v>-5</v>
      </c>
    </row>
    <row r="14277" spans="1:8" x14ac:dyDescent="0.2">
      <c r="A14277" t="s">
        <v>7</v>
      </c>
      <c r="B14277" t="s">
        <v>34</v>
      </c>
      <c r="C14277" t="str">
        <f t="shared" ref="C14277:C14340" si="448">IF(H14277&gt;=0,"Cumple","No cumple")</f>
        <v>No cumple</v>
      </c>
      <c r="D14277">
        <v>3719</v>
      </c>
      <c r="E14277" t="s">
        <v>8</v>
      </c>
      <c r="F14277">
        <v>3</v>
      </c>
      <c r="G14277">
        <v>8</v>
      </c>
      <c r="H14277">
        <f t="shared" si="447"/>
        <v>-5</v>
      </c>
    </row>
    <row r="14278" spans="1:8" x14ac:dyDescent="0.2">
      <c r="A14278" t="s">
        <v>7</v>
      </c>
      <c r="B14278" t="s">
        <v>34</v>
      </c>
      <c r="C14278" t="str">
        <f t="shared" si="448"/>
        <v>No cumple</v>
      </c>
      <c r="D14278">
        <v>3858</v>
      </c>
      <c r="E14278" t="s">
        <v>8</v>
      </c>
      <c r="F14278">
        <v>3</v>
      </c>
      <c r="G14278">
        <v>8</v>
      </c>
      <c r="H14278">
        <f t="shared" si="447"/>
        <v>-5</v>
      </c>
    </row>
    <row r="14279" spans="1:8" x14ac:dyDescent="0.2">
      <c r="A14279" t="s">
        <v>7</v>
      </c>
      <c r="B14279" t="s">
        <v>34</v>
      </c>
      <c r="C14279" t="str">
        <f t="shared" si="448"/>
        <v>No cumple</v>
      </c>
      <c r="D14279">
        <v>3900</v>
      </c>
      <c r="E14279" t="s">
        <v>8</v>
      </c>
      <c r="F14279">
        <v>3</v>
      </c>
      <c r="G14279">
        <v>8</v>
      </c>
      <c r="H14279">
        <f t="shared" si="447"/>
        <v>-5</v>
      </c>
    </row>
    <row r="14280" spans="1:8" x14ac:dyDescent="0.2">
      <c r="A14280" t="s">
        <v>7</v>
      </c>
      <c r="B14280" t="s">
        <v>34</v>
      </c>
      <c r="C14280" t="str">
        <f t="shared" si="448"/>
        <v>No cumple</v>
      </c>
      <c r="D14280">
        <v>3929</v>
      </c>
      <c r="E14280" t="s">
        <v>8</v>
      </c>
      <c r="F14280">
        <v>3</v>
      </c>
      <c r="G14280">
        <v>8</v>
      </c>
      <c r="H14280">
        <f t="shared" si="447"/>
        <v>-5</v>
      </c>
    </row>
    <row r="14281" spans="1:8" x14ac:dyDescent="0.2">
      <c r="A14281" t="s">
        <v>7</v>
      </c>
      <c r="B14281" t="s">
        <v>34</v>
      </c>
      <c r="C14281" t="str">
        <f t="shared" si="448"/>
        <v>No cumple</v>
      </c>
      <c r="D14281">
        <v>3940</v>
      </c>
      <c r="E14281" t="s">
        <v>8</v>
      </c>
      <c r="F14281">
        <v>3</v>
      </c>
      <c r="G14281">
        <v>8</v>
      </c>
      <c r="H14281">
        <f t="shared" si="447"/>
        <v>-5</v>
      </c>
    </row>
    <row r="14282" spans="1:8" x14ac:dyDescent="0.2">
      <c r="A14282" t="s">
        <v>7</v>
      </c>
      <c r="B14282" t="s">
        <v>34</v>
      </c>
      <c r="C14282" t="str">
        <f t="shared" si="448"/>
        <v>No cumple</v>
      </c>
      <c r="D14282">
        <v>9220</v>
      </c>
      <c r="E14282" t="s">
        <v>8</v>
      </c>
      <c r="F14282">
        <v>3</v>
      </c>
      <c r="G14282">
        <v>8</v>
      </c>
      <c r="H14282">
        <f t="shared" si="447"/>
        <v>-5</v>
      </c>
    </row>
    <row r="14283" spans="1:8" x14ac:dyDescent="0.2">
      <c r="A14283" t="s">
        <v>7</v>
      </c>
      <c r="B14283" t="s">
        <v>34</v>
      </c>
      <c r="C14283" t="str">
        <f t="shared" si="448"/>
        <v>No cumple</v>
      </c>
      <c r="D14283">
        <v>9224</v>
      </c>
      <c r="E14283" t="s">
        <v>8</v>
      </c>
      <c r="F14283">
        <v>3</v>
      </c>
      <c r="G14283">
        <v>8</v>
      </c>
      <c r="H14283">
        <f t="shared" si="447"/>
        <v>-5</v>
      </c>
    </row>
    <row r="14284" spans="1:8" x14ac:dyDescent="0.2">
      <c r="A14284" t="s">
        <v>7</v>
      </c>
      <c r="B14284" t="s">
        <v>34</v>
      </c>
      <c r="C14284" t="str">
        <f t="shared" si="448"/>
        <v>No cumple</v>
      </c>
      <c r="D14284">
        <v>9470</v>
      </c>
      <c r="E14284" t="s">
        <v>8</v>
      </c>
      <c r="F14284">
        <v>3</v>
      </c>
      <c r="G14284">
        <v>8</v>
      </c>
      <c r="H14284">
        <f t="shared" si="447"/>
        <v>-5</v>
      </c>
    </row>
    <row r="14285" spans="1:8" x14ac:dyDescent="0.2">
      <c r="A14285" t="s">
        <v>7</v>
      </c>
      <c r="B14285" t="s">
        <v>34</v>
      </c>
      <c r="C14285" t="str">
        <f t="shared" si="448"/>
        <v>No cumple</v>
      </c>
      <c r="D14285">
        <v>9471</v>
      </c>
      <c r="E14285" t="s">
        <v>8</v>
      </c>
      <c r="F14285">
        <v>3</v>
      </c>
      <c r="G14285">
        <v>8</v>
      </c>
      <c r="H14285">
        <f t="shared" si="447"/>
        <v>-5</v>
      </c>
    </row>
    <row r="14286" spans="1:8" x14ac:dyDescent="0.2">
      <c r="A14286" t="s">
        <v>7</v>
      </c>
      <c r="B14286" t="s">
        <v>34</v>
      </c>
      <c r="C14286" t="str">
        <f t="shared" si="448"/>
        <v>No cumple</v>
      </c>
      <c r="D14286">
        <v>9715</v>
      </c>
      <c r="E14286" t="s">
        <v>8</v>
      </c>
      <c r="F14286">
        <v>3</v>
      </c>
      <c r="G14286">
        <v>8</v>
      </c>
      <c r="H14286">
        <f t="shared" si="447"/>
        <v>-5</v>
      </c>
    </row>
    <row r="14287" spans="1:8" x14ac:dyDescent="0.2">
      <c r="A14287" t="s">
        <v>7</v>
      </c>
      <c r="B14287" t="s">
        <v>34</v>
      </c>
      <c r="C14287" t="str">
        <f t="shared" si="448"/>
        <v>No cumple</v>
      </c>
      <c r="D14287">
        <v>9868</v>
      </c>
      <c r="E14287" t="s">
        <v>8</v>
      </c>
      <c r="F14287">
        <v>3</v>
      </c>
      <c r="G14287">
        <v>8</v>
      </c>
      <c r="H14287">
        <f t="shared" si="447"/>
        <v>-5</v>
      </c>
    </row>
    <row r="14288" spans="1:8" x14ac:dyDescent="0.2">
      <c r="A14288" t="s">
        <v>7</v>
      </c>
      <c r="B14288" t="s">
        <v>34</v>
      </c>
      <c r="C14288" t="str">
        <f t="shared" si="448"/>
        <v>No cumple</v>
      </c>
      <c r="D14288">
        <v>301</v>
      </c>
      <c r="E14288" t="s">
        <v>8</v>
      </c>
      <c r="F14288">
        <v>2</v>
      </c>
      <c r="G14288">
        <v>8</v>
      </c>
      <c r="H14288">
        <f t="shared" si="447"/>
        <v>-6</v>
      </c>
    </row>
    <row r="14289" spans="1:8" x14ac:dyDescent="0.2">
      <c r="A14289" t="s">
        <v>7</v>
      </c>
      <c r="B14289" t="s">
        <v>34</v>
      </c>
      <c r="C14289" t="str">
        <f t="shared" si="448"/>
        <v>No cumple</v>
      </c>
      <c r="D14289">
        <v>517</v>
      </c>
      <c r="E14289" t="s">
        <v>8</v>
      </c>
      <c r="F14289">
        <v>2</v>
      </c>
      <c r="G14289">
        <v>8</v>
      </c>
      <c r="H14289">
        <f t="shared" si="447"/>
        <v>-6</v>
      </c>
    </row>
    <row r="14290" spans="1:8" x14ac:dyDescent="0.2">
      <c r="A14290" t="s">
        <v>7</v>
      </c>
      <c r="B14290" t="s">
        <v>34</v>
      </c>
      <c r="C14290" t="str">
        <f t="shared" si="448"/>
        <v>No cumple</v>
      </c>
      <c r="D14290">
        <v>541</v>
      </c>
      <c r="E14290" t="s">
        <v>8</v>
      </c>
      <c r="F14290">
        <v>2</v>
      </c>
      <c r="G14290">
        <v>8</v>
      </c>
      <c r="H14290">
        <f t="shared" si="447"/>
        <v>-6</v>
      </c>
    </row>
    <row r="14291" spans="1:8" x14ac:dyDescent="0.2">
      <c r="A14291" t="s">
        <v>7</v>
      </c>
      <c r="B14291" t="s">
        <v>34</v>
      </c>
      <c r="C14291" t="str">
        <f t="shared" si="448"/>
        <v>No cumple</v>
      </c>
      <c r="D14291">
        <v>692</v>
      </c>
      <c r="E14291" t="s">
        <v>8</v>
      </c>
      <c r="F14291">
        <v>2</v>
      </c>
      <c r="G14291">
        <v>8</v>
      </c>
      <c r="H14291">
        <f t="shared" si="447"/>
        <v>-6</v>
      </c>
    </row>
    <row r="14292" spans="1:8" x14ac:dyDescent="0.2">
      <c r="A14292" t="s">
        <v>7</v>
      </c>
      <c r="B14292" t="s">
        <v>34</v>
      </c>
      <c r="C14292" t="str">
        <f t="shared" si="448"/>
        <v>No cumple</v>
      </c>
      <c r="D14292">
        <v>828</v>
      </c>
      <c r="E14292" t="s">
        <v>8</v>
      </c>
      <c r="F14292">
        <v>2</v>
      </c>
      <c r="G14292">
        <v>8</v>
      </c>
      <c r="H14292">
        <f t="shared" si="447"/>
        <v>-6</v>
      </c>
    </row>
    <row r="14293" spans="1:8" x14ac:dyDescent="0.2">
      <c r="A14293" t="s">
        <v>7</v>
      </c>
      <c r="B14293" t="s">
        <v>34</v>
      </c>
      <c r="C14293" t="str">
        <f t="shared" si="448"/>
        <v>No cumple</v>
      </c>
      <c r="D14293">
        <v>1406</v>
      </c>
      <c r="E14293" t="s">
        <v>8</v>
      </c>
      <c r="F14293">
        <v>2</v>
      </c>
      <c r="G14293">
        <v>8</v>
      </c>
      <c r="H14293">
        <f t="shared" si="447"/>
        <v>-6</v>
      </c>
    </row>
    <row r="14294" spans="1:8" x14ac:dyDescent="0.2">
      <c r="A14294" t="s">
        <v>7</v>
      </c>
      <c r="B14294" t="s">
        <v>34</v>
      </c>
      <c r="C14294" t="str">
        <f t="shared" si="448"/>
        <v>No cumple</v>
      </c>
      <c r="D14294">
        <v>2005</v>
      </c>
      <c r="E14294" t="s">
        <v>8</v>
      </c>
      <c r="F14294">
        <v>2</v>
      </c>
      <c r="G14294">
        <v>8</v>
      </c>
      <c r="H14294">
        <f t="shared" si="447"/>
        <v>-6</v>
      </c>
    </row>
    <row r="14295" spans="1:8" x14ac:dyDescent="0.2">
      <c r="A14295" t="s">
        <v>7</v>
      </c>
      <c r="B14295" t="s">
        <v>34</v>
      </c>
      <c r="C14295" t="str">
        <f t="shared" si="448"/>
        <v>No cumple</v>
      </c>
      <c r="D14295">
        <v>2006</v>
      </c>
      <c r="E14295" t="s">
        <v>8</v>
      </c>
      <c r="F14295">
        <v>2</v>
      </c>
      <c r="G14295">
        <v>8</v>
      </c>
      <c r="H14295">
        <f t="shared" si="447"/>
        <v>-6</v>
      </c>
    </row>
    <row r="14296" spans="1:8" x14ac:dyDescent="0.2">
      <c r="A14296" t="s">
        <v>7</v>
      </c>
      <c r="B14296" t="s">
        <v>34</v>
      </c>
      <c r="C14296" t="str">
        <f t="shared" si="448"/>
        <v>No cumple</v>
      </c>
      <c r="D14296">
        <v>2031</v>
      </c>
      <c r="E14296" t="s">
        <v>8</v>
      </c>
      <c r="F14296">
        <v>2</v>
      </c>
      <c r="G14296">
        <v>8</v>
      </c>
      <c r="H14296">
        <f t="shared" ref="H14296:H14359" si="449">F14296-G14296</f>
        <v>-6</v>
      </c>
    </row>
    <row r="14297" spans="1:8" x14ac:dyDescent="0.2">
      <c r="A14297" t="s">
        <v>7</v>
      </c>
      <c r="B14297" t="s">
        <v>34</v>
      </c>
      <c r="C14297" t="str">
        <f t="shared" si="448"/>
        <v>No cumple</v>
      </c>
      <c r="D14297">
        <v>2197</v>
      </c>
      <c r="E14297" t="s">
        <v>8</v>
      </c>
      <c r="F14297">
        <v>2</v>
      </c>
      <c r="G14297">
        <v>8</v>
      </c>
      <c r="H14297">
        <f t="shared" si="449"/>
        <v>-6</v>
      </c>
    </row>
    <row r="14298" spans="1:8" x14ac:dyDescent="0.2">
      <c r="A14298" t="s">
        <v>7</v>
      </c>
      <c r="B14298" t="s">
        <v>34</v>
      </c>
      <c r="C14298" t="str">
        <f t="shared" si="448"/>
        <v>No cumple</v>
      </c>
      <c r="D14298">
        <v>2218</v>
      </c>
      <c r="E14298" t="s">
        <v>8</v>
      </c>
      <c r="F14298">
        <v>2</v>
      </c>
      <c r="G14298">
        <v>8</v>
      </c>
      <c r="H14298">
        <f t="shared" si="449"/>
        <v>-6</v>
      </c>
    </row>
    <row r="14299" spans="1:8" x14ac:dyDescent="0.2">
      <c r="A14299" t="s">
        <v>7</v>
      </c>
      <c r="B14299" t="s">
        <v>34</v>
      </c>
      <c r="C14299" t="str">
        <f t="shared" si="448"/>
        <v>No cumple</v>
      </c>
      <c r="D14299">
        <v>2221</v>
      </c>
      <c r="E14299" t="s">
        <v>8</v>
      </c>
      <c r="F14299">
        <v>2</v>
      </c>
      <c r="G14299">
        <v>8</v>
      </c>
      <c r="H14299">
        <f t="shared" si="449"/>
        <v>-6</v>
      </c>
    </row>
    <row r="14300" spans="1:8" x14ac:dyDescent="0.2">
      <c r="A14300" t="s">
        <v>7</v>
      </c>
      <c r="B14300" t="s">
        <v>34</v>
      </c>
      <c r="C14300" t="str">
        <f t="shared" si="448"/>
        <v>No cumple</v>
      </c>
      <c r="D14300">
        <v>2308</v>
      </c>
      <c r="E14300" t="s">
        <v>8</v>
      </c>
      <c r="F14300">
        <v>2</v>
      </c>
      <c r="G14300">
        <v>8</v>
      </c>
      <c r="H14300">
        <f t="shared" si="449"/>
        <v>-6</v>
      </c>
    </row>
    <row r="14301" spans="1:8" x14ac:dyDescent="0.2">
      <c r="A14301" t="s">
        <v>7</v>
      </c>
      <c r="B14301" t="s">
        <v>34</v>
      </c>
      <c r="C14301" t="str">
        <f t="shared" si="448"/>
        <v>No cumple</v>
      </c>
      <c r="D14301">
        <v>2367</v>
      </c>
      <c r="E14301" t="s">
        <v>8</v>
      </c>
      <c r="F14301">
        <v>2</v>
      </c>
      <c r="G14301">
        <v>8</v>
      </c>
      <c r="H14301">
        <f t="shared" si="449"/>
        <v>-6</v>
      </c>
    </row>
    <row r="14302" spans="1:8" x14ac:dyDescent="0.2">
      <c r="A14302" t="s">
        <v>7</v>
      </c>
      <c r="B14302" t="s">
        <v>34</v>
      </c>
      <c r="C14302" t="str">
        <f t="shared" si="448"/>
        <v>No cumple</v>
      </c>
      <c r="D14302">
        <v>2390</v>
      </c>
      <c r="E14302" t="s">
        <v>8</v>
      </c>
      <c r="F14302">
        <v>2</v>
      </c>
      <c r="G14302">
        <v>8</v>
      </c>
      <c r="H14302">
        <f t="shared" si="449"/>
        <v>-6</v>
      </c>
    </row>
    <row r="14303" spans="1:8" x14ac:dyDescent="0.2">
      <c r="A14303" t="s">
        <v>7</v>
      </c>
      <c r="B14303" t="s">
        <v>34</v>
      </c>
      <c r="C14303" t="str">
        <f t="shared" si="448"/>
        <v>No cumple</v>
      </c>
      <c r="D14303">
        <v>2501</v>
      </c>
      <c r="E14303" t="s">
        <v>8</v>
      </c>
      <c r="F14303">
        <v>2</v>
      </c>
      <c r="G14303">
        <v>8</v>
      </c>
      <c r="H14303">
        <f t="shared" si="449"/>
        <v>-6</v>
      </c>
    </row>
    <row r="14304" spans="1:8" x14ac:dyDescent="0.2">
      <c r="A14304" t="s">
        <v>7</v>
      </c>
      <c r="B14304" t="s">
        <v>34</v>
      </c>
      <c r="C14304" t="str">
        <f t="shared" si="448"/>
        <v>No cumple</v>
      </c>
      <c r="D14304">
        <v>2672</v>
      </c>
      <c r="E14304" t="s">
        <v>8</v>
      </c>
      <c r="F14304">
        <v>2</v>
      </c>
      <c r="G14304">
        <v>8</v>
      </c>
      <c r="H14304">
        <f t="shared" si="449"/>
        <v>-6</v>
      </c>
    </row>
    <row r="14305" spans="1:8" x14ac:dyDescent="0.2">
      <c r="A14305" t="s">
        <v>7</v>
      </c>
      <c r="B14305" t="s">
        <v>34</v>
      </c>
      <c r="C14305" t="str">
        <f t="shared" si="448"/>
        <v>No cumple</v>
      </c>
      <c r="D14305">
        <v>2720</v>
      </c>
      <c r="E14305" t="s">
        <v>8</v>
      </c>
      <c r="F14305">
        <v>2</v>
      </c>
      <c r="G14305">
        <v>8</v>
      </c>
      <c r="H14305">
        <f t="shared" si="449"/>
        <v>-6</v>
      </c>
    </row>
    <row r="14306" spans="1:8" x14ac:dyDescent="0.2">
      <c r="A14306" t="s">
        <v>7</v>
      </c>
      <c r="B14306" t="s">
        <v>34</v>
      </c>
      <c r="C14306" t="str">
        <f t="shared" si="448"/>
        <v>No cumple</v>
      </c>
      <c r="D14306">
        <v>2916</v>
      </c>
      <c r="E14306" t="s">
        <v>8</v>
      </c>
      <c r="F14306">
        <v>2</v>
      </c>
      <c r="G14306">
        <v>8</v>
      </c>
      <c r="H14306">
        <f t="shared" si="449"/>
        <v>-6</v>
      </c>
    </row>
    <row r="14307" spans="1:8" x14ac:dyDescent="0.2">
      <c r="A14307" t="s">
        <v>7</v>
      </c>
      <c r="B14307" t="s">
        <v>34</v>
      </c>
      <c r="C14307" t="str">
        <f t="shared" si="448"/>
        <v>No cumple</v>
      </c>
      <c r="D14307">
        <v>3368</v>
      </c>
      <c r="E14307" t="s">
        <v>8</v>
      </c>
      <c r="F14307">
        <v>2</v>
      </c>
      <c r="G14307">
        <v>8</v>
      </c>
      <c r="H14307">
        <f t="shared" si="449"/>
        <v>-6</v>
      </c>
    </row>
    <row r="14308" spans="1:8" x14ac:dyDescent="0.2">
      <c r="A14308" t="s">
        <v>7</v>
      </c>
      <c r="B14308" t="s">
        <v>34</v>
      </c>
      <c r="C14308" t="str">
        <f t="shared" si="448"/>
        <v>No cumple</v>
      </c>
      <c r="D14308">
        <v>3585</v>
      </c>
      <c r="E14308" t="s">
        <v>8</v>
      </c>
      <c r="F14308">
        <v>2</v>
      </c>
      <c r="G14308">
        <v>8</v>
      </c>
      <c r="H14308">
        <f t="shared" si="449"/>
        <v>-6</v>
      </c>
    </row>
    <row r="14309" spans="1:8" x14ac:dyDescent="0.2">
      <c r="A14309" t="s">
        <v>7</v>
      </c>
      <c r="B14309" t="s">
        <v>34</v>
      </c>
      <c r="C14309" t="str">
        <f t="shared" si="448"/>
        <v>No cumple</v>
      </c>
      <c r="D14309">
        <v>3629</v>
      </c>
      <c r="E14309" t="s">
        <v>8</v>
      </c>
      <c r="F14309">
        <v>2</v>
      </c>
      <c r="G14309">
        <v>8</v>
      </c>
      <c r="H14309">
        <f t="shared" si="449"/>
        <v>-6</v>
      </c>
    </row>
    <row r="14310" spans="1:8" x14ac:dyDescent="0.2">
      <c r="A14310" t="s">
        <v>7</v>
      </c>
      <c r="B14310" t="s">
        <v>34</v>
      </c>
      <c r="C14310" t="str">
        <f t="shared" si="448"/>
        <v>No cumple</v>
      </c>
      <c r="D14310">
        <v>7027</v>
      </c>
      <c r="E14310" t="s">
        <v>8</v>
      </c>
      <c r="F14310">
        <v>2</v>
      </c>
      <c r="G14310">
        <v>8</v>
      </c>
      <c r="H14310">
        <f t="shared" si="449"/>
        <v>-6</v>
      </c>
    </row>
    <row r="14311" spans="1:8" x14ac:dyDescent="0.2">
      <c r="A14311" t="s">
        <v>7</v>
      </c>
      <c r="B14311" t="s">
        <v>34</v>
      </c>
      <c r="C14311" t="str">
        <f t="shared" si="448"/>
        <v>No cumple</v>
      </c>
      <c r="D14311">
        <v>9159</v>
      </c>
      <c r="E14311" t="s">
        <v>8</v>
      </c>
      <c r="F14311">
        <v>2</v>
      </c>
      <c r="G14311">
        <v>8</v>
      </c>
      <c r="H14311">
        <f t="shared" si="449"/>
        <v>-6</v>
      </c>
    </row>
    <row r="14312" spans="1:8" x14ac:dyDescent="0.2">
      <c r="A14312" t="s">
        <v>7</v>
      </c>
      <c r="B14312" t="s">
        <v>34</v>
      </c>
      <c r="C14312" t="str">
        <f t="shared" si="448"/>
        <v>No cumple</v>
      </c>
      <c r="D14312">
        <v>9161</v>
      </c>
      <c r="E14312" t="s">
        <v>8</v>
      </c>
      <c r="F14312">
        <v>2</v>
      </c>
      <c r="G14312">
        <v>8</v>
      </c>
      <c r="H14312">
        <f t="shared" si="449"/>
        <v>-6</v>
      </c>
    </row>
    <row r="14313" spans="1:8" x14ac:dyDescent="0.2">
      <c r="A14313" t="s">
        <v>7</v>
      </c>
      <c r="B14313" t="s">
        <v>34</v>
      </c>
      <c r="C14313" t="str">
        <f t="shared" si="448"/>
        <v>No cumple</v>
      </c>
      <c r="D14313">
        <v>9320</v>
      </c>
      <c r="E14313" t="s">
        <v>8</v>
      </c>
      <c r="F14313">
        <v>2</v>
      </c>
      <c r="G14313">
        <v>8</v>
      </c>
      <c r="H14313">
        <f t="shared" si="449"/>
        <v>-6</v>
      </c>
    </row>
    <row r="14314" spans="1:8" x14ac:dyDescent="0.2">
      <c r="A14314" t="s">
        <v>7</v>
      </c>
      <c r="B14314" t="s">
        <v>34</v>
      </c>
      <c r="C14314" t="str">
        <f t="shared" si="448"/>
        <v>No cumple</v>
      </c>
      <c r="D14314">
        <v>3990</v>
      </c>
      <c r="E14314" t="s">
        <v>8</v>
      </c>
      <c r="F14314">
        <v>2</v>
      </c>
      <c r="G14314">
        <v>8</v>
      </c>
      <c r="H14314">
        <f t="shared" si="449"/>
        <v>-6</v>
      </c>
    </row>
    <row r="14315" spans="1:8" x14ac:dyDescent="0.2">
      <c r="A14315" t="s">
        <v>7</v>
      </c>
      <c r="B14315" t="s">
        <v>34</v>
      </c>
      <c r="C14315" t="str">
        <f t="shared" si="448"/>
        <v>No cumple</v>
      </c>
      <c r="D14315">
        <v>3991</v>
      </c>
      <c r="E14315" t="s">
        <v>8</v>
      </c>
      <c r="F14315">
        <v>2</v>
      </c>
      <c r="G14315">
        <v>8</v>
      </c>
      <c r="H14315">
        <f t="shared" si="449"/>
        <v>-6</v>
      </c>
    </row>
    <row r="14316" spans="1:8" x14ac:dyDescent="0.2">
      <c r="A14316" t="s">
        <v>7</v>
      </c>
      <c r="B14316" t="s">
        <v>34</v>
      </c>
      <c r="C14316" t="str">
        <f t="shared" si="448"/>
        <v>No cumple</v>
      </c>
      <c r="D14316">
        <v>2923</v>
      </c>
      <c r="E14316" t="s">
        <v>8</v>
      </c>
      <c r="F14316">
        <v>2</v>
      </c>
      <c r="G14316">
        <v>8</v>
      </c>
      <c r="H14316">
        <f t="shared" si="449"/>
        <v>-6</v>
      </c>
    </row>
    <row r="14317" spans="1:8" x14ac:dyDescent="0.2">
      <c r="A14317" t="s">
        <v>7</v>
      </c>
      <c r="B14317" t="s">
        <v>34</v>
      </c>
      <c r="C14317" t="str">
        <f t="shared" si="448"/>
        <v>No cumple</v>
      </c>
      <c r="D14317">
        <v>349</v>
      </c>
      <c r="E14317" t="s">
        <v>8</v>
      </c>
      <c r="F14317">
        <v>2</v>
      </c>
      <c r="G14317">
        <v>8</v>
      </c>
      <c r="H14317">
        <f t="shared" si="449"/>
        <v>-6</v>
      </c>
    </row>
    <row r="14318" spans="1:8" x14ac:dyDescent="0.2">
      <c r="A14318" t="s">
        <v>7</v>
      </c>
      <c r="B14318" t="s">
        <v>34</v>
      </c>
      <c r="C14318" t="str">
        <f t="shared" si="448"/>
        <v>No cumple</v>
      </c>
      <c r="D14318">
        <v>315</v>
      </c>
      <c r="E14318" t="s">
        <v>8</v>
      </c>
      <c r="F14318">
        <v>2</v>
      </c>
      <c r="G14318">
        <v>8</v>
      </c>
      <c r="H14318">
        <f t="shared" si="449"/>
        <v>-6</v>
      </c>
    </row>
    <row r="14319" spans="1:8" x14ac:dyDescent="0.2">
      <c r="A14319" t="s">
        <v>7</v>
      </c>
      <c r="B14319" t="s">
        <v>34</v>
      </c>
      <c r="C14319" t="str">
        <f t="shared" si="448"/>
        <v>No cumple</v>
      </c>
      <c r="D14319">
        <v>4063</v>
      </c>
      <c r="E14319" t="s">
        <v>8</v>
      </c>
      <c r="F14319">
        <v>2</v>
      </c>
      <c r="G14319">
        <v>8</v>
      </c>
      <c r="H14319">
        <f t="shared" si="449"/>
        <v>-6</v>
      </c>
    </row>
    <row r="14320" spans="1:8" x14ac:dyDescent="0.2">
      <c r="A14320" t="s">
        <v>7</v>
      </c>
      <c r="B14320" t="s">
        <v>34</v>
      </c>
      <c r="C14320" t="str">
        <f t="shared" si="448"/>
        <v>No cumple</v>
      </c>
      <c r="D14320">
        <v>4080</v>
      </c>
      <c r="E14320" t="s">
        <v>8</v>
      </c>
      <c r="F14320">
        <v>2</v>
      </c>
      <c r="G14320">
        <v>8</v>
      </c>
      <c r="H14320">
        <f t="shared" si="449"/>
        <v>-6</v>
      </c>
    </row>
    <row r="14321" spans="1:8" x14ac:dyDescent="0.2">
      <c r="A14321" t="s">
        <v>7</v>
      </c>
      <c r="B14321" t="s">
        <v>34</v>
      </c>
      <c r="C14321" t="str">
        <f t="shared" si="448"/>
        <v>No cumple</v>
      </c>
      <c r="D14321">
        <v>307</v>
      </c>
      <c r="E14321" t="s">
        <v>8</v>
      </c>
      <c r="F14321">
        <v>1</v>
      </c>
      <c r="G14321">
        <v>8</v>
      </c>
      <c r="H14321">
        <f t="shared" si="449"/>
        <v>-7</v>
      </c>
    </row>
    <row r="14322" spans="1:8" x14ac:dyDescent="0.2">
      <c r="A14322" t="s">
        <v>7</v>
      </c>
      <c r="B14322" t="s">
        <v>34</v>
      </c>
      <c r="C14322" t="str">
        <f t="shared" si="448"/>
        <v>No cumple</v>
      </c>
      <c r="D14322">
        <v>365</v>
      </c>
      <c r="E14322" t="s">
        <v>8</v>
      </c>
      <c r="F14322">
        <v>1</v>
      </c>
      <c r="G14322">
        <v>8</v>
      </c>
      <c r="H14322">
        <f t="shared" si="449"/>
        <v>-7</v>
      </c>
    </row>
    <row r="14323" spans="1:8" x14ac:dyDescent="0.2">
      <c r="A14323" t="s">
        <v>7</v>
      </c>
      <c r="B14323" t="s">
        <v>34</v>
      </c>
      <c r="C14323" t="str">
        <f t="shared" si="448"/>
        <v>No cumple</v>
      </c>
      <c r="D14323">
        <v>523</v>
      </c>
      <c r="E14323" t="s">
        <v>8</v>
      </c>
      <c r="F14323">
        <v>1</v>
      </c>
      <c r="G14323">
        <v>8</v>
      </c>
      <c r="H14323">
        <f t="shared" si="449"/>
        <v>-7</v>
      </c>
    </row>
    <row r="14324" spans="1:8" x14ac:dyDescent="0.2">
      <c r="A14324" t="s">
        <v>7</v>
      </c>
      <c r="B14324" t="s">
        <v>34</v>
      </c>
      <c r="C14324" t="str">
        <f t="shared" si="448"/>
        <v>No cumple</v>
      </c>
      <c r="D14324">
        <v>684</v>
      </c>
      <c r="E14324" t="s">
        <v>8</v>
      </c>
      <c r="F14324">
        <v>1</v>
      </c>
      <c r="G14324">
        <v>8</v>
      </c>
      <c r="H14324">
        <f t="shared" si="449"/>
        <v>-7</v>
      </c>
    </row>
    <row r="14325" spans="1:8" x14ac:dyDescent="0.2">
      <c r="A14325" t="s">
        <v>7</v>
      </c>
      <c r="B14325" t="s">
        <v>34</v>
      </c>
      <c r="C14325" t="str">
        <f t="shared" si="448"/>
        <v>No cumple</v>
      </c>
      <c r="D14325">
        <v>761</v>
      </c>
      <c r="E14325" t="s">
        <v>8</v>
      </c>
      <c r="F14325">
        <v>1</v>
      </c>
      <c r="G14325">
        <v>8</v>
      </c>
      <c r="H14325">
        <f t="shared" si="449"/>
        <v>-7</v>
      </c>
    </row>
    <row r="14326" spans="1:8" x14ac:dyDescent="0.2">
      <c r="A14326" t="s">
        <v>7</v>
      </c>
      <c r="B14326" t="s">
        <v>34</v>
      </c>
      <c r="C14326" t="str">
        <f t="shared" si="448"/>
        <v>No cumple</v>
      </c>
      <c r="D14326">
        <v>797</v>
      </c>
      <c r="E14326" t="s">
        <v>8</v>
      </c>
      <c r="F14326">
        <v>1</v>
      </c>
      <c r="G14326">
        <v>8</v>
      </c>
      <c r="H14326">
        <f t="shared" si="449"/>
        <v>-7</v>
      </c>
    </row>
    <row r="14327" spans="1:8" x14ac:dyDescent="0.2">
      <c r="A14327" t="s">
        <v>7</v>
      </c>
      <c r="B14327" t="s">
        <v>34</v>
      </c>
      <c r="C14327" t="str">
        <f t="shared" si="448"/>
        <v>No cumple</v>
      </c>
      <c r="D14327">
        <v>953</v>
      </c>
      <c r="E14327" t="s">
        <v>8</v>
      </c>
      <c r="F14327">
        <v>1</v>
      </c>
      <c r="G14327">
        <v>8</v>
      </c>
      <c r="H14327">
        <f t="shared" si="449"/>
        <v>-7</v>
      </c>
    </row>
    <row r="14328" spans="1:8" x14ac:dyDescent="0.2">
      <c r="A14328" t="s">
        <v>7</v>
      </c>
      <c r="B14328" t="s">
        <v>34</v>
      </c>
      <c r="C14328" t="str">
        <f t="shared" si="448"/>
        <v>No cumple</v>
      </c>
      <c r="D14328">
        <v>1713</v>
      </c>
      <c r="E14328" t="s">
        <v>8</v>
      </c>
      <c r="F14328">
        <v>1</v>
      </c>
      <c r="G14328">
        <v>8</v>
      </c>
      <c r="H14328">
        <f t="shared" si="449"/>
        <v>-7</v>
      </c>
    </row>
    <row r="14329" spans="1:8" x14ac:dyDescent="0.2">
      <c r="A14329" t="s">
        <v>7</v>
      </c>
      <c r="B14329" t="s">
        <v>34</v>
      </c>
      <c r="C14329" t="str">
        <f t="shared" si="448"/>
        <v>No cumple</v>
      </c>
      <c r="D14329">
        <v>1718</v>
      </c>
      <c r="E14329" t="s">
        <v>8</v>
      </c>
      <c r="F14329">
        <v>1</v>
      </c>
      <c r="G14329">
        <v>8</v>
      </c>
      <c r="H14329">
        <f t="shared" si="449"/>
        <v>-7</v>
      </c>
    </row>
    <row r="14330" spans="1:8" x14ac:dyDescent="0.2">
      <c r="A14330" t="s">
        <v>7</v>
      </c>
      <c r="B14330" t="s">
        <v>34</v>
      </c>
      <c r="C14330" t="str">
        <f t="shared" si="448"/>
        <v>No cumple</v>
      </c>
      <c r="D14330">
        <v>1785</v>
      </c>
      <c r="E14330" t="s">
        <v>8</v>
      </c>
      <c r="F14330">
        <v>1</v>
      </c>
      <c r="G14330">
        <v>8</v>
      </c>
      <c r="H14330">
        <f t="shared" si="449"/>
        <v>-7</v>
      </c>
    </row>
    <row r="14331" spans="1:8" x14ac:dyDescent="0.2">
      <c r="A14331" t="s">
        <v>7</v>
      </c>
      <c r="B14331" t="s">
        <v>34</v>
      </c>
      <c r="C14331" t="str">
        <f t="shared" si="448"/>
        <v>No cumple</v>
      </c>
      <c r="D14331">
        <v>1786</v>
      </c>
      <c r="E14331" t="s">
        <v>8</v>
      </c>
      <c r="F14331">
        <v>1</v>
      </c>
      <c r="G14331">
        <v>8</v>
      </c>
      <c r="H14331">
        <f t="shared" si="449"/>
        <v>-7</v>
      </c>
    </row>
    <row r="14332" spans="1:8" x14ac:dyDescent="0.2">
      <c r="A14332" t="s">
        <v>7</v>
      </c>
      <c r="B14332" t="s">
        <v>34</v>
      </c>
      <c r="C14332" t="str">
        <f t="shared" si="448"/>
        <v>No cumple</v>
      </c>
      <c r="D14332">
        <v>2082</v>
      </c>
      <c r="E14332" t="s">
        <v>8</v>
      </c>
      <c r="F14332">
        <v>1</v>
      </c>
      <c r="G14332">
        <v>8</v>
      </c>
      <c r="H14332">
        <f t="shared" si="449"/>
        <v>-7</v>
      </c>
    </row>
    <row r="14333" spans="1:8" x14ac:dyDescent="0.2">
      <c r="A14333" t="s">
        <v>7</v>
      </c>
      <c r="B14333" t="s">
        <v>34</v>
      </c>
      <c r="C14333" t="str">
        <f t="shared" si="448"/>
        <v>No cumple</v>
      </c>
      <c r="D14333">
        <v>2102</v>
      </c>
      <c r="E14333" t="s">
        <v>8</v>
      </c>
      <c r="F14333">
        <v>1</v>
      </c>
      <c r="G14333">
        <v>8</v>
      </c>
      <c r="H14333">
        <f t="shared" si="449"/>
        <v>-7</v>
      </c>
    </row>
    <row r="14334" spans="1:8" x14ac:dyDescent="0.2">
      <c r="A14334" t="s">
        <v>7</v>
      </c>
      <c r="B14334" t="s">
        <v>34</v>
      </c>
      <c r="C14334" t="str">
        <f t="shared" si="448"/>
        <v>No cumple</v>
      </c>
      <c r="D14334">
        <v>2104</v>
      </c>
      <c r="E14334" t="s">
        <v>8</v>
      </c>
      <c r="F14334">
        <v>1</v>
      </c>
      <c r="G14334">
        <v>8</v>
      </c>
      <c r="H14334">
        <f t="shared" si="449"/>
        <v>-7</v>
      </c>
    </row>
    <row r="14335" spans="1:8" x14ac:dyDescent="0.2">
      <c r="A14335" t="s">
        <v>7</v>
      </c>
      <c r="B14335" t="s">
        <v>34</v>
      </c>
      <c r="C14335" t="str">
        <f t="shared" si="448"/>
        <v>No cumple</v>
      </c>
      <c r="D14335">
        <v>2190</v>
      </c>
      <c r="E14335" t="s">
        <v>8</v>
      </c>
      <c r="F14335">
        <v>1</v>
      </c>
      <c r="G14335">
        <v>8</v>
      </c>
      <c r="H14335">
        <f t="shared" si="449"/>
        <v>-7</v>
      </c>
    </row>
    <row r="14336" spans="1:8" x14ac:dyDescent="0.2">
      <c r="A14336" t="s">
        <v>7</v>
      </c>
      <c r="B14336" t="s">
        <v>34</v>
      </c>
      <c r="C14336" t="str">
        <f t="shared" si="448"/>
        <v>No cumple</v>
      </c>
      <c r="D14336">
        <v>2331</v>
      </c>
      <c r="E14336" t="s">
        <v>8</v>
      </c>
      <c r="F14336">
        <v>1</v>
      </c>
      <c r="G14336">
        <v>8</v>
      </c>
      <c r="H14336">
        <f t="shared" si="449"/>
        <v>-7</v>
      </c>
    </row>
    <row r="14337" spans="1:8" x14ac:dyDescent="0.2">
      <c r="A14337" t="s">
        <v>7</v>
      </c>
      <c r="B14337" t="s">
        <v>34</v>
      </c>
      <c r="C14337" t="str">
        <f t="shared" si="448"/>
        <v>No cumple</v>
      </c>
      <c r="D14337">
        <v>2581</v>
      </c>
      <c r="E14337" t="s">
        <v>8</v>
      </c>
      <c r="F14337">
        <v>1</v>
      </c>
      <c r="G14337">
        <v>8</v>
      </c>
      <c r="H14337">
        <f t="shared" si="449"/>
        <v>-7</v>
      </c>
    </row>
    <row r="14338" spans="1:8" x14ac:dyDescent="0.2">
      <c r="A14338" t="s">
        <v>7</v>
      </c>
      <c r="B14338" t="s">
        <v>34</v>
      </c>
      <c r="C14338" t="str">
        <f t="shared" si="448"/>
        <v>No cumple</v>
      </c>
      <c r="D14338">
        <v>2586</v>
      </c>
      <c r="E14338" t="s">
        <v>8</v>
      </c>
      <c r="F14338">
        <v>1</v>
      </c>
      <c r="G14338">
        <v>8</v>
      </c>
      <c r="H14338">
        <f t="shared" si="449"/>
        <v>-7</v>
      </c>
    </row>
    <row r="14339" spans="1:8" x14ac:dyDescent="0.2">
      <c r="A14339" t="s">
        <v>7</v>
      </c>
      <c r="B14339" t="s">
        <v>34</v>
      </c>
      <c r="C14339" t="str">
        <f t="shared" si="448"/>
        <v>No cumple</v>
      </c>
      <c r="D14339">
        <v>2763</v>
      </c>
      <c r="E14339" t="s">
        <v>8</v>
      </c>
      <c r="F14339">
        <v>1</v>
      </c>
      <c r="G14339">
        <v>8</v>
      </c>
      <c r="H14339">
        <f t="shared" si="449"/>
        <v>-7</v>
      </c>
    </row>
    <row r="14340" spans="1:8" x14ac:dyDescent="0.2">
      <c r="A14340" t="s">
        <v>7</v>
      </c>
      <c r="B14340" t="s">
        <v>34</v>
      </c>
      <c r="C14340" t="str">
        <f t="shared" si="448"/>
        <v>No cumple</v>
      </c>
      <c r="D14340">
        <v>2836</v>
      </c>
      <c r="E14340" t="s">
        <v>8</v>
      </c>
      <c r="F14340">
        <v>1</v>
      </c>
      <c r="G14340">
        <v>8</v>
      </c>
      <c r="H14340">
        <f t="shared" si="449"/>
        <v>-7</v>
      </c>
    </row>
    <row r="14341" spans="1:8" x14ac:dyDescent="0.2">
      <c r="A14341" t="s">
        <v>7</v>
      </c>
      <c r="B14341" t="s">
        <v>34</v>
      </c>
      <c r="C14341" t="str">
        <f t="shared" ref="C14341:C14404" si="450">IF(H14341&gt;=0,"Cumple","No cumple")</f>
        <v>No cumple</v>
      </c>
      <c r="D14341">
        <v>3049</v>
      </c>
      <c r="E14341" t="s">
        <v>8</v>
      </c>
      <c r="F14341">
        <v>1</v>
      </c>
      <c r="G14341">
        <v>8</v>
      </c>
      <c r="H14341">
        <f t="shared" si="449"/>
        <v>-7</v>
      </c>
    </row>
    <row r="14342" spans="1:8" x14ac:dyDescent="0.2">
      <c r="A14342" t="s">
        <v>7</v>
      </c>
      <c r="B14342" t="s">
        <v>34</v>
      </c>
      <c r="C14342" t="str">
        <f t="shared" si="450"/>
        <v>No cumple</v>
      </c>
      <c r="D14342">
        <v>3381</v>
      </c>
      <c r="E14342" t="s">
        <v>8</v>
      </c>
      <c r="F14342">
        <v>1</v>
      </c>
      <c r="G14342">
        <v>8</v>
      </c>
      <c r="H14342">
        <f t="shared" si="449"/>
        <v>-7</v>
      </c>
    </row>
    <row r="14343" spans="1:8" x14ac:dyDescent="0.2">
      <c r="A14343" t="s">
        <v>7</v>
      </c>
      <c r="B14343" t="s">
        <v>34</v>
      </c>
      <c r="C14343" t="str">
        <f t="shared" si="450"/>
        <v>No cumple</v>
      </c>
      <c r="D14343">
        <v>3453</v>
      </c>
      <c r="E14343" t="s">
        <v>8</v>
      </c>
      <c r="F14343">
        <v>1</v>
      </c>
      <c r="G14343">
        <v>8</v>
      </c>
      <c r="H14343">
        <f t="shared" si="449"/>
        <v>-7</v>
      </c>
    </row>
    <row r="14344" spans="1:8" x14ac:dyDescent="0.2">
      <c r="A14344" t="s">
        <v>7</v>
      </c>
      <c r="B14344" t="s">
        <v>34</v>
      </c>
      <c r="C14344" t="str">
        <f t="shared" si="450"/>
        <v>No cumple</v>
      </c>
      <c r="D14344">
        <v>3575</v>
      </c>
      <c r="E14344" t="s">
        <v>8</v>
      </c>
      <c r="F14344">
        <v>1</v>
      </c>
      <c r="G14344">
        <v>8</v>
      </c>
      <c r="H14344">
        <f t="shared" si="449"/>
        <v>-7</v>
      </c>
    </row>
    <row r="14345" spans="1:8" x14ac:dyDescent="0.2">
      <c r="A14345" t="s">
        <v>7</v>
      </c>
      <c r="B14345" t="s">
        <v>34</v>
      </c>
      <c r="C14345" t="str">
        <f t="shared" si="450"/>
        <v>No cumple</v>
      </c>
      <c r="D14345">
        <v>3630</v>
      </c>
      <c r="E14345" t="s">
        <v>8</v>
      </c>
      <c r="F14345">
        <v>1</v>
      </c>
      <c r="G14345">
        <v>8</v>
      </c>
      <c r="H14345">
        <f t="shared" si="449"/>
        <v>-7</v>
      </c>
    </row>
    <row r="14346" spans="1:8" x14ac:dyDescent="0.2">
      <c r="A14346" t="s">
        <v>7</v>
      </c>
      <c r="B14346" t="s">
        <v>34</v>
      </c>
      <c r="C14346" t="str">
        <f t="shared" si="450"/>
        <v>No cumple</v>
      </c>
      <c r="D14346">
        <v>3799</v>
      </c>
      <c r="E14346" t="s">
        <v>8</v>
      </c>
      <c r="F14346">
        <v>1</v>
      </c>
      <c r="G14346">
        <v>8</v>
      </c>
      <c r="H14346">
        <f t="shared" si="449"/>
        <v>-7</v>
      </c>
    </row>
    <row r="14347" spans="1:8" x14ac:dyDescent="0.2">
      <c r="A14347" t="s">
        <v>7</v>
      </c>
      <c r="B14347" t="s">
        <v>34</v>
      </c>
      <c r="C14347" t="str">
        <f t="shared" si="450"/>
        <v>No cumple</v>
      </c>
      <c r="D14347">
        <v>3802</v>
      </c>
      <c r="E14347" t="s">
        <v>8</v>
      </c>
      <c r="F14347">
        <v>1</v>
      </c>
      <c r="G14347">
        <v>8</v>
      </c>
      <c r="H14347">
        <f t="shared" si="449"/>
        <v>-7</v>
      </c>
    </row>
    <row r="14348" spans="1:8" x14ac:dyDescent="0.2">
      <c r="A14348" t="s">
        <v>7</v>
      </c>
      <c r="B14348" t="s">
        <v>34</v>
      </c>
      <c r="C14348" t="str">
        <f t="shared" si="450"/>
        <v>No cumple</v>
      </c>
      <c r="D14348">
        <v>3880</v>
      </c>
      <c r="E14348" t="s">
        <v>8</v>
      </c>
      <c r="F14348">
        <v>1</v>
      </c>
      <c r="G14348">
        <v>8</v>
      </c>
      <c r="H14348">
        <f t="shared" si="449"/>
        <v>-7</v>
      </c>
    </row>
    <row r="14349" spans="1:8" x14ac:dyDescent="0.2">
      <c r="A14349" t="s">
        <v>7</v>
      </c>
      <c r="B14349" t="s">
        <v>34</v>
      </c>
      <c r="C14349" t="str">
        <f t="shared" si="450"/>
        <v>No cumple</v>
      </c>
      <c r="D14349">
        <v>3943</v>
      </c>
      <c r="E14349" t="s">
        <v>8</v>
      </c>
      <c r="F14349">
        <v>1</v>
      </c>
      <c r="G14349">
        <v>8</v>
      </c>
      <c r="H14349">
        <f t="shared" si="449"/>
        <v>-7</v>
      </c>
    </row>
    <row r="14350" spans="1:8" x14ac:dyDescent="0.2">
      <c r="A14350" t="s">
        <v>7</v>
      </c>
      <c r="B14350" t="s">
        <v>34</v>
      </c>
      <c r="C14350" t="str">
        <f t="shared" si="450"/>
        <v>No cumple</v>
      </c>
      <c r="D14350">
        <v>3962</v>
      </c>
      <c r="E14350" t="s">
        <v>8</v>
      </c>
      <c r="F14350">
        <v>1</v>
      </c>
      <c r="G14350">
        <v>8</v>
      </c>
      <c r="H14350">
        <f t="shared" si="449"/>
        <v>-7</v>
      </c>
    </row>
    <row r="14351" spans="1:8" x14ac:dyDescent="0.2">
      <c r="A14351" t="s">
        <v>7</v>
      </c>
      <c r="B14351" t="s">
        <v>34</v>
      </c>
      <c r="C14351" t="str">
        <f t="shared" si="450"/>
        <v>No cumple</v>
      </c>
      <c r="D14351">
        <v>3967</v>
      </c>
      <c r="E14351" t="s">
        <v>8</v>
      </c>
      <c r="F14351">
        <v>1</v>
      </c>
      <c r="G14351">
        <v>8</v>
      </c>
      <c r="H14351">
        <f t="shared" si="449"/>
        <v>-7</v>
      </c>
    </row>
    <row r="14352" spans="1:8" x14ac:dyDescent="0.2">
      <c r="A14352" t="s">
        <v>7</v>
      </c>
      <c r="B14352" t="s">
        <v>34</v>
      </c>
      <c r="C14352" t="str">
        <f t="shared" si="450"/>
        <v>No cumple</v>
      </c>
      <c r="D14352">
        <v>7602</v>
      </c>
      <c r="E14352" t="s">
        <v>8</v>
      </c>
      <c r="F14352">
        <v>1</v>
      </c>
      <c r="G14352">
        <v>8</v>
      </c>
      <c r="H14352">
        <f t="shared" si="449"/>
        <v>-7</v>
      </c>
    </row>
    <row r="14353" spans="1:8" x14ac:dyDescent="0.2">
      <c r="A14353" t="s">
        <v>7</v>
      </c>
      <c r="B14353" t="s">
        <v>34</v>
      </c>
      <c r="C14353" t="str">
        <f t="shared" si="450"/>
        <v>No cumple</v>
      </c>
      <c r="D14353">
        <v>9031</v>
      </c>
      <c r="E14353" t="s">
        <v>8</v>
      </c>
      <c r="F14353">
        <v>1</v>
      </c>
      <c r="G14353">
        <v>8</v>
      </c>
      <c r="H14353">
        <f t="shared" si="449"/>
        <v>-7</v>
      </c>
    </row>
    <row r="14354" spans="1:8" x14ac:dyDescent="0.2">
      <c r="A14354" t="s">
        <v>7</v>
      </c>
      <c r="B14354" t="s">
        <v>34</v>
      </c>
      <c r="C14354" t="str">
        <f t="shared" si="450"/>
        <v>No cumple</v>
      </c>
      <c r="D14354">
        <v>9071</v>
      </c>
      <c r="E14354" t="s">
        <v>8</v>
      </c>
      <c r="F14354">
        <v>1</v>
      </c>
      <c r="G14354">
        <v>8</v>
      </c>
      <c r="H14354">
        <f t="shared" si="449"/>
        <v>-7</v>
      </c>
    </row>
    <row r="14355" spans="1:8" x14ac:dyDescent="0.2">
      <c r="A14355" t="s">
        <v>7</v>
      </c>
      <c r="B14355" t="s">
        <v>34</v>
      </c>
      <c r="C14355" t="str">
        <f t="shared" si="450"/>
        <v>No cumple</v>
      </c>
      <c r="D14355">
        <v>9074</v>
      </c>
      <c r="E14355" t="s">
        <v>8</v>
      </c>
      <c r="F14355">
        <v>1</v>
      </c>
      <c r="G14355">
        <v>8</v>
      </c>
      <c r="H14355">
        <f t="shared" si="449"/>
        <v>-7</v>
      </c>
    </row>
    <row r="14356" spans="1:8" x14ac:dyDescent="0.2">
      <c r="A14356" t="s">
        <v>7</v>
      </c>
      <c r="B14356" t="s">
        <v>34</v>
      </c>
      <c r="C14356" t="str">
        <f t="shared" si="450"/>
        <v>No cumple</v>
      </c>
      <c r="D14356">
        <v>9131</v>
      </c>
      <c r="E14356" t="s">
        <v>8</v>
      </c>
      <c r="F14356">
        <v>1</v>
      </c>
      <c r="G14356">
        <v>8</v>
      </c>
      <c r="H14356">
        <f t="shared" si="449"/>
        <v>-7</v>
      </c>
    </row>
    <row r="14357" spans="1:8" x14ac:dyDescent="0.2">
      <c r="A14357" t="s">
        <v>7</v>
      </c>
      <c r="B14357" t="s">
        <v>34</v>
      </c>
      <c r="C14357" t="str">
        <f t="shared" si="450"/>
        <v>No cumple</v>
      </c>
      <c r="D14357">
        <v>9174</v>
      </c>
      <c r="E14357" t="s">
        <v>8</v>
      </c>
      <c r="F14357">
        <v>1</v>
      </c>
      <c r="G14357">
        <v>8</v>
      </c>
      <c r="H14357">
        <f t="shared" si="449"/>
        <v>-7</v>
      </c>
    </row>
    <row r="14358" spans="1:8" x14ac:dyDescent="0.2">
      <c r="A14358" t="s">
        <v>7</v>
      </c>
      <c r="B14358" t="s">
        <v>34</v>
      </c>
      <c r="C14358" t="str">
        <f t="shared" si="450"/>
        <v>No cumple</v>
      </c>
      <c r="D14358">
        <v>9231</v>
      </c>
      <c r="E14358" t="s">
        <v>8</v>
      </c>
      <c r="F14358">
        <v>1</v>
      </c>
      <c r="G14358">
        <v>8</v>
      </c>
      <c r="H14358">
        <f t="shared" si="449"/>
        <v>-7</v>
      </c>
    </row>
    <row r="14359" spans="1:8" x14ac:dyDescent="0.2">
      <c r="A14359" t="s">
        <v>7</v>
      </c>
      <c r="B14359" t="s">
        <v>34</v>
      </c>
      <c r="C14359" t="str">
        <f t="shared" si="450"/>
        <v>No cumple</v>
      </c>
      <c r="D14359">
        <v>9329</v>
      </c>
      <c r="E14359" t="s">
        <v>8</v>
      </c>
      <c r="F14359">
        <v>1</v>
      </c>
      <c r="G14359">
        <v>8</v>
      </c>
      <c r="H14359">
        <f t="shared" si="449"/>
        <v>-7</v>
      </c>
    </row>
    <row r="14360" spans="1:8" x14ac:dyDescent="0.2">
      <c r="A14360" t="s">
        <v>7</v>
      </c>
      <c r="B14360" t="s">
        <v>34</v>
      </c>
      <c r="C14360" t="str">
        <f t="shared" si="450"/>
        <v>No cumple</v>
      </c>
      <c r="D14360">
        <v>9484</v>
      </c>
      <c r="E14360" t="s">
        <v>8</v>
      </c>
      <c r="F14360">
        <v>1</v>
      </c>
      <c r="G14360">
        <v>8</v>
      </c>
      <c r="H14360">
        <f t="shared" ref="H14360:H14423" si="451">F14360-G14360</f>
        <v>-7</v>
      </c>
    </row>
    <row r="14361" spans="1:8" x14ac:dyDescent="0.2">
      <c r="A14361" t="s">
        <v>7</v>
      </c>
      <c r="B14361" t="s">
        <v>34</v>
      </c>
      <c r="C14361" t="str">
        <f t="shared" si="450"/>
        <v>No cumple</v>
      </c>
      <c r="D14361">
        <v>9641</v>
      </c>
      <c r="E14361" t="s">
        <v>8</v>
      </c>
      <c r="F14361">
        <v>1</v>
      </c>
      <c r="G14361">
        <v>8</v>
      </c>
      <c r="H14361">
        <f t="shared" si="451"/>
        <v>-7</v>
      </c>
    </row>
    <row r="14362" spans="1:8" x14ac:dyDescent="0.2">
      <c r="A14362" t="s">
        <v>7</v>
      </c>
      <c r="B14362" t="s">
        <v>34</v>
      </c>
      <c r="C14362" t="str">
        <f t="shared" si="450"/>
        <v>No cumple</v>
      </c>
      <c r="D14362">
        <v>9740</v>
      </c>
      <c r="E14362" t="s">
        <v>8</v>
      </c>
      <c r="F14362">
        <v>1</v>
      </c>
      <c r="G14362">
        <v>8</v>
      </c>
      <c r="H14362">
        <f t="shared" si="451"/>
        <v>-7</v>
      </c>
    </row>
    <row r="14363" spans="1:8" x14ac:dyDescent="0.2">
      <c r="A14363" t="s">
        <v>7</v>
      </c>
      <c r="B14363" t="s">
        <v>34</v>
      </c>
      <c r="C14363" t="str">
        <f t="shared" si="450"/>
        <v>No cumple</v>
      </c>
      <c r="D14363">
        <v>9839</v>
      </c>
      <c r="E14363" t="s">
        <v>8</v>
      </c>
      <c r="F14363">
        <v>1</v>
      </c>
      <c r="G14363">
        <v>8</v>
      </c>
      <c r="H14363">
        <f t="shared" si="451"/>
        <v>-7</v>
      </c>
    </row>
    <row r="14364" spans="1:8" x14ac:dyDescent="0.2">
      <c r="A14364" t="s">
        <v>7</v>
      </c>
      <c r="B14364" t="s">
        <v>34</v>
      </c>
      <c r="C14364" t="str">
        <f t="shared" si="450"/>
        <v>No cumple</v>
      </c>
      <c r="D14364">
        <v>9973</v>
      </c>
      <c r="E14364" t="s">
        <v>8</v>
      </c>
      <c r="F14364">
        <v>1</v>
      </c>
      <c r="G14364">
        <v>8</v>
      </c>
      <c r="H14364">
        <f t="shared" si="451"/>
        <v>-7</v>
      </c>
    </row>
    <row r="14365" spans="1:8" x14ac:dyDescent="0.2">
      <c r="A14365" t="s">
        <v>7</v>
      </c>
      <c r="B14365" t="s">
        <v>34</v>
      </c>
      <c r="C14365" t="str">
        <f t="shared" si="450"/>
        <v>No cumple</v>
      </c>
      <c r="D14365">
        <v>2905</v>
      </c>
      <c r="E14365" t="s">
        <v>8</v>
      </c>
      <c r="F14365">
        <v>1</v>
      </c>
      <c r="G14365">
        <v>8</v>
      </c>
      <c r="H14365">
        <f t="shared" si="451"/>
        <v>-7</v>
      </c>
    </row>
    <row r="14366" spans="1:8" x14ac:dyDescent="0.2">
      <c r="A14366" t="s">
        <v>7</v>
      </c>
      <c r="B14366" t="s">
        <v>34</v>
      </c>
      <c r="C14366" t="str">
        <f t="shared" si="450"/>
        <v>No cumple</v>
      </c>
      <c r="D14366">
        <v>1836</v>
      </c>
      <c r="E14366" t="s">
        <v>8</v>
      </c>
      <c r="F14366">
        <v>1</v>
      </c>
      <c r="G14366">
        <v>8</v>
      </c>
      <c r="H14366">
        <f t="shared" si="451"/>
        <v>-7</v>
      </c>
    </row>
    <row r="14367" spans="1:8" x14ac:dyDescent="0.2">
      <c r="A14367" t="s">
        <v>7</v>
      </c>
      <c r="B14367" t="s">
        <v>34</v>
      </c>
      <c r="C14367" t="str">
        <f t="shared" si="450"/>
        <v>No cumple</v>
      </c>
      <c r="D14367">
        <v>4062</v>
      </c>
      <c r="E14367" t="s">
        <v>8</v>
      </c>
      <c r="F14367">
        <v>1</v>
      </c>
      <c r="G14367">
        <v>8</v>
      </c>
      <c r="H14367">
        <f t="shared" si="451"/>
        <v>-7</v>
      </c>
    </row>
    <row r="14368" spans="1:8" x14ac:dyDescent="0.2">
      <c r="A14368" t="s">
        <v>7</v>
      </c>
      <c r="B14368" t="s">
        <v>34</v>
      </c>
      <c r="C14368" t="str">
        <f t="shared" si="450"/>
        <v>No cumple</v>
      </c>
      <c r="D14368">
        <v>4064</v>
      </c>
      <c r="E14368" t="s">
        <v>8</v>
      </c>
      <c r="F14368">
        <v>1</v>
      </c>
      <c r="G14368">
        <v>8</v>
      </c>
      <c r="H14368">
        <f t="shared" si="451"/>
        <v>-7</v>
      </c>
    </row>
    <row r="14369" spans="1:8" x14ac:dyDescent="0.2">
      <c r="A14369" t="s">
        <v>7</v>
      </c>
      <c r="B14369" t="s">
        <v>34</v>
      </c>
      <c r="C14369" t="str">
        <f t="shared" si="450"/>
        <v>No cumple</v>
      </c>
      <c r="D14369">
        <v>4077</v>
      </c>
      <c r="E14369" t="s">
        <v>8</v>
      </c>
      <c r="F14369">
        <v>1</v>
      </c>
      <c r="G14369">
        <v>8</v>
      </c>
      <c r="H14369">
        <f t="shared" si="451"/>
        <v>-7</v>
      </c>
    </row>
    <row r="14370" spans="1:8" x14ac:dyDescent="0.2">
      <c r="A14370" t="s">
        <v>7</v>
      </c>
      <c r="B14370" t="s">
        <v>34</v>
      </c>
      <c r="C14370" t="str">
        <f t="shared" si="450"/>
        <v>No cumple</v>
      </c>
      <c r="D14370">
        <v>4082</v>
      </c>
      <c r="E14370" t="s">
        <v>8</v>
      </c>
      <c r="F14370">
        <v>1</v>
      </c>
      <c r="G14370">
        <v>8</v>
      </c>
      <c r="H14370">
        <f t="shared" si="451"/>
        <v>-7</v>
      </c>
    </row>
    <row r="14371" spans="1:8" x14ac:dyDescent="0.2">
      <c r="A14371" t="s">
        <v>18</v>
      </c>
      <c r="B14371" t="s">
        <v>34</v>
      </c>
      <c r="C14371" t="str">
        <f t="shared" si="450"/>
        <v>No cumple</v>
      </c>
      <c r="D14371">
        <v>208</v>
      </c>
      <c r="E14371" t="s">
        <v>8</v>
      </c>
      <c r="F14371">
        <v>0</v>
      </c>
      <c r="G14371">
        <v>8</v>
      </c>
      <c r="H14371">
        <f t="shared" si="451"/>
        <v>-8</v>
      </c>
    </row>
    <row r="14372" spans="1:8" x14ac:dyDescent="0.2">
      <c r="A14372" t="s">
        <v>7</v>
      </c>
      <c r="B14372" t="s">
        <v>34</v>
      </c>
      <c r="C14372" t="str">
        <f t="shared" si="450"/>
        <v>No cumple</v>
      </c>
      <c r="D14372">
        <v>234</v>
      </c>
      <c r="E14372" t="s">
        <v>8</v>
      </c>
      <c r="F14372">
        <v>0</v>
      </c>
      <c r="G14372">
        <v>8</v>
      </c>
      <c r="H14372">
        <f t="shared" si="451"/>
        <v>-8</v>
      </c>
    </row>
    <row r="14373" spans="1:8" x14ac:dyDescent="0.2">
      <c r="A14373" t="s">
        <v>18</v>
      </c>
      <c r="B14373" t="s">
        <v>34</v>
      </c>
      <c r="C14373" t="str">
        <f t="shared" si="450"/>
        <v>No cumple</v>
      </c>
      <c r="D14373">
        <v>331</v>
      </c>
      <c r="E14373" t="s">
        <v>8</v>
      </c>
      <c r="F14373">
        <v>0</v>
      </c>
      <c r="G14373">
        <v>8</v>
      </c>
      <c r="H14373">
        <f t="shared" si="451"/>
        <v>-8</v>
      </c>
    </row>
    <row r="14374" spans="1:8" x14ac:dyDescent="0.2">
      <c r="A14374" t="s">
        <v>18</v>
      </c>
      <c r="B14374" t="s">
        <v>34</v>
      </c>
      <c r="C14374" t="str">
        <f t="shared" si="450"/>
        <v>No cumple</v>
      </c>
      <c r="D14374">
        <v>361</v>
      </c>
      <c r="E14374" t="s">
        <v>8</v>
      </c>
      <c r="F14374">
        <v>0</v>
      </c>
      <c r="G14374">
        <v>8</v>
      </c>
      <c r="H14374">
        <f t="shared" si="451"/>
        <v>-8</v>
      </c>
    </row>
    <row r="14375" spans="1:8" x14ac:dyDescent="0.2">
      <c r="A14375" t="s">
        <v>7</v>
      </c>
      <c r="B14375" t="s">
        <v>34</v>
      </c>
      <c r="C14375" t="str">
        <f t="shared" si="450"/>
        <v>No cumple</v>
      </c>
      <c r="D14375">
        <v>479</v>
      </c>
      <c r="E14375" t="s">
        <v>8</v>
      </c>
      <c r="F14375">
        <v>0</v>
      </c>
      <c r="G14375">
        <v>8</v>
      </c>
      <c r="H14375">
        <f t="shared" si="451"/>
        <v>-8</v>
      </c>
    </row>
    <row r="14376" spans="1:8" x14ac:dyDescent="0.2">
      <c r="A14376" t="s">
        <v>18</v>
      </c>
      <c r="B14376" t="s">
        <v>34</v>
      </c>
      <c r="C14376" t="str">
        <f t="shared" si="450"/>
        <v>No cumple</v>
      </c>
      <c r="D14376">
        <v>504</v>
      </c>
      <c r="E14376" t="s">
        <v>8</v>
      </c>
      <c r="F14376">
        <v>0</v>
      </c>
      <c r="G14376">
        <v>8</v>
      </c>
      <c r="H14376">
        <f t="shared" si="451"/>
        <v>-8</v>
      </c>
    </row>
    <row r="14377" spans="1:8" x14ac:dyDescent="0.2">
      <c r="A14377" t="s">
        <v>18</v>
      </c>
      <c r="B14377" t="s">
        <v>34</v>
      </c>
      <c r="C14377" t="str">
        <f t="shared" si="450"/>
        <v>No cumple</v>
      </c>
      <c r="D14377">
        <v>515</v>
      </c>
      <c r="E14377" t="s">
        <v>8</v>
      </c>
      <c r="F14377">
        <v>0</v>
      </c>
      <c r="G14377">
        <v>8</v>
      </c>
      <c r="H14377">
        <f t="shared" si="451"/>
        <v>-8</v>
      </c>
    </row>
    <row r="14378" spans="1:8" x14ac:dyDescent="0.2">
      <c r="A14378" t="s">
        <v>18</v>
      </c>
      <c r="B14378" t="s">
        <v>34</v>
      </c>
      <c r="C14378" t="str">
        <f t="shared" si="450"/>
        <v>No cumple</v>
      </c>
      <c r="D14378">
        <v>539</v>
      </c>
      <c r="E14378" t="s">
        <v>8</v>
      </c>
      <c r="F14378">
        <v>0</v>
      </c>
      <c r="G14378">
        <v>8</v>
      </c>
      <c r="H14378">
        <f t="shared" si="451"/>
        <v>-8</v>
      </c>
    </row>
    <row r="14379" spans="1:8" x14ac:dyDescent="0.2">
      <c r="A14379" t="s">
        <v>7</v>
      </c>
      <c r="B14379" t="s">
        <v>34</v>
      </c>
      <c r="C14379" t="str">
        <f t="shared" si="450"/>
        <v>No cumple</v>
      </c>
      <c r="D14379">
        <v>557</v>
      </c>
      <c r="E14379" t="s">
        <v>8</v>
      </c>
      <c r="F14379">
        <v>0</v>
      </c>
      <c r="G14379">
        <v>8</v>
      </c>
      <c r="H14379">
        <f t="shared" si="451"/>
        <v>-8</v>
      </c>
    </row>
    <row r="14380" spans="1:8" x14ac:dyDescent="0.2">
      <c r="A14380" t="s">
        <v>7</v>
      </c>
      <c r="B14380" t="s">
        <v>34</v>
      </c>
      <c r="C14380" t="str">
        <f t="shared" si="450"/>
        <v>No cumple</v>
      </c>
      <c r="D14380">
        <v>559</v>
      </c>
      <c r="E14380" t="s">
        <v>8</v>
      </c>
      <c r="F14380">
        <v>0</v>
      </c>
      <c r="G14380">
        <v>8</v>
      </c>
      <c r="H14380">
        <f t="shared" si="451"/>
        <v>-8</v>
      </c>
    </row>
    <row r="14381" spans="1:8" x14ac:dyDescent="0.2">
      <c r="A14381" t="s">
        <v>7</v>
      </c>
      <c r="B14381" t="s">
        <v>34</v>
      </c>
      <c r="C14381" t="str">
        <f t="shared" si="450"/>
        <v>No cumple</v>
      </c>
      <c r="D14381">
        <v>658</v>
      </c>
      <c r="E14381" t="s">
        <v>8</v>
      </c>
      <c r="F14381">
        <v>0</v>
      </c>
      <c r="G14381">
        <v>8</v>
      </c>
      <c r="H14381">
        <f t="shared" si="451"/>
        <v>-8</v>
      </c>
    </row>
    <row r="14382" spans="1:8" x14ac:dyDescent="0.2">
      <c r="A14382" t="s">
        <v>7</v>
      </c>
      <c r="B14382" t="s">
        <v>34</v>
      </c>
      <c r="C14382" t="str">
        <f t="shared" si="450"/>
        <v>No cumple</v>
      </c>
      <c r="D14382">
        <v>666</v>
      </c>
      <c r="E14382" t="s">
        <v>8</v>
      </c>
      <c r="F14382">
        <v>0</v>
      </c>
      <c r="G14382">
        <v>8</v>
      </c>
      <c r="H14382">
        <f t="shared" si="451"/>
        <v>-8</v>
      </c>
    </row>
    <row r="14383" spans="1:8" x14ac:dyDescent="0.2">
      <c r="A14383" t="s">
        <v>18</v>
      </c>
      <c r="B14383" t="s">
        <v>34</v>
      </c>
      <c r="C14383" t="str">
        <f t="shared" si="450"/>
        <v>No cumple</v>
      </c>
      <c r="D14383">
        <v>748</v>
      </c>
      <c r="E14383" t="s">
        <v>8</v>
      </c>
      <c r="F14383">
        <v>0</v>
      </c>
      <c r="G14383">
        <v>8</v>
      </c>
      <c r="H14383">
        <f t="shared" si="451"/>
        <v>-8</v>
      </c>
    </row>
    <row r="14384" spans="1:8" x14ac:dyDescent="0.2">
      <c r="A14384" t="s">
        <v>18</v>
      </c>
      <c r="B14384" t="s">
        <v>34</v>
      </c>
      <c r="C14384" t="str">
        <f t="shared" si="450"/>
        <v>No cumple</v>
      </c>
      <c r="D14384">
        <v>1573</v>
      </c>
      <c r="E14384" t="s">
        <v>8</v>
      </c>
      <c r="F14384">
        <v>0</v>
      </c>
      <c r="G14384">
        <v>8</v>
      </c>
      <c r="H14384">
        <f t="shared" si="451"/>
        <v>-8</v>
      </c>
    </row>
    <row r="14385" spans="1:8" x14ac:dyDescent="0.2">
      <c r="A14385" t="s">
        <v>7</v>
      </c>
      <c r="B14385" t="s">
        <v>34</v>
      </c>
      <c r="C14385" t="str">
        <f t="shared" si="450"/>
        <v>No cumple</v>
      </c>
      <c r="D14385">
        <v>1714</v>
      </c>
      <c r="E14385" t="s">
        <v>8</v>
      </c>
      <c r="F14385">
        <v>0</v>
      </c>
      <c r="G14385">
        <v>8</v>
      </c>
      <c r="H14385">
        <f t="shared" si="451"/>
        <v>-8</v>
      </c>
    </row>
    <row r="14386" spans="1:8" x14ac:dyDescent="0.2">
      <c r="A14386" t="s">
        <v>7</v>
      </c>
      <c r="B14386" t="s">
        <v>34</v>
      </c>
      <c r="C14386" t="str">
        <f t="shared" si="450"/>
        <v>No cumple</v>
      </c>
      <c r="D14386">
        <v>1826</v>
      </c>
      <c r="E14386" t="s">
        <v>8</v>
      </c>
      <c r="F14386">
        <v>0</v>
      </c>
      <c r="G14386">
        <v>8</v>
      </c>
      <c r="H14386">
        <f t="shared" si="451"/>
        <v>-8</v>
      </c>
    </row>
    <row r="14387" spans="1:8" x14ac:dyDescent="0.2">
      <c r="A14387" t="s">
        <v>19</v>
      </c>
      <c r="B14387" t="s">
        <v>34</v>
      </c>
      <c r="C14387" t="str">
        <f t="shared" si="450"/>
        <v>No cumple</v>
      </c>
      <c r="D14387">
        <v>1827</v>
      </c>
      <c r="E14387" t="s">
        <v>8</v>
      </c>
      <c r="F14387">
        <v>0</v>
      </c>
      <c r="G14387">
        <v>8</v>
      </c>
      <c r="H14387">
        <f t="shared" si="451"/>
        <v>-8</v>
      </c>
    </row>
    <row r="14388" spans="1:8" x14ac:dyDescent="0.2">
      <c r="A14388" t="s">
        <v>18</v>
      </c>
      <c r="B14388" t="s">
        <v>34</v>
      </c>
      <c r="C14388" t="str">
        <f t="shared" si="450"/>
        <v>No cumple</v>
      </c>
      <c r="D14388">
        <v>1854</v>
      </c>
      <c r="E14388" t="s">
        <v>8</v>
      </c>
      <c r="F14388">
        <v>0</v>
      </c>
      <c r="G14388">
        <v>8</v>
      </c>
      <c r="H14388">
        <f t="shared" si="451"/>
        <v>-8</v>
      </c>
    </row>
    <row r="14389" spans="1:8" x14ac:dyDescent="0.2">
      <c r="A14389" t="s">
        <v>7</v>
      </c>
      <c r="B14389" t="s">
        <v>34</v>
      </c>
      <c r="C14389" t="str">
        <f t="shared" si="450"/>
        <v>No cumple</v>
      </c>
      <c r="D14389">
        <v>1981</v>
      </c>
      <c r="E14389" t="s">
        <v>8</v>
      </c>
      <c r="F14389">
        <v>0</v>
      </c>
      <c r="G14389">
        <v>8</v>
      </c>
      <c r="H14389">
        <f t="shared" si="451"/>
        <v>-8</v>
      </c>
    </row>
    <row r="14390" spans="1:8" x14ac:dyDescent="0.2">
      <c r="A14390" t="s">
        <v>7</v>
      </c>
      <c r="B14390" t="s">
        <v>34</v>
      </c>
      <c r="C14390" t="str">
        <f t="shared" si="450"/>
        <v>No cumple</v>
      </c>
      <c r="D14390">
        <v>2051</v>
      </c>
      <c r="E14390" t="s">
        <v>8</v>
      </c>
      <c r="F14390">
        <v>0</v>
      </c>
      <c r="G14390">
        <v>8</v>
      </c>
      <c r="H14390">
        <f t="shared" si="451"/>
        <v>-8</v>
      </c>
    </row>
    <row r="14391" spans="1:8" x14ac:dyDescent="0.2">
      <c r="A14391" t="s">
        <v>7</v>
      </c>
      <c r="B14391" t="s">
        <v>34</v>
      </c>
      <c r="C14391" t="str">
        <f t="shared" si="450"/>
        <v>No cumple</v>
      </c>
      <c r="D14391">
        <v>2098</v>
      </c>
      <c r="E14391" t="s">
        <v>8</v>
      </c>
      <c r="F14391">
        <v>0</v>
      </c>
      <c r="G14391">
        <v>8</v>
      </c>
      <c r="H14391">
        <f t="shared" si="451"/>
        <v>-8</v>
      </c>
    </row>
    <row r="14392" spans="1:8" x14ac:dyDescent="0.2">
      <c r="A14392" t="s">
        <v>19</v>
      </c>
      <c r="B14392" t="s">
        <v>34</v>
      </c>
      <c r="C14392" t="str">
        <f t="shared" si="450"/>
        <v>No cumple</v>
      </c>
      <c r="D14392">
        <v>2163</v>
      </c>
      <c r="E14392" t="s">
        <v>8</v>
      </c>
      <c r="F14392">
        <v>0</v>
      </c>
      <c r="G14392">
        <v>8</v>
      </c>
      <c r="H14392">
        <f t="shared" si="451"/>
        <v>-8</v>
      </c>
    </row>
    <row r="14393" spans="1:8" x14ac:dyDescent="0.2">
      <c r="A14393" t="s">
        <v>7</v>
      </c>
      <c r="B14393" t="s">
        <v>34</v>
      </c>
      <c r="C14393" t="str">
        <f t="shared" si="450"/>
        <v>No cumple</v>
      </c>
      <c r="D14393">
        <v>2227</v>
      </c>
      <c r="E14393" t="s">
        <v>8</v>
      </c>
      <c r="F14393">
        <v>0</v>
      </c>
      <c r="G14393">
        <v>8</v>
      </c>
      <c r="H14393">
        <f t="shared" si="451"/>
        <v>-8</v>
      </c>
    </row>
    <row r="14394" spans="1:8" x14ac:dyDescent="0.2">
      <c r="A14394" t="s">
        <v>18</v>
      </c>
      <c r="B14394" t="s">
        <v>34</v>
      </c>
      <c r="C14394" t="str">
        <f t="shared" si="450"/>
        <v>No cumple</v>
      </c>
      <c r="D14394">
        <v>2239</v>
      </c>
      <c r="E14394" t="s">
        <v>8</v>
      </c>
      <c r="F14394">
        <v>0</v>
      </c>
      <c r="G14394">
        <v>8</v>
      </c>
      <c r="H14394">
        <f t="shared" si="451"/>
        <v>-8</v>
      </c>
    </row>
    <row r="14395" spans="1:8" x14ac:dyDescent="0.2">
      <c r="A14395" t="s">
        <v>7</v>
      </c>
      <c r="B14395" t="s">
        <v>34</v>
      </c>
      <c r="C14395" t="str">
        <f t="shared" si="450"/>
        <v>No cumple</v>
      </c>
      <c r="D14395">
        <v>2322</v>
      </c>
      <c r="E14395" t="s">
        <v>8</v>
      </c>
      <c r="F14395">
        <v>0</v>
      </c>
      <c r="G14395">
        <v>8</v>
      </c>
      <c r="H14395">
        <f t="shared" si="451"/>
        <v>-8</v>
      </c>
    </row>
    <row r="14396" spans="1:8" x14ac:dyDescent="0.2">
      <c r="A14396" t="s">
        <v>7</v>
      </c>
      <c r="B14396" t="s">
        <v>34</v>
      </c>
      <c r="C14396" t="str">
        <f t="shared" si="450"/>
        <v>No cumple</v>
      </c>
      <c r="D14396">
        <v>2341</v>
      </c>
      <c r="E14396" t="s">
        <v>8</v>
      </c>
      <c r="F14396">
        <v>0</v>
      </c>
      <c r="G14396">
        <v>8</v>
      </c>
      <c r="H14396">
        <f t="shared" si="451"/>
        <v>-8</v>
      </c>
    </row>
    <row r="14397" spans="1:8" x14ac:dyDescent="0.2">
      <c r="A14397" t="s">
        <v>18</v>
      </c>
      <c r="B14397" t="s">
        <v>34</v>
      </c>
      <c r="C14397" t="str">
        <f t="shared" si="450"/>
        <v>No cumple</v>
      </c>
      <c r="D14397">
        <v>2364</v>
      </c>
      <c r="E14397" t="s">
        <v>8</v>
      </c>
      <c r="F14397">
        <v>0</v>
      </c>
      <c r="G14397">
        <v>8</v>
      </c>
      <c r="H14397">
        <f t="shared" si="451"/>
        <v>-8</v>
      </c>
    </row>
    <row r="14398" spans="1:8" x14ac:dyDescent="0.2">
      <c r="A14398" t="s">
        <v>18</v>
      </c>
      <c r="B14398" t="s">
        <v>34</v>
      </c>
      <c r="C14398" t="str">
        <f t="shared" si="450"/>
        <v>No cumple</v>
      </c>
      <c r="D14398">
        <v>2395</v>
      </c>
      <c r="E14398" t="s">
        <v>8</v>
      </c>
      <c r="F14398">
        <v>0</v>
      </c>
      <c r="G14398">
        <v>8</v>
      </c>
      <c r="H14398">
        <f t="shared" si="451"/>
        <v>-8</v>
      </c>
    </row>
    <row r="14399" spans="1:8" x14ac:dyDescent="0.2">
      <c r="A14399" t="s">
        <v>18</v>
      </c>
      <c r="B14399" t="s">
        <v>34</v>
      </c>
      <c r="C14399" t="str">
        <f t="shared" si="450"/>
        <v>No cumple</v>
      </c>
      <c r="D14399">
        <v>2421</v>
      </c>
      <c r="E14399" t="s">
        <v>8</v>
      </c>
      <c r="F14399">
        <v>0</v>
      </c>
      <c r="G14399">
        <v>8</v>
      </c>
      <c r="H14399">
        <f t="shared" si="451"/>
        <v>-8</v>
      </c>
    </row>
    <row r="14400" spans="1:8" x14ac:dyDescent="0.2">
      <c r="A14400" t="s">
        <v>7</v>
      </c>
      <c r="B14400" t="s">
        <v>34</v>
      </c>
      <c r="C14400" t="str">
        <f t="shared" si="450"/>
        <v>No cumple</v>
      </c>
      <c r="D14400">
        <v>2463</v>
      </c>
      <c r="E14400" t="s">
        <v>8</v>
      </c>
      <c r="F14400">
        <v>0</v>
      </c>
      <c r="G14400">
        <v>8</v>
      </c>
      <c r="H14400">
        <f t="shared" si="451"/>
        <v>-8</v>
      </c>
    </row>
    <row r="14401" spans="1:8" x14ac:dyDescent="0.2">
      <c r="A14401" t="s">
        <v>7</v>
      </c>
      <c r="B14401" t="s">
        <v>34</v>
      </c>
      <c r="C14401" t="str">
        <f t="shared" si="450"/>
        <v>No cumple</v>
      </c>
      <c r="D14401">
        <v>2546</v>
      </c>
      <c r="E14401" t="s">
        <v>8</v>
      </c>
      <c r="F14401">
        <v>0</v>
      </c>
      <c r="G14401">
        <v>8</v>
      </c>
      <c r="H14401">
        <f t="shared" si="451"/>
        <v>-8</v>
      </c>
    </row>
    <row r="14402" spans="1:8" x14ac:dyDescent="0.2">
      <c r="A14402" t="s">
        <v>7</v>
      </c>
      <c r="B14402" t="s">
        <v>34</v>
      </c>
      <c r="C14402" t="str">
        <f t="shared" si="450"/>
        <v>No cumple</v>
      </c>
      <c r="D14402">
        <v>2626</v>
      </c>
      <c r="E14402" t="s">
        <v>8</v>
      </c>
      <c r="F14402">
        <v>0</v>
      </c>
      <c r="G14402">
        <v>8</v>
      </c>
      <c r="H14402">
        <f t="shared" si="451"/>
        <v>-8</v>
      </c>
    </row>
    <row r="14403" spans="1:8" x14ac:dyDescent="0.2">
      <c r="A14403" t="s">
        <v>18</v>
      </c>
      <c r="B14403" t="s">
        <v>34</v>
      </c>
      <c r="C14403" t="str">
        <f t="shared" si="450"/>
        <v>No cumple</v>
      </c>
      <c r="D14403">
        <v>2649</v>
      </c>
      <c r="E14403" t="s">
        <v>8</v>
      </c>
      <c r="F14403">
        <v>0</v>
      </c>
      <c r="G14403">
        <v>8</v>
      </c>
      <c r="H14403">
        <f t="shared" si="451"/>
        <v>-8</v>
      </c>
    </row>
    <row r="14404" spans="1:8" x14ac:dyDescent="0.2">
      <c r="A14404" t="s">
        <v>7</v>
      </c>
      <c r="B14404" t="s">
        <v>34</v>
      </c>
      <c r="C14404" t="str">
        <f t="shared" si="450"/>
        <v>No cumple</v>
      </c>
      <c r="D14404">
        <v>2753</v>
      </c>
      <c r="E14404" t="s">
        <v>8</v>
      </c>
      <c r="F14404">
        <v>0</v>
      </c>
      <c r="G14404">
        <v>8</v>
      </c>
      <c r="H14404">
        <f t="shared" si="451"/>
        <v>-8</v>
      </c>
    </row>
    <row r="14405" spans="1:8" x14ac:dyDescent="0.2">
      <c r="A14405" t="s">
        <v>7</v>
      </c>
      <c r="B14405" t="s">
        <v>34</v>
      </c>
      <c r="C14405" t="str">
        <f t="shared" ref="C14405:C14468" si="452">IF(H14405&gt;=0,"Cumple","No cumple")</f>
        <v>No cumple</v>
      </c>
      <c r="D14405">
        <v>2755</v>
      </c>
      <c r="E14405" t="s">
        <v>8</v>
      </c>
      <c r="F14405">
        <v>0</v>
      </c>
      <c r="G14405">
        <v>8</v>
      </c>
      <c r="H14405">
        <f t="shared" si="451"/>
        <v>-8</v>
      </c>
    </row>
    <row r="14406" spans="1:8" x14ac:dyDescent="0.2">
      <c r="A14406" t="s">
        <v>7</v>
      </c>
      <c r="B14406" t="s">
        <v>34</v>
      </c>
      <c r="C14406" t="str">
        <f t="shared" si="452"/>
        <v>No cumple</v>
      </c>
      <c r="D14406">
        <v>2766</v>
      </c>
      <c r="E14406" t="s">
        <v>8</v>
      </c>
      <c r="F14406">
        <v>0</v>
      </c>
      <c r="G14406">
        <v>8</v>
      </c>
      <c r="H14406">
        <f t="shared" si="451"/>
        <v>-8</v>
      </c>
    </row>
    <row r="14407" spans="1:8" x14ac:dyDescent="0.2">
      <c r="A14407" t="s">
        <v>18</v>
      </c>
      <c r="B14407" t="s">
        <v>34</v>
      </c>
      <c r="C14407" t="str">
        <f t="shared" si="452"/>
        <v>No cumple</v>
      </c>
      <c r="D14407">
        <v>2784</v>
      </c>
      <c r="E14407" t="s">
        <v>8</v>
      </c>
      <c r="F14407">
        <v>0</v>
      </c>
      <c r="G14407">
        <v>8</v>
      </c>
      <c r="H14407">
        <f t="shared" si="451"/>
        <v>-8</v>
      </c>
    </row>
    <row r="14408" spans="1:8" x14ac:dyDescent="0.2">
      <c r="A14408" t="s">
        <v>19</v>
      </c>
      <c r="B14408" t="s">
        <v>34</v>
      </c>
      <c r="C14408" t="str">
        <f t="shared" si="452"/>
        <v>No cumple</v>
      </c>
      <c r="D14408">
        <v>2795</v>
      </c>
      <c r="E14408" t="s">
        <v>8</v>
      </c>
      <c r="F14408">
        <v>0</v>
      </c>
      <c r="G14408">
        <v>8</v>
      </c>
      <c r="H14408">
        <f t="shared" si="451"/>
        <v>-8</v>
      </c>
    </row>
    <row r="14409" spans="1:8" x14ac:dyDescent="0.2">
      <c r="A14409" t="s">
        <v>18</v>
      </c>
      <c r="B14409" t="s">
        <v>34</v>
      </c>
      <c r="C14409" t="str">
        <f t="shared" si="452"/>
        <v>No cumple</v>
      </c>
      <c r="D14409">
        <v>2815</v>
      </c>
      <c r="E14409" t="s">
        <v>8</v>
      </c>
      <c r="F14409">
        <v>0</v>
      </c>
      <c r="G14409">
        <v>8</v>
      </c>
      <c r="H14409">
        <f t="shared" si="451"/>
        <v>-8</v>
      </c>
    </row>
    <row r="14410" spans="1:8" x14ac:dyDescent="0.2">
      <c r="A14410" t="s">
        <v>18</v>
      </c>
      <c r="B14410" t="s">
        <v>34</v>
      </c>
      <c r="C14410" t="str">
        <f t="shared" si="452"/>
        <v>No cumple</v>
      </c>
      <c r="D14410">
        <v>2871</v>
      </c>
      <c r="E14410" t="s">
        <v>8</v>
      </c>
      <c r="F14410">
        <v>0</v>
      </c>
      <c r="G14410">
        <v>8</v>
      </c>
      <c r="H14410">
        <f t="shared" si="451"/>
        <v>-8</v>
      </c>
    </row>
    <row r="14411" spans="1:8" x14ac:dyDescent="0.2">
      <c r="A14411" t="s">
        <v>18</v>
      </c>
      <c r="B14411" t="s">
        <v>34</v>
      </c>
      <c r="C14411" t="str">
        <f t="shared" si="452"/>
        <v>No cumple</v>
      </c>
      <c r="D14411">
        <v>2910</v>
      </c>
      <c r="E14411" t="s">
        <v>8</v>
      </c>
      <c r="F14411">
        <v>0</v>
      </c>
      <c r="G14411">
        <v>8</v>
      </c>
      <c r="H14411">
        <f t="shared" si="451"/>
        <v>-8</v>
      </c>
    </row>
    <row r="14412" spans="1:8" x14ac:dyDescent="0.2">
      <c r="A14412" t="s">
        <v>7</v>
      </c>
      <c r="B14412" t="s">
        <v>34</v>
      </c>
      <c r="C14412" t="str">
        <f t="shared" si="452"/>
        <v>No cumple</v>
      </c>
      <c r="D14412">
        <v>2912</v>
      </c>
      <c r="E14412" t="s">
        <v>8</v>
      </c>
      <c r="F14412">
        <v>0</v>
      </c>
      <c r="G14412">
        <v>8</v>
      </c>
      <c r="H14412">
        <f t="shared" si="451"/>
        <v>-8</v>
      </c>
    </row>
    <row r="14413" spans="1:8" x14ac:dyDescent="0.2">
      <c r="A14413" t="s">
        <v>18</v>
      </c>
      <c r="B14413" t="s">
        <v>34</v>
      </c>
      <c r="C14413" t="str">
        <f t="shared" si="452"/>
        <v>No cumple</v>
      </c>
      <c r="D14413">
        <v>3373</v>
      </c>
      <c r="E14413" t="s">
        <v>8</v>
      </c>
      <c r="F14413">
        <v>0</v>
      </c>
      <c r="G14413">
        <v>8</v>
      </c>
      <c r="H14413">
        <f t="shared" si="451"/>
        <v>-8</v>
      </c>
    </row>
    <row r="14414" spans="1:8" x14ac:dyDescent="0.2">
      <c r="A14414" t="s">
        <v>7</v>
      </c>
      <c r="B14414" t="s">
        <v>34</v>
      </c>
      <c r="C14414" t="str">
        <f t="shared" si="452"/>
        <v>No cumple</v>
      </c>
      <c r="D14414">
        <v>3458</v>
      </c>
      <c r="E14414" t="s">
        <v>8</v>
      </c>
      <c r="F14414">
        <v>0</v>
      </c>
      <c r="G14414">
        <v>8</v>
      </c>
      <c r="H14414">
        <f t="shared" si="451"/>
        <v>-8</v>
      </c>
    </row>
    <row r="14415" spans="1:8" x14ac:dyDescent="0.2">
      <c r="A14415" t="s">
        <v>18</v>
      </c>
      <c r="B14415" t="s">
        <v>34</v>
      </c>
      <c r="C14415" t="str">
        <f t="shared" si="452"/>
        <v>No cumple</v>
      </c>
      <c r="D14415">
        <v>3513</v>
      </c>
      <c r="E14415" t="s">
        <v>8</v>
      </c>
      <c r="F14415">
        <v>0</v>
      </c>
      <c r="G14415">
        <v>8</v>
      </c>
      <c r="H14415">
        <f t="shared" si="451"/>
        <v>-8</v>
      </c>
    </row>
    <row r="14416" spans="1:8" x14ac:dyDescent="0.2">
      <c r="A14416" t="s">
        <v>18</v>
      </c>
      <c r="B14416" t="s">
        <v>34</v>
      </c>
      <c r="C14416" t="str">
        <f t="shared" si="452"/>
        <v>No cumple</v>
      </c>
      <c r="D14416">
        <v>3547</v>
      </c>
      <c r="E14416" t="s">
        <v>8</v>
      </c>
      <c r="F14416">
        <v>0</v>
      </c>
      <c r="G14416">
        <v>8</v>
      </c>
      <c r="H14416">
        <f t="shared" si="451"/>
        <v>-8</v>
      </c>
    </row>
    <row r="14417" spans="1:8" x14ac:dyDescent="0.2">
      <c r="A14417" t="s">
        <v>19</v>
      </c>
      <c r="B14417" t="s">
        <v>34</v>
      </c>
      <c r="C14417" t="str">
        <f t="shared" si="452"/>
        <v>No cumple</v>
      </c>
      <c r="D14417">
        <v>3555</v>
      </c>
      <c r="E14417" t="s">
        <v>8</v>
      </c>
      <c r="F14417">
        <v>0</v>
      </c>
      <c r="G14417">
        <v>8</v>
      </c>
      <c r="H14417">
        <f t="shared" si="451"/>
        <v>-8</v>
      </c>
    </row>
    <row r="14418" spans="1:8" x14ac:dyDescent="0.2">
      <c r="A14418" t="s">
        <v>7</v>
      </c>
      <c r="B14418" t="s">
        <v>34</v>
      </c>
      <c r="C14418" t="str">
        <f t="shared" si="452"/>
        <v>No cumple</v>
      </c>
      <c r="D14418">
        <v>3559</v>
      </c>
      <c r="E14418" t="s">
        <v>8</v>
      </c>
      <c r="F14418">
        <v>0</v>
      </c>
      <c r="G14418">
        <v>8</v>
      </c>
      <c r="H14418">
        <f t="shared" si="451"/>
        <v>-8</v>
      </c>
    </row>
    <row r="14419" spans="1:8" x14ac:dyDescent="0.2">
      <c r="A14419" t="s">
        <v>18</v>
      </c>
      <c r="B14419" t="s">
        <v>34</v>
      </c>
      <c r="C14419" t="str">
        <f t="shared" si="452"/>
        <v>No cumple</v>
      </c>
      <c r="D14419">
        <v>3572</v>
      </c>
      <c r="E14419" t="s">
        <v>8</v>
      </c>
      <c r="F14419">
        <v>0</v>
      </c>
      <c r="G14419">
        <v>8</v>
      </c>
      <c r="H14419">
        <f t="shared" si="451"/>
        <v>-8</v>
      </c>
    </row>
    <row r="14420" spans="1:8" x14ac:dyDescent="0.2">
      <c r="A14420" t="s">
        <v>18</v>
      </c>
      <c r="B14420" t="s">
        <v>34</v>
      </c>
      <c r="C14420" t="str">
        <f t="shared" si="452"/>
        <v>No cumple</v>
      </c>
      <c r="D14420">
        <v>3628</v>
      </c>
      <c r="E14420" t="s">
        <v>8</v>
      </c>
      <c r="F14420">
        <v>0</v>
      </c>
      <c r="G14420">
        <v>8</v>
      </c>
      <c r="H14420">
        <f t="shared" si="451"/>
        <v>-8</v>
      </c>
    </row>
    <row r="14421" spans="1:8" x14ac:dyDescent="0.2">
      <c r="A14421" t="s">
        <v>7</v>
      </c>
      <c r="B14421" t="s">
        <v>34</v>
      </c>
      <c r="C14421" t="str">
        <f t="shared" si="452"/>
        <v>No cumple</v>
      </c>
      <c r="D14421">
        <v>3655</v>
      </c>
      <c r="E14421" t="s">
        <v>8</v>
      </c>
      <c r="F14421">
        <v>0</v>
      </c>
      <c r="G14421">
        <v>8</v>
      </c>
      <c r="H14421">
        <f t="shared" si="451"/>
        <v>-8</v>
      </c>
    </row>
    <row r="14422" spans="1:8" x14ac:dyDescent="0.2">
      <c r="A14422" t="s">
        <v>7</v>
      </c>
      <c r="B14422" t="s">
        <v>34</v>
      </c>
      <c r="C14422" t="str">
        <f t="shared" si="452"/>
        <v>No cumple</v>
      </c>
      <c r="D14422">
        <v>3659</v>
      </c>
      <c r="E14422" t="s">
        <v>8</v>
      </c>
      <c r="F14422">
        <v>0</v>
      </c>
      <c r="G14422">
        <v>8</v>
      </c>
      <c r="H14422">
        <f t="shared" si="451"/>
        <v>-8</v>
      </c>
    </row>
    <row r="14423" spans="1:8" x14ac:dyDescent="0.2">
      <c r="A14423" t="s">
        <v>18</v>
      </c>
      <c r="B14423" t="s">
        <v>34</v>
      </c>
      <c r="C14423" t="str">
        <f t="shared" si="452"/>
        <v>No cumple</v>
      </c>
      <c r="D14423">
        <v>3700</v>
      </c>
      <c r="E14423" t="s">
        <v>8</v>
      </c>
      <c r="F14423">
        <v>0</v>
      </c>
      <c r="G14423">
        <v>8</v>
      </c>
      <c r="H14423">
        <f t="shared" si="451"/>
        <v>-8</v>
      </c>
    </row>
    <row r="14424" spans="1:8" x14ac:dyDescent="0.2">
      <c r="A14424" t="s">
        <v>19</v>
      </c>
      <c r="B14424" t="s">
        <v>34</v>
      </c>
      <c r="C14424" t="str">
        <f t="shared" si="452"/>
        <v>No cumple</v>
      </c>
      <c r="D14424">
        <v>3778</v>
      </c>
      <c r="E14424" t="s">
        <v>8</v>
      </c>
      <c r="F14424">
        <v>0</v>
      </c>
      <c r="G14424">
        <v>8</v>
      </c>
      <c r="H14424">
        <f t="shared" ref="H14424:H14487" si="453">F14424-G14424</f>
        <v>-8</v>
      </c>
    </row>
    <row r="14425" spans="1:8" x14ac:dyDescent="0.2">
      <c r="A14425" t="s">
        <v>18</v>
      </c>
      <c r="B14425" t="s">
        <v>34</v>
      </c>
      <c r="C14425" t="str">
        <f t="shared" si="452"/>
        <v>No cumple</v>
      </c>
      <c r="D14425">
        <v>3780</v>
      </c>
      <c r="E14425" t="s">
        <v>8</v>
      </c>
      <c r="F14425">
        <v>0</v>
      </c>
      <c r="G14425">
        <v>8</v>
      </c>
      <c r="H14425">
        <f t="shared" si="453"/>
        <v>-8</v>
      </c>
    </row>
    <row r="14426" spans="1:8" x14ac:dyDescent="0.2">
      <c r="A14426" t="s">
        <v>18</v>
      </c>
      <c r="B14426" t="s">
        <v>34</v>
      </c>
      <c r="C14426" t="str">
        <f t="shared" si="452"/>
        <v>No cumple</v>
      </c>
      <c r="D14426">
        <v>3820</v>
      </c>
      <c r="E14426" t="s">
        <v>8</v>
      </c>
      <c r="F14426">
        <v>0</v>
      </c>
      <c r="G14426">
        <v>8</v>
      </c>
      <c r="H14426">
        <f t="shared" si="453"/>
        <v>-8</v>
      </c>
    </row>
    <row r="14427" spans="1:8" x14ac:dyDescent="0.2">
      <c r="A14427" t="s">
        <v>19</v>
      </c>
      <c r="B14427" t="s">
        <v>34</v>
      </c>
      <c r="C14427" t="str">
        <f t="shared" si="452"/>
        <v>No cumple</v>
      </c>
      <c r="D14427">
        <v>3856</v>
      </c>
      <c r="E14427" t="s">
        <v>8</v>
      </c>
      <c r="F14427">
        <v>0</v>
      </c>
      <c r="G14427">
        <v>8</v>
      </c>
      <c r="H14427">
        <f t="shared" si="453"/>
        <v>-8</v>
      </c>
    </row>
    <row r="14428" spans="1:8" x14ac:dyDescent="0.2">
      <c r="A14428" t="s">
        <v>18</v>
      </c>
      <c r="B14428" t="s">
        <v>34</v>
      </c>
      <c r="C14428" t="str">
        <f t="shared" si="452"/>
        <v>No cumple</v>
      </c>
      <c r="D14428">
        <v>3857</v>
      </c>
      <c r="E14428" t="s">
        <v>8</v>
      </c>
      <c r="F14428">
        <v>0</v>
      </c>
      <c r="G14428">
        <v>8</v>
      </c>
      <c r="H14428">
        <f t="shared" si="453"/>
        <v>-8</v>
      </c>
    </row>
    <row r="14429" spans="1:8" x14ac:dyDescent="0.2">
      <c r="A14429" t="s">
        <v>7</v>
      </c>
      <c r="B14429" t="s">
        <v>34</v>
      </c>
      <c r="C14429" t="str">
        <f t="shared" si="452"/>
        <v>No cumple</v>
      </c>
      <c r="D14429">
        <v>3875</v>
      </c>
      <c r="E14429" t="s">
        <v>8</v>
      </c>
      <c r="F14429">
        <v>0</v>
      </c>
      <c r="G14429">
        <v>8</v>
      </c>
      <c r="H14429">
        <f t="shared" si="453"/>
        <v>-8</v>
      </c>
    </row>
    <row r="14430" spans="1:8" x14ac:dyDescent="0.2">
      <c r="A14430" t="s">
        <v>18</v>
      </c>
      <c r="B14430" t="s">
        <v>34</v>
      </c>
      <c r="C14430" t="str">
        <f t="shared" si="452"/>
        <v>No cumple</v>
      </c>
      <c r="D14430">
        <v>3898</v>
      </c>
      <c r="E14430" t="s">
        <v>8</v>
      </c>
      <c r="F14430">
        <v>0</v>
      </c>
      <c r="G14430">
        <v>8</v>
      </c>
      <c r="H14430">
        <f t="shared" si="453"/>
        <v>-8</v>
      </c>
    </row>
    <row r="14431" spans="1:8" x14ac:dyDescent="0.2">
      <c r="A14431" t="s">
        <v>18</v>
      </c>
      <c r="B14431" t="s">
        <v>34</v>
      </c>
      <c r="C14431" t="str">
        <f t="shared" si="452"/>
        <v>No cumple</v>
      </c>
      <c r="D14431">
        <v>3901</v>
      </c>
      <c r="E14431" t="s">
        <v>8</v>
      </c>
      <c r="F14431">
        <v>0</v>
      </c>
      <c r="G14431">
        <v>8</v>
      </c>
      <c r="H14431">
        <f t="shared" si="453"/>
        <v>-8</v>
      </c>
    </row>
    <row r="14432" spans="1:8" x14ac:dyDescent="0.2">
      <c r="A14432" t="s">
        <v>7</v>
      </c>
      <c r="B14432" t="s">
        <v>34</v>
      </c>
      <c r="C14432" t="str">
        <f t="shared" si="452"/>
        <v>No cumple</v>
      </c>
      <c r="D14432">
        <v>3902</v>
      </c>
      <c r="E14432" t="s">
        <v>8</v>
      </c>
      <c r="F14432">
        <v>0</v>
      </c>
      <c r="G14432">
        <v>8</v>
      </c>
      <c r="H14432">
        <f t="shared" si="453"/>
        <v>-8</v>
      </c>
    </row>
    <row r="14433" spans="1:8" x14ac:dyDescent="0.2">
      <c r="A14433" t="s">
        <v>7</v>
      </c>
      <c r="B14433" t="s">
        <v>34</v>
      </c>
      <c r="C14433" t="str">
        <f t="shared" si="452"/>
        <v>No cumple</v>
      </c>
      <c r="D14433">
        <v>3904</v>
      </c>
      <c r="E14433" t="s">
        <v>8</v>
      </c>
      <c r="F14433">
        <v>0</v>
      </c>
      <c r="G14433">
        <v>8</v>
      </c>
      <c r="H14433">
        <f t="shared" si="453"/>
        <v>-8</v>
      </c>
    </row>
    <row r="14434" spans="1:8" x14ac:dyDescent="0.2">
      <c r="A14434" t="s">
        <v>7</v>
      </c>
      <c r="B14434" t="s">
        <v>34</v>
      </c>
      <c r="C14434" t="str">
        <f t="shared" si="452"/>
        <v>No cumple</v>
      </c>
      <c r="D14434">
        <v>3909</v>
      </c>
      <c r="E14434" t="s">
        <v>8</v>
      </c>
      <c r="F14434">
        <v>0</v>
      </c>
      <c r="G14434">
        <v>8</v>
      </c>
      <c r="H14434">
        <f t="shared" si="453"/>
        <v>-8</v>
      </c>
    </row>
    <row r="14435" spans="1:8" x14ac:dyDescent="0.2">
      <c r="A14435" t="s">
        <v>7</v>
      </c>
      <c r="B14435" t="s">
        <v>34</v>
      </c>
      <c r="C14435" t="str">
        <f t="shared" si="452"/>
        <v>No cumple</v>
      </c>
      <c r="D14435">
        <v>3916</v>
      </c>
      <c r="E14435" t="s">
        <v>8</v>
      </c>
      <c r="F14435">
        <v>0</v>
      </c>
      <c r="G14435">
        <v>8</v>
      </c>
      <c r="H14435">
        <f t="shared" si="453"/>
        <v>-8</v>
      </c>
    </row>
    <row r="14436" spans="1:8" x14ac:dyDescent="0.2">
      <c r="A14436" t="s">
        <v>18</v>
      </c>
      <c r="B14436" t="s">
        <v>34</v>
      </c>
      <c r="C14436" t="str">
        <f t="shared" si="452"/>
        <v>No cumple</v>
      </c>
      <c r="D14436">
        <v>3919</v>
      </c>
      <c r="E14436" t="s">
        <v>8</v>
      </c>
      <c r="F14436">
        <v>0</v>
      </c>
      <c r="G14436">
        <v>8</v>
      </c>
      <c r="H14436">
        <f t="shared" si="453"/>
        <v>-8</v>
      </c>
    </row>
    <row r="14437" spans="1:8" x14ac:dyDescent="0.2">
      <c r="A14437" t="s">
        <v>7</v>
      </c>
      <c r="B14437" t="s">
        <v>34</v>
      </c>
      <c r="C14437" t="str">
        <f t="shared" si="452"/>
        <v>No cumple</v>
      </c>
      <c r="D14437">
        <v>3942</v>
      </c>
      <c r="E14437" t="s">
        <v>8</v>
      </c>
      <c r="F14437">
        <v>0</v>
      </c>
      <c r="G14437">
        <v>8</v>
      </c>
      <c r="H14437">
        <f t="shared" si="453"/>
        <v>-8</v>
      </c>
    </row>
    <row r="14438" spans="1:8" x14ac:dyDescent="0.2">
      <c r="A14438" t="s">
        <v>18</v>
      </c>
      <c r="B14438" t="s">
        <v>34</v>
      </c>
      <c r="C14438" t="str">
        <f t="shared" si="452"/>
        <v>No cumple</v>
      </c>
      <c r="D14438">
        <v>3944</v>
      </c>
      <c r="E14438" t="s">
        <v>8</v>
      </c>
      <c r="F14438">
        <v>0</v>
      </c>
      <c r="G14438">
        <v>8</v>
      </c>
      <c r="H14438">
        <f t="shared" si="453"/>
        <v>-8</v>
      </c>
    </row>
    <row r="14439" spans="1:8" x14ac:dyDescent="0.2">
      <c r="A14439" t="s">
        <v>18</v>
      </c>
      <c r="B14439" t="s">
        <v>34</v>
      </c>
      <c r="C14439" t="str">
        <f t="shared" si="452"/>
        <v>No cumple</v>
      </c>
      <c r="D14439">
        <v>3965</v>
      </c>
      <c r="E14439" t="s">
        <v>8</v>
      </c>
      <c r="F14439">
        <v>0</v>
      </c>
      <c r="G14439">
        <v>8</v>
      </c>
      <c r="H14439">
        <f t="shared" si="453"/>
        <v>-8</v>
      </c>
    </row>
    <row r="14440" spans="1:8" x14ac:dyDescent="0.2">
      <c r="A14440" t="s">
        <v>19</v>
      </c>
      <c r="B14440" t="s">
        <v>34</v>
      </c>
      <c r="C14440" t="str">
        <f t="shared" si="452"/>
        <v>No cumple</v>
      </c>
      <c r="D14440">
        <v>3968</v>
      </c>
      <c r="E14440" t="s">
        <v>8</v>
      </c>
      <c r="F14440">
        <v>0</v>
      </c>
      <c r="G14440">
        <v>8</v>
      </c>
      <c r="H14440">
        <f t="shared" si="453"/>
        <v>-8</v>
      </c>
    </row>
    <row r="14441" spans="1:8" x14ac:dyDescent="0.2">
      <c r="A14441" t="s">
        <v>7</v>
      </c>
      <c r="B14441" t="s">
        <v>34</v>
      </c>
      <c r="C14441" t="str">
        <f t="shared" si="452"/>
        <v>No cumple</v>
      </c>
      <c r="D14441">
        <v>5002</v>
      </c>
      <c r="E14441" t="s">
        <v>8</v>
      </c>
      <c r="F14441">
        <v>0</v>
      </c>
      <c r="G14441">
        <v>8</v>
      </c>
      <c r="H14441">
        <f t="shared" si="453"/>
        <v>-8</v>
      </c>
    </row>
    <row r="14442" spans="1:8" x14ac:dyDescent="0.2">
      <c r="A14442" t="s">
        <v>7</v>
      </c>
      <c r="B14442" t="s">
        <v>34</v>
      </c>
      <c r="C14442" t="str">
        <f t="shared" si="452"/>
        <v>No cumple</v>
      </c>
      <c r="D14442">
        <v>5130</v>
      </c>
      <c r="E14442" t="s">
        <v>8</v>
      </c>
      <c r="F14442">
        <v>0</v>
      </c>
      <c r="G14442">
        <v>8</v>
      </c>
      <c r="H14442">
        <f t="shared" si="453"/>
        <v>-8</v>
      </c>
    </row>
    <row r="14443" spans="1:8" x14ac:dyDescent="0.2">
      <c r="A14443" t="s">
        <v>7</v>
      </c>
      <c r="B14443" t="s">
        <v>34</v>
      </c>
      <c r="C14443" t="str">
        <f t="shared" si="452"/>
        <v>No cumple</v>
      </c>
      <c r="D14443">
        <v>9022</v>
      </c>
      <c r="E14443" t="s">
        <v>8</v>
      </c>
      <c r="F14443">
        <v>0</v>
      </c>
      <c r="G14443">
        <v>8</v>
      </c>
      <c r="H14443">
        <f t="shared" si="453"/>
        <v>-8</v>
      </c>
    </row>
    <row r="14444" spans="1:8" x14ac:dyDescent="0.2">
      <c r="A14444" t="s">
        <v>18</v>
      </c>
      <c r="B14444" t="s">
        <v>34</v>
      </c>
      <c r="C14444" t="str">
        <f t="shared" si="452"/>
        <v>No cumple</v>
      </c>
      <c r="D14444">
        <v>9072</v>
      </c>
      <c r="E14444" t="s">
        <v>8</v>
      </c>
      <c r="F14444">
        <v>0</v>
      </c>
      <c r="G14444">
        <v>8</v>
      </c>
      <c r="H14444">
        <f t="shared" si="453"/>
        <v>-8</v>
      </c>
    </row>
    <row r="14445" spans="1:8" x14ac:dyDescent="0.2">
      <c r="A14445" t="s">
        <v>18</v>
      </c>
      <c r="B14445" t="s">
        <v>34</v>
      </c>
      <c r="C14445" t="str">
        <f t="shared" si="452"/>
        <v>No cumple</v>
      </c>
      <c r="D14445">
        <v>9082</v>
      </c>
      <c r="E14445" t="s">
        <v>8</v>
      </c>
      <c r="F14445">
        <v>0</v>
      </c>
      <c r="G14445">
        <v>8</v>
      </c>
      <c r="H14445">
        <f t="shared" si="453"/>
        <v>-8</v>
      </c>
    </row>
    <row r="14446" spans="1:8" x14ac:dyDescent="0.2">
      <c r="A14446" t="s">
        <v>18</v>
      </c>
      <c r="B14446" t="s">
        <v>34</v>
      </c>
      <c r="C14446" t="str">
        <f t="shared" si="452"/>
        <v>No cumple</v>
      </c>
      <c r="D14446">
        <v>9114</v>
      </c>
      <c r="E14446" t="s">
        <v>8</v>
      </c>
      <c r="F14446">
        <v>0</v>
      </c>
      <c r="G14446">
        <v>8</v>
      </c>
      <c r="H14446">
        <f t="shared" si="453"/>
        <v>-8</v>
      </c>
    </row>
    <row r="14447" spans="1:8" x14ac:dyDescent="0.2">
      <c r="A14447" t="s">
        <v>18</v>
      </c>
      <c r="B14447" t="s">
        <v>34</v>
      </c>
      <c r="C14447" t="str">
        <f t="shared" si="452"/>
        <v>No cumple</v>
      </c>
      <c r="D14447">
        <v>9119</v>
      </c>
      <c r="E14447" t="s">
        <v>8</v>
      </c>
      <c r="F14447">
        <v>0</v>
      </c>
      <c r="G14447">
        <v>8</v>
      </c>
      <c r="H14447">
        <f t="shared" si="453"/>
        <v>-8</v>
      </c>
    </row>
    <row r="14448" spans="1:8" x14ac:dyDescent="0.2">
      <c r="A14448" t="s">
        <v>7</v>
      </c>
      <c r="B14448" t="s">
        <v>34</v>
      </c>
      <c r="C14448" t="str">
        <f t="shared" si="452"/>
        <v>No cumple</v>
      </c>
      <c r="D14448">
        <v>9121</v>
      </c>
      <c r="E14448" t="s">
        <v>8</v>
      </c>
      <c r="F14448">
        <v>0</v>
      </c>
      <c r="G14448">
        <v>8</v>
      </c>
      <c r="H14448">
        <f t="shared" si="453"/>
        <v>-8</v>
      </c>
    </row>
    <row r="14449" spans="1:8" x14ac:dyDescent="0.2">
      <c r="A14449" t="s">
        <v>7</v>
      </c>
      <c r="B14449" t="s">
        <v>34</v>
      </c>
      <c r="C14449" t="str">
        <f t="shared" si="452"/>
        <v>No cumple</v>
      </c>
      <c r="D14449">
        <v>9139</v>
      </c>
      <c r="E14449" t="s">
        <v>8</v>
      </c>
      <c r="F14449">
        <v>0</v>
      </c>
      <c r="G14449">
        <v>8</v>
      </c>
      <c r="H14449">
        <f t="shared" si="453"/>
        <v>-8</v>
      </c>
    </row>
    <row r="14450" spans="1:8" x14ac:dyDescent="0.2">
      <c r="A14450" t="s">
        <v>7</v>
      </c>
      <c r="B14450" t="s">
        <v>34</v>
      </c>
      <c r="C14450" t="str">
        <f t="shared" si="452"/>
        <v>No cumple</v>
      </c>
      <c r="D14450">
        <v>9177</v>
      </c>
      <c r="E14450" t="s">
        <v>8</v>
      </c>
      <c r="F14450">
        <v>0</v>
      </c>
      <c r="G14450">
        <v>8</v>
      </c>
      <c r="H14450">
        <f t="shared" si="453"/>
        <v>-8</v>
      </c>
    </row>
    <row r="14451" spans="1:8" x14ac:dyDescent="0.2">
      <c r="A14451" t="s">
        <v>18</v>
      </c>
      <c r="B14451" t="s">
        <v>34</v>
      </c>
      <c r="C14451" t="str">
        <f t="shared" si="452"/>
        <v>No cumple</v>
      </c>
      <c r="D14451">
        <v>9190</v>
      </c>
      <c r="E14451" t="s">
        <v>8</v>
      </c>
      <c r="F14451">
        <v>0</v>
      </c>
      <c r="G14451">
        <v>8</v>
      </c>
      <c r="H14451">
        <f t="shared" si="453"/>
        <v>-8</v>
      </c>
    </row>
    <row r="14452" spans="1:8" x14ac:dyDescent="0.2">
      <c r="A14452" t="s">
        <v>18</v>
      </c>
      <c r="B14452" t="s">
        <v>34</v>
      </c>
      <c r="C14452" t="str">
        <f t="shared" si="452"/>
        <v>No cumple</v>
      </c>
      <c r="D14452">
        <v>9200</v>
      </c>
      <c r="E14452" t="s">
        <v>8</v>
      </c>
      <c r="F14452">
        <v>0</v>
      </c>
      <c r="G14452">
        <v>8</v>
      </c>
      <c r="H14452">
        <f t="shared" si="453"/>
        <v>-8</v>
      </c>
    </row>
    <row r="14453" spans="1:8" x14ac:dyDescent="0.2">
      <c r="A14453" t="s">
        <v>7</v>
      </c>
      <c r="B14453" t="s">
        <v>34</v>
      </c>
      <c r="C14453" t="str">
        <f t="shared" si="452"/>
        <v>No cumple</v>
      </c>
      <c r="D14453">
        <v>9218</v>
      </c>
      <c r="E14453" t="s">
        <v>8</v>
      </c>
      <c r="F14453">
        <v>0</v>
      </c>
      <c r="G14453">
        <v>8</v>
      </c>
      <c r="H14453">
        <f t="shared" si="453"/>
        <v>-8</v>
      </c>
    </row>
    <row r="14454" spans="1:8" x14ac:dyDescent="0.2">
      <c r="A14454" t="s">
        <v>18</v>
      </c>
      <c r="B14454" t="s">
        <v>34</v>
      </c>
      <c r="C14454" t="str">
        <f t="shared" si="452"/>
        <v>No cumple</v>
      </c>
      <c r="D14454">
        <v>9317</v>
      </c>
      <c r="E14454" t="s">
        <v>8</v>
      </c>
      <c r="F14454">
        <v>0</v>
      </c>
      <c r="G14454">
        <v>8</v>
      </c>
      <c r="H14454">
        <f t="shared" si="453"/>
        <v>-8</v>
      </c>
    </row>
    <row r="14455" spans="1:8" x14ac:dyDescent="0.2">
      <c r="A14455" t="s">
        <v>19</v>
      </c>
      <c r="B14455" t="s">
        <v>34</v>
      </c>
      <c r="C14455" t="str">
        <f t="shared" si="452"/>
        <v>No cumple</v>
      </c>
      <c r="D14455">
        <v>9340</v>
      </c>
      <c r="E14455" t="s">
        <v>8</v>
      </c>
      <c r="F14455">
        <v>0</v>
      </c>
      <c r="G14455">
        <v>8</v>
      </c>
      <c r="H14455">
        <f t="shared" si="453"/>
        <v>-8</v>
      </c>
    </row>
    <row r="14456" spans="1:8" x14ac:dyDescent="0.2">
      <c r="A14456" t="s">
        <v>7</v>
      </c>
      <c r="B14456" t="s">
        <v>34</v>
      </c>
      <c r="C14456" t="str">
        <f t="shared" si="452"/>
        <v>No cumple</v>
      </c>
      <c r="D14456">
        <v>9364</v>
      </c>
      <c r="E14456" t="s">
        <v>8</v>
      </c>
      <c r="F14456">
        <v>0</v>
      </c>
      <c r="G14456">
        <v>8</v>
      </c>
      <c r="H14456">
        <f t="shared" si="453"/>
        <v>-8</v>
      </c>
    </row>
    <row r="14457" spans="1:8" x14ac:dyDescent="0.2">
      <c r="A14457" t="s">
        <v>7</v>
      </c>
      <c r="B14457" t="s">
        <v>34</v>
      </c>
      <c r="C14457" t="str">
        <f t="shared" si="452"/>
        <v>No cumple</v>
      </c>
      <c r="D14457">
        <v>9365</v>
      </c>
      <c r="E14457" t="s">
        <v>8</v>
      </c>
      <c r="F14457">
        <v>0</v>
      </c>
      <c r="G14457">
        <v>8</v>
      </c>
      <c r="H14457">
        <f t="shared" si="453"/>
        <v>-8</v>
      </c>
    </row>
    <row r="14458" spans="1:8" x14ac:dyDescent="0.2">
      <c r="A14458" t="s">
        <v>19</v>
      </c>
      <c r="B14458" t="s">
        <v>34</v>
      </c>
      <c r="C14458" t="str">
        <f t="shared" si="452"/>
        <v>No cumple</v>
      </c>
      <c r="D14458">
        <v>9426</v>
      </c>
      <c r="E14458" t="s">
        <v>8</v>
      </c>
      <c r="F14458">
        <v>0</v>
      </c>
      <c r="G14458">
        <v>8</v>
      </c>
      <c r="H14458">
        <f t="shared" si="453"/>
        <v>-8</v>
      </c>
    </row>
    <row r="14459" spans="1:8" x14ac:dyDescent="0.2">
      <c r="A14459" t="s">
        <v>7</v>
      </c>
      <c r="B14459" t="s">
        <v>34</v>
      </c>
      <c r="C14459" t="str">
        <f t="shared" si="452"/>
        <v>No cumple</v>
      </c>
      <c r="D14459">
        <v>9468</v>
      </c>
      <c r="E14459" t="s">
        <v>8</v>
      </c>
      <c r="F14459">
        <v>0</v>
      </c>
      <c r="G14459">
        <v>8</v>
      </c>
      <c r="H14459">
        <f t="shared" si="453"/>
        <v>-8</v>
      </c>
    </row>
    <row r="14460" spans="1:8" x14ac:dyDescent="0.2">
      <c r="A14460" t="s">
        <v>7</v>
      </c>
      <c r="B14460" t="s">
        <v>34</v>
      </c>
      <c r="C14460" t="str">
        <f t="shared" si="452"/>
        <v>No cumple</v>
      </c>
      <c r="D14460">
        <v>9548</v>
      </c>
      <c r="E14460" t="s">
        <v>8</v>
      </c>
      <c r="F14460">
        <v>0</v>
      </c>
      <c r="G14460">
        <v>8</v>
      </c>
      <c r="H14460">
        <f t="shared" si="453"/>
        <v>-8</v>
      </c>
    </row>
    <row r="14461" spans="1:8" x14ac:dyDescent="0.2">
      <c r="A14461" t="s">
        <v>18</v>
      </c>
      <c r="B14461" t="s">
        <v>34</v>
      </c>
      <c r="C14461" t="str">
        <f t="shared" si="452"/>
        <v>No cumple</v>
      </c>
      <c r="D14461">
        <v>9609</v>
      </c>
      <c r="E14461" t="s">
        <v>8</v>
      </c>
      <c r="F14461">
        <v>0</v>
      </c>
      <c r="G14461">
        <v>8</v>
      </c>
      <c r="H14461">
        <f t="shared" si="453"/>
        <v>-8</v>
      </c>
    </row>
    <row r="14462" spans="1:8" x14ac:dyDescent="0.2">
      <c r="A14462" t="s">
        <v>18</v>
      </c>
      <c r="B14462" t="s">
        <v>34</v>
      </c>
      <c r="C14462" t="str">
        <f t="shared" si="452"/>
        <v>No cumple</v>
      </c>
      <c r="D14462">
        <v>9669</v>
      </c>
      <c r="E14462" t="s">
        <v>8</v>
      </c>
      <c r="F14462">
        <v>0</v>
      </c>
      <c r="G14462">
        <v>8</v>
      </c>
      <c r="H14462">
        <f t="shared" si="453"/>
        <v>-8</v>
      </c>
    </row>
    <row r="14463" spans="1:8" x14ac:dyDescent="0.2">
      <c r="A14463" t="s">
        <v>18</v>
      </c>
      <c r="B14463" t="s">
        <v>34</v>
      </c>
      <c r="C14463" t="str">
        <f t="shared" si="452"/>
        <v>No cumple</v>
      </c>
      <c r="D14463">
        <v>9670</v>
      </c>
      <c r="E14463" t="s">
        <v>8</v>
      </c>
      <c r="F14463">
        <v>0</v>
      </c>
      <c r="G14463">
        <v>8</v>
      </c>
      <c r="H14463">
        <f t="shared" si="453"/>
        <v>-8</v>
      </c>
    </row>
    <row r="14464" spans="1:8" x14ac:dyDescent="0.2">
      <c r="A14464" t="s">
        <v>7</v>
      </c>
      <c r="B14464" t="s">
        <v>34</v>
      </c>
      <c r="C14464" t="str">
        <f t="shared" si="452"/>
        <v>No cumple</v>
      </c>
      <c r="D14464">
        <v>9701</v>
      </c>
      <c r="E14464" t="s">
        <v>8</v>
      </c>
      <c r="F14464">
        <v>0</v>
      </c>
      <c r="G14464">
        <v>8</v>
      </c>
      <c r="H14464">
        <f t="shared" si="453"/>
        <v>-8</v>
      </c>
    </row>
    <row r="14465" spans="1:8" x14ac:dyDescent="0.2">
      <c r="A14465" t="s">
        <v>7</v>
      </c>
      <c r="B14465" t="s">
        <v>34</v>
      </c>
      <c r="C14465" t="str">
        <f t="shared" si="452"/>
        <v>No cumple</v>
      </c>
      <c r="D14465">
        <v>9726</v>
      </c>
      <c r="E14465" t="s">
        <v>8</v>
      </c>
      <c r="F14465">
        <v>0</v>
      </c>
      <c r="G14465">
        <v>8</v>
      </c>
      <c r="H14465">
        <f t="shared" si="453"/>
        <v>-8</v>
      </c>
    </row>
    <row r="14466" spans="1:8" x14ac:dyDescent="0.2">
      <c r="A14466" t="s">
        <v>18</v>
      </c>
      <c r="B14466" t="s">
        <v>34</v>
      </c>
      <c r="C14466" t="str">
        <f t="shared" si="452"/>
        <v>No cumple</v>
      </c>
      <c r="D14466">
        <v>9794</v>
      </c>
      <c r="E14466" t="s">
        <v>8</v>
      </c>
      <c r="F14466">
        <v>0</v>
      </c>
      <c r="G14466">
        <v>8</v>
      </c>
      <c r="H14466">
        <f t="shared" si="453"/>
        <v>-8</v>
      </c>
    </row>
    <row r="14467" spans="1:8" x14ac:dyDescent="0.2">
      <c r="A14467" t="s">
        <v>19</v>
      </c>
      <c r="B14467" t="s">
        <v>34</v>
      </c>
      <c r="C14467" t="str">
        <f t="shared" si="452"/>
        <v>No cumple</v>
      </c>
      <c r="D14467">
        <v>9828</v>
      </c>
      <c r="E14467" t="s">
        <v>8</v>
      </c>
      <c r="F14467">
        <v>0</v>
      </c>
      <c r="G14467">
        <v>8</v>
      </c>
      <c r="H14467">
        <f t="shared" si="453"/>
        <v>-8</v>
      </c>
    </row>
    <row r="14468" spans="1:8" x14ac:dyDescent="0.2">
      <c r="A14468" t="s">
        <v>18</v>
      </c>
      <c r="B14468" t="s">
        <v>34</v>
      </c>
      <c r="C14468" t="str">
        <f t="shared" si="452"/>
        <v>No cumple</v>
      </c>
      <c r="D14468">
        <v>9843</v>
      </c>
      <c r="E14468" t="s">
        <v>8</v>
      </c>
      <c r="F14468">
        <v>0</v>
      </c>
      <c r="G14468">
        <v>8</v>
      </c>
      <c r="H14468">
        <f t="shared" si="453"/>
        <v>-8</v>
      </c>
    </row>
    <row r="14469" spans="1:8" x14ac:dyDescent="0.2">
      <c r="A14469" t="s">
        <v>7</v>
      </c>
      <c r="B14469" t="s">
        <v>34</v>
      </c>
      <c r="C14469" t="str">
        <f t="shared" ref="C14469:C14532" si="454">IF(H14469&gt;=0,"Cumple","No cumple")</f>
        <v>No cumple</v>
      </c>
      <c r="D14469">
        <v>9844</v>
      </c>
      <c r="E14469" t="s">
        <v>8</v>
      </c>
      <c r="F14469">
        <v>0</v>
      </c>
      <c r="G14469">
        <v>8</v>
      </c>
      <c r="H14469">
        <f t="shared" si="453"/>
        <v>-8</v>
      </c>
    </row>
    <row r="14470" spans="1:8" x14ac:dyDescent="0.2">
      <c r="A14470" t="s">
        <v>18</v>
      </c>
      <c r="B14470" t="s">
        <v>34</v>
      </c>
      <c r="C14470" t="str">
        <f t="shared" si="454"/>
        <v>No cumple</v>
      </c>
      <c r="D14470">
        <v>9850</v>
      </c>
      <c r="E14470" t="s">
        <v>8</v>
      </c>
      <c r="F14470">
        <v>0</v>
      </c>
      <c r="G14470">
        <v>8</v>
      </c>
      <c r="H14470">
        <f t="shared" si="453"/>
        <v>-8</v>
      </c>
    </row>
    <row r="14471" spans="1:8" x14ac:dyDescent="0.2">
      <c r="A14471" t="s">
        <v>18</v>
      </c>
      <c r="B14471" t="s">
        <v>34</v>
      </c>
      <c r="C14471" t="str">
        <f t="shared" si="454"/>
        <v>No cumple</v>
      </c>
      <c r="D14471">
        <v>9916</v>
      </c>
      <c r="E14471" t="s">
        <v>8</v>
      </c>
      <c r="F14471">
        <v>0</v>
      </c>
      <c r="G14471">
        <v>8</v>
      </c>
      <c r="H14471">
        <f t="shared" si="453"/>
        <v>-8</v>
      </c>
    </row>
    <row r="14472" spans="1:8" x14ac:dyDescent="0.2">
      <c r="A14472" t="s">
        <v>7</v>
      </c>
      <c r="B14472" t="s">
        <v>34</v>
      </c>
      <c r="C14472" t="str">
        <f t="shared" si="454"/>
        <v>No cumple</v>
      </c>
      <c r="D14472">
        <v>9943</v>
      </c>
      <c r="E14472" t="s">
        <v>8</v>
      </c>
      <c r="F14472">
        <v>0</v>
      </c>
      <c r="G14472">
        <v>8</v>
      </c>
      <c r="H14472">
        <f t="shared" si="453"/>
        <v>-8</v>
      </c>
    </row>
    <row r="14473" spans="1:8" x14ac:dyDescent="0.2">
      <c r="A14473" t="s">
        <v>7</v>
      </c>
      <c r="B14473" t="s">
        <v>34</v>
      </c>
      <c r="C14473" t="str">
        <f t="shared" si="454"/>
        <v>No cumple</v>
      </c>
      <c r="D14473">
        <v>3592</v>
      </c>
      <c r="E14473" t="s">
        <v>8</v>
      </c>
      <c r="F14473">
        <v>0</v>
      </c>
      <c r="G14473">
        <v>8</v>
      </c>
      <c r="H14473">
        <f t="shared" si="453"/>
        <v>-8</v>
      </c>
    </row>
    <row r="14474" spans="1:8" x14ac:dyDescent="0.2">
      <c r="A14474" t="s">
        <v>19</v>
      </c>
      <c r="B14474" t="s">
        <v>34</v>
      </c>
      <c r="C14474" t="str">
        <f t="shared" si="454"/>
        <v>No cumple</v>
      </c>
      <c r="D14474">
        <v>9824</v>
      </c>
      <c r="E14474" t="s">
        <v>8</v>
      </c>
      <c r="F14474">
        <v>0</v>
      </c>
      <c r="G14474">
        <v>8</v>
      </c>
      <c r="H14474">
        <f t="shared" si="453"/>
        <v>-8</v>
      </c>
    </row>
    <row r="14475" spans="1:8" x14ac:dyDescent="0.2">
      <c r="A14475" t="s">
        <v>19</v>
      </c>
      <c r="B14475" t="s">
        <v>34</v>
      </c>
      <c r="C14475" t="str">
        <f t="shared" si="454"/>
        <v>No cumple</v>
      </c>
      <c r="D14475">
        <v>9060</v>
      </c>
      <c r="E14475" t="s">
        <v>8</v>
      </c>
      <c r="F14475">
        <v>0</v>
      </c>
      <c r="G14475">
        <v>8</v>
      </c>
      <c r="H14475">
        <f t="shared" si="453"/>
        <v>-8</v>
      </c>
    </row>
    <row r="14476" spans="1:8" x14ac:dyDescent="0.2">
      <c r="A14476" t="s">
        <v>7</v>
      </c>
      <c r="B14476" t="s">
        <v>34</v>
      </c>
      <c r="C14476" t="str">
        <f t="shared" si="454"/>
        <v>No cumple</v>
      </c>
      <c r="D14476">
        <v>3976</v>
      </c>
      <c r="E14476" t="s">
        <v>8</v>
      </c>
      <c r="F14476">
        <v>0</v>
      </c>
      <c r="G14476">
        <v>8</v>
      </c>
      <c r="H14476">
        <f t="shared" si="453"/>
        <v>-8</v>
      </c>
    </row>
    <row r="14477" spans="1:8" x14ac:dyDescent="0.2">
      <c r="A14477" t="s">
        <v>7</v>
      </c>
      <c r="B14477" t="s">
        <v>34</v>
      </c>
      <c r="C14477" t="str">
        <f t="shared" si="454"/>
        <v>No cumple</v>
      </c>
      <c r="D14477">
        <v>3977</v>
      </c>
      <c r="E14477" t="s">
        <v>8</v>
      </c>
      <c r="F14477">
        <v>0</v>
      </c>
      <c r="G14477">
        <v>8</v>
      </c>
      <c r="H14477">
        <f t="shared" si="453"/>
        <v>-8</v>
      </c>
    </row>
    <row r="14478" spans="1:8" x14ac:dyDescent="0.2">
      <c r="A14478" t="s">
        <v>19</v>
      </c>
      <c r="B14478" t="s">
        <v>34</v>
      </c>
      <c r="C14478" t="str">
        <f t="shared" si="454"/>
        <v>No cumple</v>
      </c>
      <c r="D14478">
        <v>3992</v>
      </c>
      <c r="E14478" t="s">
        <v>8</v>
      </c>
      <c r="F14478">
        <v>0</v>
      </c>
      <c r="G14478">
        <v>8</v>
      </c>
      <c r="H14478">
        <f t="shared" si="453"/>
        <v>-8</v>
      </c>
    </row>
    <row r="14479" spans="1:8" x14ac:dyDescent="0.2">
      <c r="A14479" t="s">
        <v>19</v>
      </c>
      <c r="B14479" t="s">
        <v>34</v>
      </c>
      <c r="C14479" t="str">
        <f t="shared" si="454"/>
        <v>No cumple</v>
      </c>
      <c r="D14479">
        <v>3993</v>
      </c>
      <c r="E14479" t="s">
        <v>8</v>
      </c>
      <c r="F14479">
        <v>0</v>
      </c>
      <c r="G14479">
        <v>8</v>
      </c>
      <c r="H14479">
        <f t="shared" si="453"/>
        <v>-8</v>
      </c>
    </row>
    <row r="14480" spans="1:8" x14ac:dyDescent="0.2">
      <c r="A14480" t="s">
        <v>7</v>
      </c>
      <c r="B14480" t="s">
        <v>34</v>
      </c>
      <c r="C14480" t="str">
        <f t="shared" si="454"/>
        <v>No cumple</v>
      </c>
      <c r="D14480">
        <v>3995</v>
      </c>
      <c r="E14480" t="s">
        <v>8</v>
      </c>
      <c r="F14480">
        <v>0</v>
      </c>
      <c r="G14480">
        <v>8</v>
      </c>
      <c r="H14480">
        <f t="shared" si="453"/>
        <v>-8</v>
      </c>
    </row>
    <row r="14481" spans="1:8" x14ac:dyDescent="0.2">
      <c r="A14481" t="s">
        <v>18</v>
      </c>
      <c r="B14481" t="s">
        <v>34</v>
      </c>
      <c r="C14481" t="str">
        <f t="shared" si="454"/>
        <v>No cumple</v>
      </c>
      <c r="D14481">
        <v>4031</v>
      </c>
      <c r="E14481" t="s">
        <v>8</v>
      </c>
      <c r="F14481">
        <v>0</v>
      </c>
      <c r="G14481">
        <v>8</v>
      </c>
      <c r="H14481">
        <f t="shared" si="453"/>
        <v>-8</v>
      </c>
    </row>
    <row r="14482" spans="1:8" x14ac:dyDescent="0.2">
      <c r="A14482" t="s">
        <v>18</v>
      </c>
      <c r="B14482" t="s">
        <v>34</v>
      </c>
      <c r="C14482" t="str">
        <f t="shared" si="454"/>
        <v>No cumple</v>
      </c>
      <c r="D14482">
        <v>2194</v>
      </c>
      <c r="E14482" t="s">
        <v>8</v>
      </c>
      <c r="F14482">
        <v>0</v>
      </c>
      <c r="G14482">
        <v>8</v>
      </c>
      <c r="H14482">
        <f t="shared" si="453"/>
        <v>-8</v>
      </c>
    </row>
    <row r="14483" spans="1:8" x14ac:dyDescent="0.2">
      <c r="A14483" t="s">
        <v>19</v>
      </c>
      <c r="B14483" t="s">
        <v>34</v>
      </c>
      <c r="C14483" t="str">
        <f t="shared" si="454"/>
        <v>No cumple</v>
      </c>
      <c r="D14483">
        <v>1604</v>
      </c>
      <c r="E14483" t="s">
        <v>8</v>
      </c>
      <c r="F14483">
        <v>0</v>
      </c>
      <c r="G14483">
        <v>8</v>
      </c>
      <c r="H14483">
        <f t="shared" si="453"/>
        <v>-8</v>
      </c>
    </row>
    <row r="14484" spans="1:8" x14ac:dyDescent="0.2">
      <c r="A14484" t="s">
        <v>18</v>
      </c>
      <c r="B14484" t="s">
        <v>34</v>
      </c>
      <c r="C14484" t="str">
        <f t="shared" si="454"/>
        <v>No cumple</v>
      </c>
      <c r="D14484">
        <v>3989</v>
      </c>
      <c r="E14484" t="s">
        <v>8</v>
      </c>
      <c r="F14484">
        <v>0</v>
      </c>
      <c r="G14484">
        <v>8</v>
      </c>
      <c r="H14484">
        <f t="shared" si="453"/>
        <v>-8</v>
      </c>
    </row>
    <row r="14485" spans="1:8" x14ac:dyDescent="0.2">
      <c r="A14485" t="s">
        <v>18</v>
      </c>
      <c r="B14485" t="s">
        <v>34</v>
      </c>
      <c r="C14485" t="str">
        <f t="shared" si="454"/>
        <v>No cumple</v>
      </c>
      <c r="D14485">
        <v>4037</v>
      </c>
      <c r="E14485" t="s">
        <v>8</v>
      </c>
      <c r="F14485">
        <v>0</v>
      </c>
      <c r="G14485">
        <v>8</v>
      </c>
      <c r="H14485">
        <f t="shared" si="453"/>
        <v>-8</v>
      </c>
    </row>
    <row r="14486" spans="1:8" x14ac:dyDescent="0.2">
      <c r="A14486" t="s">
        <v>18</v>
      </c>
      <c r="B14486" t="s">
        <v>34</v>
      </c>
      <c r="C14486" t="str">
        <f t="shared" si="454"/>
        <v>No cumple</v>
      </c>
      <c r="D14486">
        <v>4038</v>
      </c>
      <c r="E14486" t="s">
        <v>8</v>
      </c>
      <c r="F14486">
        <v>0</v>
      </c>
      <c r="G14486">
        <v>8</v>
      </c>
      <c r="H14486">
        <f t="shared" si="453"/>
        <v>-8</v>
      </c>
    </row>
    <row r="14487" spans="1:8" x14ac:dyDescent="0.2">
      <c r="A14487" t="s">
        <v>19</v>
      </c>
      <c r="B14487" t="s">
        <v>34</v>
      </c>
      <c r="C14487" t="str">
        <f t="shared" si="454"/>
        <v>No cumple</v>
      </c>
      <c r="D14487">
        <v>4040</v>
      </c>
      <c r="E14487" t="s">
        <v>8</v>
      </c>
      <c r="F14487">
        <v>0</v>
      </c>
      <c r="G14487">
        <v>8</v>
      </c>
      <c r="H14487">
        <f t="shared" si="453"/>
        <v>-8</v>
      </c>
    </row>
    <row r="14488" spans="1:8" x14ac:dyDescent="0.2">
      <c r="A14488" t="s">
        <v>7</v>
      </c>
      <c r="B14488" t="s">
        <v>34</v>
      </c>
      <c r="C14488" t="str">
        <f t="shared" si="454"/>
        <v>No cumple</v>
      </c>
      <c r="D14488">
        <v>2724</v>
      </c>
      <c r="E14488" t="s">
        <v>8</v>
      </c>
      <c r="F14488">
        <v>0</v>
      </c>
      <c r="G14488">
        <v>8</v>
      </c>
      <c r="H14488">
        <f t="shared" ref="H14488:H14506" si="455">F14488-G14488</f>
        <v>-8</v>
      </c>
    </row>
    <row r="14489" spans="1:8" x14ac:dyDescent="0.2">
      <c r="A14489" t="s">
        <v>18</v>
      </c>
      <c r="B14489" t="s">
        <v>34</v>
      </c>
      <c r="C14489" t="str">
        <f t="shared" si="454"/>
        <v>No cumple</v>
      </c>
      <c r="D14489">
        <v>9880</v>
      </c>
      <c r="E14489" t="s">
        <v>8</v>
      </c>
      <c r="F14489">
        <v>0</v>
      </c>
      <c r="G14489">
        <v>8</v>
      </c>
      <c r="H14489">
        <f t="shared" si="455"/>
        <v>-8</v>
      </c>
    </row>
    <row r="14490" spans="1:8" x14ac:dyDescent="0.2">
      <c r="A14490" t="s">
        <v>19</v>
      </c>
      <c r="B14490" t="s">
        <v>34</v>
      </c>
      <c r="C14490" t="str">
        <f t="shared" si="454"/>
        <v>No cumple</v>
      </c>
      <c r="D14490">
        <v>1781</v>
      </c>
      <c r="E14490" t="s">
        <v>8</v>
      </c>
      <c r="F14490">
        <v>0</v>
      </c>
      <c r="G14490">
        <v>8</v>
      </c>
      <c r="H14490">
        <f t="shared" si="455"/>
        <v>-8</v>
      </c>
    </row>
    <row r="14491" spans="1:8" x14ac:dyDescent="0.2">
      <c r="A14491" t="s">
        <v>7</v>
      </c>
      <c r="B14491" t="s">
        <v>34</v>
      </c>
      <c r="C14491" t="str">
        <f t="shared" si="454"/>
        <v>No cumple</v>
      </c>
      <c r="D14491">
        <v>987</v>
      </c>
      <c r="E14491" t="s">
        <v>8</v>
      </c>
      <c r="F14491">
        <v>0</v>
      </c>
      <c r="G14491">
        <v>8</v>
      </c>
      <c r="H14491">
        <f t="shared" si="455"/>
        <v>-8</v>
      </c>
    </row>
    <row r="14492" spans="1:8" x14ac:dyDescent="0.2">
      <c r="A14492" t="s">
        <v>7</v>
      </c>
      <c r="B14492" t="s">
        <v>34</v>
      </c>
      <c r="C14492" t="str">
        <f t="shared" si="454"/>
        <v>No cumple</v>
      </c>
      <c r="D14492">
        <v>2099</v>
      </c>
      <c r="E14492" t="s">
        <v>8</v>
      </c>
      <c r="F14492">
        <v>0</v>
      </c>
      <c r="G14492">
        <v>8</v>
      </c>
      <c r="H14492">
        <f t="shared" si="455"/>
        <v>-8</v>
      </c>
    </row>
    <row r="14493" spans="1:8" x14ac:dyDescent="0.2">
      <c r="A14493" t="s">
        <v>7</v>
      </c>
      <c r="B14493" t="s">
        <v>34</v>
      </c>
      <c r="C14493" t="str">
        <f t="shared" si="454"/>
        <v>No cumple</v>
      </c>
      <c r="D14493">
        <v>9708</v>
      </c>
      <c r="E14493" t="s">
        <v>8</v>
      </c>
      <c r="F14493">
        <v>0</v>
      </c>
      <c r="G14493">
        <v>8</v>
      </c>
      <c r="H14493">
        <f t="shared" si="455"/>
        <v>-8</v>
      </c>
    </row>
    <row r="14494" spans="1:8" x14ac:dyDescent="0.2">
      <c r="A14494" t="s">
        <v>7</v>
      </c>
      <c r="B14494" t="s">
        <v>34</v>
      </c>
      <c r="C14494" t="str">
        <f t="shared" si="454"/>
        <v>No cumple</v>
      </c>
      <c r="D14494">
        <v>4046</v>
      </c>
      <c r="E14494" t="s">
        <v>8</v>
      </c>
      <c r="F14494">
        <v>0</v>
      </c>
      <c r="G14494">
        <v>8</v>
      </c>
      <c r="H14494">
        <f t="shared" si="455"/>
        <v>-8</v>
      </c>
    </row>
    <row r="14495" spans="1:8" x14ac:dyDescent="0.2">
      <c r="A14495" t="s">
        <v>18</v>
      </c>
      <c r="B14495" t="s">
        <v>34</v>
      </c>
      <c r="C14495" t="str">
        <f t="shared" si="454"/>
        <v>No cumple</v>
      </c>
      <c r="D14495">
        <v>4047</v>
      </c>
      <c r="E14495" t="s">
        <v>8</v>
      </c>
      <c r="F14495">
        <v>0</v>
      </c>
      <c r="G14495">
        <v>8</v>
      </c>
      <c r="H14495">
        <f t="shared" si="455"/>
        <v>-8</v>
      </c>
    </row>
    <row r="14496" spans="1:8" x14ac:dyDescent="0.2">
      <c r="A14496" t="s">
        <v>18</v>
      </c>
      <c r="B14496" t="s">
        <v>34</v>
      </c>
      <c r="C14496" t="str">
        <f t="shared" si="454"/>
        <v>No cumple</v>
      </c>
      <c r="D14496">
        <v>4048</v>
      </c>
      <c r="E14496" t="s">
        <v>8</v>
      </c>
      <c r="F14496">
        <v>0</v>
      </c>
      <c r="G14496">
        <v>8</v>
      </c>
      <c r="H14496">
        <f t="shared" si="455"/>
        <v>-8</v>
      </c>
    </row>
    <row r="14497" spans="1:8" x14ac:dyDescent="0.2">
      <c r="A14497" t="s">
        <v>18</v>
      </c>
      <c r="B14497" t="s">
        <v>34</v>
      </c>
      <c r="C14497" t="str">
        <f t="shared" si="454"/>
        <v>No cumple</v>
      </c>
      <c r="D14497">
        <v>4051</v>
      </c>
      <c r="E14497" t="s">
        <v>8</v>
      </c>
      <c r="F14497">
        <v>0</v>
      </c>
      <c r="G14497">
        <v>8</v>
      </c>
      <c r="H14497">
        <f t="shared" si="455"/>
        <v>-8</v>
      </c>
    </row>
    <row r="14498" spans="1:8" x14ac:dyDescent="0.2">
      <c r="A14498" t="s">
        <v>7</v>
      </c>
      <c r="B14498" t="s">
        <v>34</v>
      </c>
      <c r="C14498" t="str">
        <f t="shared" si="454"/>
        <v>No cumple</v>
      </c>
      <c r="D14498">
        <v>4053</v>
      </c>
      <c r="E14498" t="s">
        <v>8</v>
      </c>
      <c r="F14498">
        <v>0</v>
      </c>
      <c r="G14498">
        <v>8</v>
      </c>
      <c r="H14498">
        <f t="shared" si="455"/>
        <v>-8</v>
      </c>
    </row>
    <row r="14499" spans="1:8" x14ac:dyDescent="0.2">
      <c r="A14499" t="s">
        <v>18</v>
      </c>
      <c r="B14499" t="s">
        <v>34</v>
      </c>
      <c r="C14499" t="str">
        <f t="shared" si="454"/>
        <v>No cumple</v>
      </c>
      <c r="D14499">
        <v>2647</v>
      </c>
      <c r="E14499" t="s">
        <v>8</v>
      </c>
      <c r="F14499">
        <v>0</v>
      </c>
      <c r="G14499">
        <v>8</v>
      </c>
      <c r="H14499">
        <f t="shared" si="455"/>
        <v>-8</v>
      </c>
    </row>
    <row r="14500" spans="1:8" x14ac:dyDescent="0.2">
      <c r="A14500" t="s">
        <v>7</v>
      </c>
      <c r="B14500" t="s">
        <v>34</v>
      </c>
      <c r="C14500" t="str">
        <f t="shared" si="454"/>
        <v>No cumple</v>
      </c>
      <c r="D14500">
        <v>3859</v>
      </c>
      <c r="E14500" t="s">
        <v>8</v>
      </c>
      <c r="F14500">
        <v>0</v>
      </c>
      <c r="G14500">
        <v>8</v>
      </c>
      <c r="H14500">
        <f t="shared" si="455"/>
        <v>-8</v>
      </c>
    </row>
    <row r="14501" spans="1:8" x14ac:dyDescent="0.2">
      <c r="A14501" t="s">
        <v>18</v>
      </c>
      <c r="B14501" t="s">
        <v>34</v>
      </c>
      <c r="C14501" t="str">
        <f t="shared" si="454"/>
        <v>No cumple</v>
      </c>
      <c r="D14501">
        <v>9848</v>
      </c>
      <c r="E14501" t="s">
        <v>8</v>
      </c>
      <c r="F14501">
        <v>0</v>
      </c>
      <c r="G14501">
        <v>8</v>
      </c>
      <c r="H14501">
        <f t="shared" si="455"/>
        <v>-8</v>
      </c>
    </row>
    <row r="14502" spans="1:8" x14ac:dyDescent="0.2">
      <c r="A14502" t="s">
        <v>18</v>
      </c>
      <c r="B14502" t="s">
        <v>34</v>
      </c>
      <c r="C14502" t="str">
        <f t="shared" si="454"/>
        <v>No cumple</v>
      </c>
      <c r="D14502">
        <v>9791</v>
      </c>
      <c r="E14502" t="s">
        <v>8</v>
      </c>
      <c r="F14502">
        <v>0</v>
      </c>
      <c r="G14502">
        <v>8</v>
      </c>
      <c r="H14502">
        <f t="shared" si="455"/>
        <v>-8</v>
      </c>
    </row>
    <row r="14503" spans="1:8" x14ac:dyDescent="0.2">
      <c r="A14503" t="s">
        <v>7</v>
      </c>
      <c r="B14503" t="s">
        <v>34</v>
      </c>
      <c r="C14503" t="str">
        <f t="shared" si="454"/>
        <v>No cumple</v>
      </c>
      <c r="D14503">
        <v>4076</v>
      </c>
      <c r="E14503" t="s">
        <v>8</v>
      </c>
      <c r="F14503">
        <v>0</v>
      </c>
      <c r="G14503">
        <v>8</v>
      </c>
      <c r="H14503">
        <f t="shared" si="455"/>
        <v>-8</v>
      </c>
    </row>
    <row r="14504" spans="1:8" x14ac:dyDescent="0.2">
      <c r="A14504" t="s">
        <v>7</v>
      </c>
      <c r="B14504" t="s">
        <v>34</v>
      </c>
      <c r="C14504" t="str">
        <f t="shared" si="454"/>
        <v>No cumple</v>
      </c>
      <c r="D14504">
        <v>4078</v>
      </c>
      <c r="E14504" t="s">
        <v>8</v>
      </c>
      <c r="F14504">
        <v>0</v>
      </c>
      <c r="G14504">
        <v>8</v>
      </c>
      <c r="H14504">
        <f t="shared" si="455"/>
        <v>-8</v>
      </c>
    </row>
    <row r="14505" spans="1:8" x14ac:dyDescent="0.2">
      <c r="A14505" t="s">
        <v>18</v>
      </c>
      <c r="B14505" t="s">
        <v>34</v>
      </c>
      <c r="C14505" t="str">
        <f t="shared" si="454"/>
        <v>No cumple</v>
      </c>
      <c r="D14505">
        <v>4079</v>
      </c>
      <c r="E14505" t="s">
        <v>8</v>
      </c>
      <c r="F14505">
        <v>0</v>
      </c>
      <c r="G14505">
        <v>8</v>
      </c>
      <c r="H14505">
        <f t="shared" si="455"/>
        <v>-8</v>
      </c>
    </row>
    <row r="14506" spans="1:8" x14ac:dyDescent="0.2">
      <c r="A14506" t="s">
        <v>18</v>
      </c>
      <c r="B14506" t="s">
        <v>34</v>
      </c>
      <c r="C14506" t="str">
        <f t="shared" si="454"/>
        <v>No cumple</v>
      </c>
      <c r="D14506">
        <v>4081</v>
      </c>
      <c r="E14506" t="s">
        <v>8</v>
      </c>
      <c r="F14506">
        <v>0</v>
      </c>
      <c r="G14506">
        <v>8</v>
      </c>
      <c r="H14506">
        <f t="shared" si="455"/>
        <v>-8</v>
      </c>
    </row>
    <row r="14507" spans="1:8" x14ac:dyDescent="0.2">
      <c r="A14507" t="s">
        <v>7</v>
      </c>
      <c r="B14507" t="s">
        <v>34</v>
      </c>
      <c r="C14507" t="str">
        <f t="shared" si="454"/>
        <v>Cumple</v>
      </c>
      <c r="D14507">
        <v>9360</v>
      </c>
      <c r="E14507" t="s">
        <v>11</v>
      </c>
      <c r="F14507">
        <v>54</v>
      </c>
      <c r="G14507">
        <v>20</v>
      </c>
      <c r="H14507">
        <f>F14507-G14507</f>
        <v>34</v>
      </c>
    </row>
    <row r="14508" spans="1:8" x14ac:dyDescent="0.2">
      <c r="A14508" t="s">
        <v>7</v>
      </c>
      <c r="B14508" t="s">
        <v>34</v>
      </c>
      <c r="C14508" t="str">
        <f t="shared" si="454"/>
        <v>Cumple</v>
      </c>
      <c r="D14508">
        <v>3460</v>
      </c>
      <c r="E14508" t="s">
        <v>11</v>
      </c>
      <c r="F14508">
        <v>47</v>
      </c>
      <c r="G14508">
        <v>20</v>
      </c>
      <c r="H14508">
        <f t="shared" ref="H14508:H14571" si="456">F14508-G14508</f>
        <v>27</v>
      </c>
    </row>
    <row r="14509" spans="1:8" x14ac:dyDescent="0.2">
      <c r="A14509" t="s">
        <v>7</v>
      </c>
      <c r="B14509" t="s">
        <v>34</v>
      </c>
      <c r="C14509" t="str">
        <f t="shared" si="454"/>
        <v>Cumple</v>
      </c>
      <c r="D14509">
        <v>952</v>
      </c>
      <c r="E14509" t="s">
        <v>12</v>
      </c>
      <c r="F14509">
        <v>45</v>
      </c>
      <c r="G14509">
        <v>20</v>
      </c>
      <c r="H14509">
        <f t="shared" si="456"/>
        <v>25</v>
      </c>
    </row>
    <row r="14510" spans="1:8" x14ac:dyDescent="0.2">
      <c r="A14510" t="s">
        <v>7</v>
      </c>
      <c r="B14510" t="s">
        <v>34</v>
      </c>
      <c r="C14510" t="str">
        <f t="shared" si="454"/>
        <v>Cumple</v>
      </c>
      <c r="D14510">
        <v>1537</v>
      </c>
      <c r="E14510" t="s">
        <v>11</v>
      </c>
      <c r="F14510">
        <v>43</v>
      </c>
      <c r="G14510">
        <v>20</v>
      </c>
      <c r="H14510">
        <f t="shared" si="456"/>
        <v>23</v>
      </c>
    </row>
    <row r="14511" spans="1:8" x14ac:dyDescent="0.2">
      <c r="A14511" t="s">
        <v>7</v>
      </c>
      <c r="B14511" t="s">
        <v>34</v>
      </c>
      <c r="C14511" t="str">
        <f t="shared" si="454"/>
        <v>Cumple</v>
      </c>
      <c r="D14511">
        <v>3047</v>
      </c>
      <c r="E14511" t="s">
        <v>10</v>
      </c>
      <c r="F14511">
        <v>43</v>
      </c>
      <c r="G14511">
        <v>20</v>
      </c>
      <c r="H14511">
        <f t="shared" si="456"/>
        <v>23</v>
      </c>
    </row>
    <row r="14512" spans="1:8" x14ac:dyDescent="0.2">
      <c r="A14512" t="s">
        <v>7</v>
      </c>
      <c r="B14512" t="s">
        <v>34</v>
      </c>
      <c r="C14512" t="str">
        <f t="shared" si="454"/>
        <v>Cumple</v>
      </c>
      <c r="D14512">
        <v>3683</v>
      </c>
      <c r="E14512" t="s">
        <v>11</v>
      </c>
      <c r="F14512">
        <v>40</v>
      </c>
      <c r="G14512">
        <v>20</v>
      </c>
      <c r="H14512">
        <f t="shared" si="456"/>
        <v>20</v>
      </c>
    </row>
    <row r="14513" spans="1:8" x14ac:dyDescent="0.2">
      <c r="A14513" t="s">
        <v>7</v>
      </c>
      <c r="B14513" t="s">
        <v>34</v>
      </c>
      <c r="C14513" t="str">
        <f t="shared" si="454"/>
        <v>Cumple</v>
      </c>
      <c r="D14513">
        <v>3726</v>
      </c>
      <c r="E14513" t="s">
        <v>11</v>
      </c>
      <c r="F14513">
        <v>40</v>
      </c>
      <c r="G14513">
        <v>20</v>
      </c>
      <c r="H14513">
        <f t="shared" si="456"/>
        <v>20</v>
      </c>
    </row>
    <row r="14514" spans="1:8" x14ac:dyDescent="0.2">
      <c r="A14514" t="s">
        <v>7</v>
      </c>
      <c r="B14514" t="s">
        <v>34</v>
      </c>
      <c r="C14514" t="str">
        <f t="shared" si="454"/>
        <v>Cumple</v>
      </c>
      <c r="D14514">
        <v>9245</v>
      </c>
      <c r="E14514" t="s">
        <v>11</v>
      </c>
      <c r="F14514">
        <v>40</v>
      </c>
      <c r="G14514">
        <v>20</v>
      </c>
      <c r="H14514">
        <f t="shared" si="456"/>
        <v>20</v>
      </c>
    </row>
    <row r="14515" spans="1:8" x14ac:dyDescent="0.2">
      <c r="A14515" t="s">
        <v>7</v>
      </c>
      <c r="B14515" t="s">
        <v>34</v>
      </c>
      <c r="C14515" t="str">
        <f t="shared" si="454"/>
        <v>Cumple</v>
      </c>
      <c r="D14515">
        <v>9892</v>
      </c>
      <c r="E14515" t="s">
        <v>11</v>
      </c>
      <c r="F14515">
        <v>40</v>
      </c>
      <c r="G14515">
        <v>20</v>
      </c>
      <c r="H14515">
        <f t="shared" si="456"/>
        <v>20</v>
      </c>
    </row>
    <row r="14516" spans="1:8" x14ac:dyDescent="0.2">
      <c r="A14516" t="s">
        <v>7</v>
      </c>
      <c r="B14516" t="s">
        <v>34</v>
      </c>
      <c r="C14516" t="str">
        <f t="shared" si="454"/>
        <v>Cumple</v>
      </c>
      <c r="D14516">
        <v>3950</v>
      </c>
      <c r="E14516" t="s">
        <v>11</v>
      </c>
      <c r="F14516">
        <v>39</v>
      </c>
      <c r="G14516">
        <v>20</v>
      </c>
      <c r="H14516">
        <f t="shared" si="456"/>
        <v>19</v>
      </c>
    </row>
    <row r="14517" spans="1:8" x14ac:dyDescent="0.2">
      <c r="A14517" t="s">
        <v>7</v>
      </c>
      <c r="B14517" t="s">
        <v>34</v>
      </c>
      <c r="C14517" t="str">
        <f t="shared" si="454"/>
        <v>Cumple</v>
      </c>
      <c r="D14517">
        <v>9633</v>
      </c>
      <c r="E14517" t="s">
        <v>11</v>
      </c>
      <c r="F14517">
        <v>39</v>
      </c>
      <c r="G14517">
        <v>20</v>
      </c>
      <c r="H14517">
        <f t="shared" si="456"/>
        <v>19</v>
      </c>
    </row>
    <row r="14518" spans="1:8" x14ac:dyDescent="0.2">
      <c r="A14518" t="s">
        <v>7</v>
      </c>
      <c r="B14518" t="s">
        <v>34</v>
      </c>
      <c r="C14518" t="str">
        <f t="shared" si="454"/>
        <v>Cumple</v>
      </c>
      <c r="D14518">
        <v>9875</v>
      </c>
      <c r="E14518" t="s">
        <v>11</v>
      </c>
      <c r="F14518">
        <v>39</v>
      </c>
      <c r="G14518">
        <v>20</v>
      </c>
      <c r="H14518">
        <f t="shared" si="456"/>
        <v>19</v>
      </c>
    </row>
    <row r="14519" spans="1:8" x14ac:dyDescent="0.2">
      <c r="A14519" t="s">
        <v>7</v>
      </c>
      <c r="B14519" t="s">
        <v>34</v>
      </c>
      <c r="C14519" t="str">
        <f t="shared" si="454"/>
        <v>Cumple</v>
      </c>
      <c r="D14519">
        <v>9982</v>
      </c>
      <c r="E14519" t="s">
        <v>10</v>
      </c>
      <c r="F14519">
        <v>39</v>
      </c>
      <c r="G14519">
        <v>20</v>
      </c>
      <c r="H14519">
        <f t="shared" si="456"/>
        <v>19</v>
      </c>
    </row>
    <row r="14520" spans="1:8" x14ac:dyDescent="0.2">
      <c r="A14520" t="s">
        <v>7</v>
      </c>
      <c r="B14520" t="s">
        <v>34</v>
      </c>
      <c r="C14520" t="str">
        <f t="shared" si="454"/>
        <v>Cumple</v>
      </c>
      <c r="D14520">
        <v>1844</v>
      </c>
      <c r="E14520" t="s">
        <v>12</v>
      </c>
      <c r="F14520">
        <v>38</v>
      </c>
      <c r="G14520">
        <v>20</v>
      </c>
      <c r="H14520">
        <f t="shared" si="456"/>
        <v>18</v>
      </c>
    </row>
    <row r="14521" spans="1:8" x14ac:dyDescent="0.2">
      <c r="A14521" t="s">
        <v>7</v>
      </c>
      <c r="B14521" t="s">
        <v>34</v>
      </c>
      <c r="C14521" t="str">
        <f t="shared" si="454"/>
        <v>Cumple</v>
      </c>
      <c r="D14521">
        <v>3938</v>
      </c>
      <c r="E14521" t="s">
        <v>11</v>
      </c>
      <c r="F14521">
        <v>38</v>
      </c>
      <c r="G14521">
        <v>20</v>
      </c>
      <c r="H14521">
        <f t="shared" si="456"/>
        <v>18</v>
      </c>
    </row>
    <row r="14522" spans="1:8" x14ac:dyDescent="0.2">
      <c r="A14522" t="s">
        <v>7</v>
      </c>
      <c r="B14522" t="s">
        <v>34</v>
      </c>
      <c r="C14522" t="str">
        <f t="shared" si="454"/>
        <v>Cumple</v>
      </c>
      <c r="D14522">
        <v>9431</v>
      </c>
      <c r="E14522" t="s">
        <v>12</v>
      </c>
      <c r="F14522">
        <v>37</v>
      </c>
      <c r="G14522">
        <v>20</v>
      </c>
      <c r="H14522">
        <f t="shared" si="456"/>
        <v>17</v>
      </c>
    </row>
    <row r="14523" spans="1:8" x14ac:dyDescent="0.2">
      <c r="A14523" t="s">
        <v>7</v>
      </c>
      <c r="B14523" t="s">
        <v>34</v>
      </c>
      <c r="C14523" t="str">
        <f t="shared" si="454"/>
        <v>Cumple</v>
      </c>
      <c r="D14523">
        <v>3036</v>
      </c>
      <c r="E14523" t="s">
        <v>11</v>
      </c>
      <c r="F14523">
        <v>36</v>
      </c>
      <c r="G14523">
        <v>20</v>
      </c>
      <c r="H14523">
        <f t="shared" si="456"/>
        <v>16</v>
      </c>
    </row>
    <row r="14524" spans="1:8" x14ac:dyDescent="0.2">
      <c r="A14524" t="s">
        <v>7</v>
      </c>
      <c r="B14524" t="s">
        <v>34</v>
      </c>
      <c r="C14524" t="str">
        <f t="shared" si="454"/>
        <v>Cumple</v>
      </c>
      <c r="D14524">
        <v>3169</v>
      </c>
      <c r="E14524" t="s">
        <v>10</v>
      </c>
      <c r="F14524">
        <v>36</v>
      </c>
      <c r="G14524">
        <v>20</v>
      </c>
      <c r="H14524">
        <f t="shared" si="456"/>
        <v>16</v>
      </c>
    </row>
    <row r="14525" spans="1:8" x14ac:dyDescent="0.2">
      <c r="A14525" t="s">
        <v>7</v>
      </c>
      <c r="B14525" t="s">
        <v>34</v>
      </c>
      <c r="C14525" t="str">
        <f t="shared" si="454"/>
        <v>Cumple</v>
      </c>
      <c r="D14525">
        <v>3461</v>
      </c>
      <c r="E14525" t="s">
        <v>12</v>
      </c>
      <c r="F14525">
        <v>36</v>
      </c>
      <c r="G14525">
        <v>20</v>
      </c>
      <c r="H14525">
        <f t="shared" si="456"/>
        <v>16</v>
      </c>
    </row>
    <row r="14526" spans="1:8" x14ac:dyDescent="0.2">
      <c r="A14526" t="s">
        <v>7</v>
      </c>
      <c r="B14526" t="s">
        <v>34</v>
      </c>
      <c r="C14526" t="str">
        <f t="shared" si="454"/>
        <v>Cumple</v>
      </c>
      <c r="D14526">
        <v>3638</v>
      </c>
      <c r="E14526" t="s">
        <v>12</v>
      </c>
      <c r="F14526">
        <v>36</v>
      </c>
      <c r="G14526">
        <v>20</v>
      </c>
      <c r="H14526">
        <f t="shared" si="456"/>
        <v>16</v>
      </c>
    </row>
    <row r="14527" spans="1:8" x14ac:dyDescent="0.2">
      <c r="A14527" t="s">
        <v>7</v>
      </c>
      <c r="B14527" t="s">
        <v>34</v>
      </c>
      <c r="C14527" t="str">
        <f t="shared" si="454"/>
        <v>Cumple</v>
      </c>
      <c r="D14527">
        <v>9705</v>
      </c>
      <c r="E14527" t="s">
        <v>10</v>
      </c>
      <c r="F14527">
        <v>36</v>
      </c>
      <c r="G14527">
        <v>20</v>
      </c>
      <c r="H14527">
        <f t="shared" si="456"/>
        <v>16</v>
      </c>
    </row>
    <row r="14528" spans="1:8" x14ac:dyDescent="0.2">
      <c r="A14528" t="s">
        <v>7</v>
      </c>
      <c r="B14528" t="s">
        <v>34</v>
      </c>
      <c r="C14528" t="str">
        <f t="shared" si="454"/>
        <v>Cumple</v>
      </c>
      <c r="D14528">
        <v>3102</v>
      </c>
      <c r="E14528" t="s">
        <v>10</v>
      </c>
      <c r="F14528">
        <v>35</v>
      </c>
      <c r="G14528">
        <v>20</v>
      </c>
      <c r="H14528">
        <f t="shared" si="456"/>
        <v>15</v>
      </c>
    </row>
    <row r="14529" spans="1:8" x14ac:dyDescent="0.2">
      <c r="A14529" t="s">
        <v>7</v>
      </c>
      <c r="B14529" t="s">
        <v>34</v>
      </c>
      <c r="C14529" t="str">
        <f t="shared" si="454"/>
        <v>Cumple</v>
      </c>
      <c r="D14529">
        <v>3364</v>
      </c>
      <c r="E14529" t="s">
        <v>11</v>
      </c>
      <c r="F14529">
        <v>35</v>
      </c>
      <c r="G14529">
        <v>20</v>
      </c>
      <c r="H14529">
        <f t="shared" si="456"/>
        <v>15</v>
      </c>
    </row>
    <row r="14530" spans="1:8" x14ac:dyDescent="0.2">
      <c r="A14530" t="s">
        <v>7</v>
      </c>
      <c r="B14530" t="s">
        <v>34</v>
      </c>
      <c r="C14530" t="str">
        <f t="shared" si="454"/>
        <v>Cumple</v>
      </c>
      <c r="D14530">
        <v>2854</v>
      </c>
      <c r="E14530" t="s">
        <v>11</v>
      </c>
      <c r="F14530">
        <v>34</v>
      </c>
      <c r="G14530">
        <v>20</v>
      </c>
      <c r="H14530">
        <f t="shared" si="456"/>
        <v>14</v>
      </c>
    </row>
    <row r="14531" spans="1:8" x14ac:dyDescent="0.2">
      <c r="A14531" t="s">
        <v>7</v>
      </c>
      <c r="B14531" t="s">
        <v>34</v>
      </c>
      <c r="C14531" t="str">
        <f t="shared" si="454"/>
        <v>Cumple</v>
      </c>
      <c r="D14531">
        <v>3006</v>
      </c>
      <c r="E14531" t="s">
        <v>11</v>
      </c>
      <c r="F14531">
        <v>34</v>
      </c>
      <c r="G14531">
        <v>20</v>
      </c>
      <c r="H14531">
        <f t="shared" si="456"/>
        <v>14</v>
      </c>
    </row>
    <row r="14532" spans="1:8" x14ac:dyDescent="0.2">
      <c r="A14532" t="s">
        <v>7</v>
      </c>
      <c r="B14532" t="s">
        <v>34</v>
      </c>
      <c r="C14532" t="str">
        <f t="shared" si="454"/>
        <v>Cumple</v>
      </c>
      <c r="D14532">
        <v>3299</v>
      </c>
      <c r="E14532" t="s">
        <v>11</v>
      </c>
      <c r="F14532">
        <v>34</v>
      </c>
      <c r="G14532">
        <v>20</v>
      </c>
      <c r="H14532">
        <f t="shared" si="456"/>
        <v>14</v>
      </c>
    </row>
    <row r="14533" spans="1:8" x14ac:dyDescent="0.2">
      <c r="A14533" t="s">
        <v>7</v>
      </c>
      <c r="B14533" t="s">
        <v>34</v>
      </c>
      <c r="C14533" t="str">
        <f t="shared" ref="C14533:C14596" si="457">IF(H14533&gt;=0,"Cumple","No cumple")</f>
        <v>Cumple</v>
      </c>
      <c r="D14533">
        <v>3411</v>
      </c>
      <c r="E14533" t="s">
        <v>11</v>
      </c>
      <c r="F14533">
        <v>34</v>
      </c>
      <c r="G14533">
        <v>20</v>
      </c>
      <c r="H14533">
        <f t="shared" si="456"/>
        <v>14</v>
      </c>
    </row>
    <row r="14534" spans="1:8" x14ac:dyDescent="0.2">
      <c r="A14534" t="s">
        <v>7</v>
      </c>
      <c r="B14534" t="s">
        <v>34</v>
      </c>
      <c r="C14534" t="str">
        <f t="shared" si="457"/>
        <v>Cumple</v>
      </c>
      <c r="D14534">
        <v>3850</v>
      </c>
      <c r="E14534" t="s">
        <v>11</v>
      </c>
      <c r="F14534">
        <v>34</v>
      </c>
      <c r="G14534">
        <v>20</v>
      </c>
      <c r="H14534">
        <f t="shared" si="456"/>
        <v>14</v>
      </c>
    </row>
    <row r="14535" spans="1:8" x14ac:dyDescent="0.2">
      <c r="A14535" t="s">
        <v>7</v>
      </c>
      <c r="B14535" t="s">
        <v>34</v>
      </c>
      <c r="C14535" t="str">
        <f t="shared" si="457"/>
        <v>Cumple</v>
      </c>
      <c r="D14535">
        <v>4027</v>
      </c>
      <c r="E14535" t="s">
        <v>11</v>
      </c>
      <c r="F14535">
        <v>34</v>
      </c>
      <c r="G14535" s="9">
        <v>15</v>
      </c>
      <c r="H14535">
        <f t="shared" si="456"/>
        <v>19</v>
      </c>
    </row>
    <row r="14536" spans="1:8" x14ac:dyDescent="0.2">
      <c r="A14536" t="s">
        <v>7</v>
      </c>
      <c r="B14536" t="s">
        <v>34</v>
      </c>
      <c r="C14536" t="str">
        <f t="shared" si="457"/>
        <v>Cumple</v>
      </c>
      <c r="D14536">
        <v>9099</v>
      </c>
      <c r="E14536" t="s">
        <v>10</v>
      </c>
      <c r="F14536">
        <v>34</v>
      </c>
      <c r="G14536">
        <v>20</v>
      </c>
      <c r="H14536">
        <f t="shared" si="456"/>
        <v>14</v>
      </c>
    </row>
    <row r="14537" spans="1:8" x14ac:dyDescent="0.2">
      <c r="A14537" t="s">
        <v>7</v>
      </c>
      <c r="B14537" t="s">
        <v>34</v>
      </c>
      <c r="C14537" t="str">
        <f t="shared" si="457"/>
        <v>Cumple</v>
      </c>
      <c r="D14537">
        <v>2961</v>
      </c>
      <c r="E14537" t="s">
        <v>12</v>
      </c>
      <c r="F14537">
        <v>33</v>
      </c>
      <c r="G14537">
        <v>20</v>
      </c>
      <c r="H14537">
        <f t="shared" si="456"/>
        <v>13</v>
      </c>
    </row>
    <row r="14538" spans="1:8" x14ac:dyDescent="0.2">
      <c r="A14538" t="s">
        <v>7</v>
      </c>
      <c r="B14538" t="s">
        <v>34</v>
      </c>
      <c r="C14538" t="str">
        <f t="shared" si="457"/>
        <v>Cumple</v>
      </c>
      <c r="D14538">
        <v>1771</v>
      </c>
      <c r="E14538" t="s">
        <v>11</v>
      </c>
      <c r="F14538">
        <v>33</v>
      </c>
      <c r="G14538">
        <v>20</v>
      </c>
      <c r="H14538">
        <f t="shared" si="456"/>
        <v>13</v>
      </c>
    </row>
    <row r="14539" spans="1:8" x14ac:dyDescent="0.2">
      <c r="A14539" t="s">
        <v>7</v>
      </c>
      <c r="B14539" t="s">
        <v>34</v>
      </c>
      <c r="C14539" t="str">
        <f t="shared" si="457"/>
        <v>Cumple</v>
      </c>
      <c r="D14539">
        <v>1576</v>
      </c>
      <c r="E14539" t="s">
        <v>11</v>
      </c>
      <c r="F14539">
        <v>32</v>
      </c>
      <c r="G14539">
        <v>20</v>
      </c>
      <c r="H14539">
        <f t="shared" si="456"/>
        <v>12</v>
      </c>
    </row>
    <row r="14540" spans="1:8" x14ac:dyDescent="0.2">
      <c r="A14540" t="s">
        <v>7</v>
      </c>
      <c r="B14540" t="s">
        <v>34</v>
      </c>
      <c r="C14540" t="str">
        <f t="shared" si="457"/>
        <v>Cumple</v>
      </c>
      <c r="D14540">
        <v>1894</v>
      </c>
      <c r="E14540" t="s">
        <v>11</v>
      </c>
      <c r="F14540">
        <v>32</v>
      </c>
      <c r="G14540">
        <v>20</v>
      </c>
      <c r="H14540">
        <f t="shared" si="456"/>
        <v>12</v>
      </c>
    </row>
    <row r="14541" spans="1:8" x14ac:dyDescent="0.2">
      <c r="A14541" t="s">
        <v>7</v>
      </c>
      <c r="B14541" t="s">
        <v>34</v>
      </c>
      <c r="C14541" t="str">
        <f t="shared" si="457"/>
        <v>Cumple</v>
      </c>
      <c r="D14541">
        <v>2777</v>
      </c>
      <c r="E14541" t="s">
        <v>11</v>
      </c>
      <c r="F14541">
        <v>32</v>
      </c>
      <c r="G14541">
        <v>20</v>
      </c>
      <c r="H14541">
        <f t="shared" si="456"/>
        <v>12</v>
      </c>
    </row>
    <row r="14542" spans="1:8" x14ac:dyDescent="0.2">
      <c r="A14542" t="s">
        <v>7</v>
      </c>
      <c r="B14542" t="s">
        <v>34</v>
      </c>
      <c r="C14542" t="str">
        <f t="shared" si="457"/>
        <v>Cumple</v>
      </c>
      <c r="D14542">
        <v>3061</v>
      </c>
      <c r="E14542" t="s">
        <v>10</v>
      </c>
      <c r="F14542">
        <v>32</v>
      </c>
      <c r="G14542">
        <v>20</v>
      </c>
      <c r="H14542">
        <f t="shared" si="456"/>
        <v>12</v>
      </c>
    </row>
    <row r="14543" spans="1:8" x14ac:dyDescent="0.2">
      <c r="A14543" t="s">
        <v>7</v>
      </c>
      <c r="B14543" t="s">
        <v>34</v>
      </c>
      <c r="C14543" t="str">
        <f t="shared" si="457"/>
        <v>Cumple</v>
      </c>
      <c r="D14543">
        <v>3070</v>
      </c>
      <c r="E14543" t="s">
        <v>10</v>
      </c>
      <c r="F14543">
        <v>32</v>
      </c>
      <c r="G14543">
        <v>20</v>
      </c>
      <c r="H14543">
        <f t="shared" si="456"/>
        <v>12</v>
      </c>
    </row>
    <row r="14544" spans="1:8" x14ac:dyDescent="0.2">
      <c r="A14544" t="s">
        <v>7</v>
      </c>
      <c r="B14544" t="s">
        <v>34</v>
      </c>
      <c r="C14544" t="str">
        <f t="shared" si="457"/>
        <v>Cumple</v>
      </c>
      <c r="D14544">
        <v>1534</v>
      </c>
      <c r="E14544" t="s">
        <v>10</v>
      </c>
      <c r="F14544">
        <v>31</v>
      </c>
      <c r="G14544">
        <v>20</v>
      </c>
      <c r="H14544">
        <f t="shared" si="456"/>
        <v>11</v>
      </c>
    </row>
    <row r="14545" spans="1:8" x14ac:dyDescent="0.2">
      <c r="A14545" t="s">
        <v>7</v>
      </c>
      <c r="B14545" t="s">
        <v>34</v>
      </c>
      <c r="C14545" t="str">
        <f t="shared" si="457"/>
        <v>Cumple</v>
      </c>
      <c r="D14545">
        <v>1875</v>
      </c>
      <c r="E14545" t="s">
        <v>10</v>
      </c>
      <c r="F14545">
        <v>31</v>
      </c>
      <c r="G14545">
        <v>20</v>
      </c>
      <c r="H14545">
        <f t="shared" si="456"/>
        <v>11</v>
      </c>
    </row>
    <row r="14546" spans="1:8" x14ac:dyDescent="0.2">
      <c r="A14546" t="s">
        <v>7</v>
      </c>
      <c r="B14546" t="s">
        <v>34</v>
      </c>
      <c r="C14546" t="str">
        <f t="shared" si="457"/>
        <v>Cumple</v>
      </c>
      <c r="D14546">
        <v>1893</v>
      </c>
      <c r="E14546" t="s">
        <v>12</v>
      </c>
      <c r="F14546">
        <v>31</v>
      </c>
      <c r="G14546">
        <v>20</v>
      </c>
      <c r="H14546">
        <f t="shared" si="456"/>
        <v>11</v>
      </c>
    </row>
    <row r="14547" spans="1:8" x14ac:dyDescent="0.2">
      <c r="A14547" t="s">
        <v>7</v>
      </c>
      <c r="B14547" t="s">
        <v>34</v>
      </c>
      <c r="C14547" t="str">
        <f t="shared" si="457"/>
        <v>Cumple</v>
      </c>
      <c r="D14547">
        <v>3289</v>
      </c>
      <c r="E14547" t="s">
        <v>11</v>
      </c>
      <c r="F14547">
        <v>31</v>
      </c>
      <c r="G14547">
        <v>20</v>
      </c>
      <c r="H14547">
        <f t="shared" si="456"/>
        <v>11</v>
      </c>
    </row>
    <row r="14548" spans="1:8" x14ac:dyDescent="0.2">
      <c r="A14548" t="s">
        <v>7</v>
      </c>
      <c r="B14548" t="s">
        <v>34</v>
      </c>
      <c r="C14548" t="str">
        <f t="shared" si="457"/>
        <v>Cumple</v>
      </c>
      <c r="D14548">
        <v>3378</v>
      </c>
      <c r="E14548" t="s">
        <v>10</v>
      </c>
      <c r="F14548">
        <v>31</v>
      </c>
      <c r="G14548">
        <v>20</v>
      </c>
      <c r="H14548">
        <f t="shared" si="456"/>
        <v>11</v>
      </c>
    </row>
    <row r="14549" spans="1:8" x14ac:dyDescent="0.2">
      <c r="A14549" t="s">
        <v>7</v>
      </c>
      <c r="B14549" t="s">
        <v>34</v>
      </c>
      <c r="C14549" t="str">
        <f t="shared" si="457"/>
        <v>Cumple</v>
      </c>
      <c r="D14549">
        <v>3432</v>
      </c>
      <c r="E14549" t="s">
        <v>11</v>
      </c>
      <c r="F14549">
        <v>31</v>
      </c>
      <c r="G14549">
        <v>20</v>
      </c>
      <c r="H14549">
        <f t="shared" si="456"/>
        <v>11</v>
      </c>
    </row>
    <row r="14550" spans="1:8" x14ac:dyDescent="0.2">
      <c r="A14550" t="s">
        <v>7</v>
      </c>
      <c r="B14550" t="s">
        <v>34</v>
      </c>
      <c r="C14550" t="str">
        <f t="shared" si="457"/>
        <v>Cumple</v>
      </c>
      <c r="D14550">
        <v>3685</v>
      </c>
      <c r="E14550" t="s">
        <v>11</v>
      </c>
      <c r="F14550">
        <v>31</v>
      </c>
      <c r="G14550">
        <v>20</v>
      </c>
      <c r="H14550">
        <f t="shared" si="456"/>
        <v>11</v>
      </c>
    </row>
    <row r="14551" spans="1:8" x14ac:dyDescent="0.2">
      <c r="A14551" t="s">
        <v>7</v>
      </c>
      <c r="B14551" t="s">
        <v>34</v>
      </c>
      <c r="C14551" t="str">
        <f t="shared" si="457"/>
        <v>Cumple</v>
      </c>
      <c r="D14551">
        <v>3730</v>
      </c>
      <c r="E14551" t="s">
        <v>12</v>
      </c>
      <c r="F14551">
        <v>31</v>
      </c>
      <c r="G14551">
        <v>20</v>
      </c>
      <c r="H14551">
        <f t="shared" si="456"/>
        <v>11</v>
      </c>
    </row>
    <row r="14552" spans="1:8" x14ac:dyDescent="0.2">
      <c r="A14552" t="s">
        <v>7</v>
      </c>
      <c r="B14552" t="s">
        <v>34</v>
      </c>
      <c r="C14552" t="str">
        <f t="shared" si="457"/>
        <v>Cumple</v>
      </c>
      <c r="D14552">
        <v>9476</v>
      </c>
      <c r="E14552" t="s">
        <v>11</v>
      </c>
      <c r="F14552">
        <v>31</v>
      </c>
      <c r="G14552">
        <v>20</v>
      </c>
      <c r="H14552">
        <f t="shared" si="456"/>
        <v>11</v>
      </c>
    </row>
    <row r="14553" spans="1:8" x14ac:dyDescent="0.2">
      <c r="A14553" t="s">
        <v>7</v>
      </c>
      <c r="B14553" t="s">
        <v>34</v>
      </c>
      <c r="C14553" t="str">
        <f t="shared" si="457"/>
        <v>Cumple</v>
      </c>
      <c r="D14553">
        <v>9769</v>
      </c>
      <c r="E14553" t="s">
        <v>10</v>
      </c>
      <c r="F14553">
        <v>31</v>
      </c>
      <c r="G14553">
        <v>20</v>
      </c>
      <c r="H14553">
        <f t="shared" si="456"/>
        <v>11</v>
      </c>
    </row>
    <row r="14554" spans="1:8" x14ac:dyDescent="0.2">
      <c r="A14554" t="s">
        <v>7</v>
      </c>
      <c r="B14554" t="s">
        <v>34</v>
      </c>
      <c r="C14554" t="str">
        <f t="shared" si="457"/>
        <v>Cumple</v>
      </c>
      <c r="D14554">
        <v>709</v>
      </c>
      <c r="E14554" t="s">
        <v>12</v>
      </c>
      <c r="F14554">
        <v>30</v>
      </c>
      <c r="G14554">
        <v>20</v>
      </c>
      <c r="H14554">
        <f t="shared" si="456"/>
        <v>10</v>
      </c>
    </row>
    <row r="14555" spans="1:8" x14ac:dyDescent="0.2">
      <c r="A14555" t="s">
        <v>7</v>
      </c>
      <c r="B14555" t="s">
        <v>34</v>
      </c>
      <c r="C14555" t="str">
        <f t="shared" si="457"/>
        <v>Cumple</v>
      </c>
      <c r="D14555">
        <v>3123</v>
      </c>
      <c r="E14555" t="s">
        <v>11</v>
      </c>
      <c r="F14555">
        <v>30</v>
      </c>
      <c r="G14555">
        <v>20</v>
      </c>
      <c r="H14555">
        <f t="shared" si="456"/>
        <v>10</v>
      </c>
    </row>
    <row r="14556" spans="1:8" x14ac:dyDescent="0.2">
      <c r="A14556" t="s">
        <v>7</v>
      </c>
      <c r="B14556" t="s">
        <v>34</v>
      </c>
      <c r="C14556" t="str">
        <f t="shared" si="457"/>
        <v>Cumple</v>
      </c>
      <c r="D14556">
        <v>3159</v>
      </c>
      <c r="E14556" t="s">
        <v>11</v>
      </c>
      <c r="F14556">
        <v>30</v>
      </c>
      <c r="G14556">
        <v>20</v>
      </c>
      <c r="H14556">
        <f t="shared" si="456"/>
        <v>10</v>
      </c>
    </row>
    <row r="14557" spans="1:8" x14ac:dyDescent="0.2">
      <c r="A14557" t="s">
        <v>7</v>
      </c>
      <c r="B14557" t="s">
        <v>34</v>
      </c>
      <c r="C14557" t="str">
        <f t="shared" si="457"/>
        <v>Cumple</v>
      </c>
      <c r="D14557">
        <v>3708</v>
      </c>
      <c r="E14557" t="s">
        <v>10</v>
      </c>
      <c r="F14557">
        <v>30</v>
      </c>
      <c r="G14557">
        <v>20</v>
      </c>
      <c r="H14557">
        <f t="shared" si="456"/>
        <v>10</v>
      </c>
    </row>
    <row r="14558" spans="1:8" x14ac:dyDescent="0.2">
      <c r="A14558" t="s">
        <v>7</v>
      </c>
      <c r="B14558" t="s">
        <v>34</v>
      </c>
      <c r="C14558" t="str">
        <f t="shared" si="457"/>
        <v>Cumple</v>
      </c>
      <c r="D14558">
        <v>3924</v>
      </c>
      <c r="E14558" t="s">
        <v>11</v>
      </c>
      <c r="F14558">
        <v>30</v>
      </c>
      <c r="G14558">
        <v>20</v>
      </c>
      <c r="H14558">
        <f t="shared" si="456"/>
        <v>10</v>
      </c>
    </row>
    <row r="14559" spans="1:8" x14ac:dyDescent="0.2">
      <c r="A14559" t="s">
        <v>7</v>
      </c>
      <c r="B14559" t="s">
        <v>34</v>
      </c>
      <c r="C14559" t="str">
        <f t="shared" si="457"/>
        <v>Cumple</v>
      </c>
      <c r="D14559">
        <v>2609</v>
      </c>
      <c r="E14559" t="s">
        <v>10</v>
      </c>
      <c r="F14559">
        <v>29</v>
      </c>
      <c r="G14559">
        <v>20</v>
      </c>
      <c r="H14559">
        <f t="shared" si="456"/>
        <v>9</v>
      </c>
    </row>
    <row r="14560" spans="1:8" x14ac:dyDescent="0.2">
      <c r="A14560" t="s">
        <v>7</v>
      </c>
      <c r="B14560" t="s">
        <v>34</v>
      </c>
      <c r="C14560" t="str">
        <f t="shared" si="457"/>
        <v>Cumple</v>
      </c>
      <c r="D14560">
        <v>3125</v>
      </c>
      <c r="E14560" t="s">
        <v>10</v>
      </c>
      <c r="F14560">
        <v>29</v>
      </c>
      <c r="G14560">
        <v>20</v>
      </c>
      <c r="H14560">
        <f t="shared" si="456"/>
        <v>9</v>
      </c>
    </row>
    <row r="14561" spans="1:8" x14ac:dyDescent="0.2">
      <c r="A14561" t="s">
        <v>7</v>
      </c>
      <c r="B14561" t="s">
        <v>34</v>
      </c>
      <c r="C14561" t="str">
        <f t="shared" si="457"/>
        <v>Cumple</v>
      </c>
      <c r="D14561">
        <v>3471</v>
      </c>
      <c r="E14561" t="s">
        <v>10</v>
      </c>
      <c r="F14561">
        <v>29</v>
      </c>
      <c r="G14561">
        <v>20</v>
      </c>
      <c r="H14561">
        <f t="shared" si="456"/>
        <v>9</v>
      </c>
    </row>
    <row r="14562" spans="1:8" x14ac:dyDescent="0.2">
      <c r="A14562" t="s">
        <v>7</v>
      </c>
      <c r="B14562" t="s">
        <v>34</v>
      </c>
      <c r="C14562" t="str">
        <f t="shared" si="457"/>
        <v>Cumple</v>
      </c>
      <c r="D14562">
        <v>3504</v>
      </c>
      <c r="E14562" t="s">
        <v>11</v>
      </c>
      <c r="F14562">
        <v>29</v>
      </c>
      <c r="G14562">
        <v>20</v>
      </c>
      <c r="H14562">
        <f t="shared" si="456"/>
        <v>9</v>
      </c>
    </row>
    <row r="14563" spans="1:8" x14ac:dyDescent="0.2">
      <c r="A14563" t="s">
        <v>7</v>
      </c>
      <c r="B14563" t="s">
        <v>34</v>
      </c>
      <c r="C14563" t="str">
        <f t="shared" si="457"/>
        <v>Cumple</v>
      </c>
      <c r="D14563">
        <v>3591</v>
      </c>
      <c r="E14563" t="s">
        <v>12</v>
      </c>
      <c r="F14563">
        <v>29</v>
      </c>
      <c r="G14563">
        <v>20</v>
      </c>
      <c r="H14563">
        <f t="shared" si="456"/>
        <v>9</v>
      </c>
    </row>
    <row r="14564" spans="1:8" x14ac:dyDescent="0.2">
      <c r="A14564" t="s">
        <v>7</v>
      </c>
      <c r="B14564" t="s">
        <v>34</v>
      </c>
      <c r="C14564" t="str">
        <f t="shared" si="457"/>
        <v>Cumple</v>
      </c>
      <c r="D14564">
        <v>3621</v>
      </c>
      <c r="E14564" t="s">
        <v>11</v>
      </c>
      <c r="F14564">
        <v>29</v>
      </c>
      <c r="G14564">
        <v>20</v>
      </c>
      <c r="H14564">
        <f t="shared" si="456"/>
        <v>9</v>
      </c>
    </row>
    <row r="14565" spans="1:8" x14ac:dyDescent="0.2">
      <c r="A14565" t="s">
        <v>7</v>
      </c>
      <c r="B14565" t="s">
        <v>34</v>
      </c>
      <c r="C14565" t="str">
        <f t="shared" si="457"/>
        <v>Cumple</v>
      </c>
      <c r="D14565">
        <v>3829</v>
      </c>
      <c r="E14565" t="s">
        <v>11</v>
      </c>
      <c r="F14565">
        <v>29</v>
      </c>
      <c r="G14565">
        <v>20</v>
      </c>
      <c r="H14565">
        <f t="shared" si="456"/>
        <v>9</v>
      </c>
    </row>
    <row r="14566" spans="1:8" x14ac:dyDescent="0.2">
      <c r="A14566" t="s">
        <v>7</v>
      </c>
      <c r="B14566" t="s">
        <v>34</v>
      </c>
      <c r="C14566" t="str">
        <f t="shared" si="457"/>
        <v>Cumple</v>
      </c>
      <c r="D14566">
        <v>9376</v>
      </c>
      <c r="E14566" t="s">
        <v>11</v>
      </c>
      <c r="F14566">
        <v>29</v>
      </c>
      <c r="G14566">
        <v>20</v>
      </c>
      <c r="H14566">
        <f t="shared" si="456"/>
        <v>9</v>
      </c>
    </row>
    <row r="14567" spans="1:8" x14ac:dyDescent="0.2">
      <c r="A14567" t="s">
        <v>7</v>
      </c>
      <c r="B14567" t="s">
        <v>34</v>
      </c>
      <c r="C14567" t="str">
        <f t="shared" si="457"/>
        <v>Cumple</v>
      </c>
      <c r="D14567">
        <v>629</v>
      </c>
      <c r="E14567" t="s">
        <v>10</v>
      </c>
      <c r="F14567">
        <v>28</v>
      </c>
      <c r="G14567">
        <v>20</v>
      </c>
      <c r="H14567">
        <f t="shared" si="456"/>
        <v>8</v>
      </c>
    </row>
    <row r="14568" spans="1:8" x14ac:dyDescent="0.2">
      <c r="A14568" t="s">
        <v>7</v>
      </c>
      <c r="B14568" t="s">
        <v>34</v>
      </c>
      <c r="C14568" t="str">
        <f t="shared" si="457"/>
        <v>Cumple</v>
      </c>
      <c r="D14568">
        <v>1843</v>
      </c>
      <c r="E14568" t="s">
        <v>11</v>
      </c>
      <c r="F14568">
        <v>28</v>
      </c>
      <c r="G14568">
        <v>20</v>
      </c>
      <c r="H14568">
        <f t="shared" si="456"/>
        <v>8</v>
      </c>
    </row>
    <row r="14569" spans="1:8" x14ac:dyDescent="0.2">
      <c r="A14569" t="s">
        <v>7</v>
      </c>
      <c r="B14569" t="s">
        <v>34</v>
      </c>
      <c r="C14569" t="str">
        <f t="shared" si="457"/>
        <v>Cumple</v>
      </c>
      <c r="D14569">
        <v>2440</v>
      </c>
      <c r="E14569" t="s">
        <v>11</v>
      </c>
      <c r="F14569">
        <v>28</v>
      </c>
      <c r="G14569">
        <v>20</v>
      </c>
      <c r="H14569">
        <f t="shared" si="456"/>
        <v>8</v>
      </c>
    </row>
    <row r="14570" spans="1:8" x14ac:dyDescent="0.2">
      <c r="A14570" t="s">
        <v>7</v>
      </c>
      <c r="B14570" t="s">
        <v>34</v>
      </c>
      <c r="C14570" t="str">
        <f t="shared" si="457"/>
        <v>Cumple</v>
      </c>
      <c r="D14570">
        <v>3014</v>
      </c>
      <c r="E14570" t="s">
        <v>10</v>
      </c>
      <c r="F14570">
        <v>28</v>
      </c>
      <c r="G14570">
        <v>20</v>
      </c>
      <c r="H14570">
        <f t="shared" si="456"/>
        <v>8</v>
      </c>
    </row>
    <row r="14571" spans="1:8" x14ac:dyDescent="0.2">
      <c r="A14571" t="s">
        <v>7</v>
      </c>
      <c r="B14571" t="s">
        <v>34</v>
      </c>
      <c r="C14571" t="str">
        <f t="shared" si="457"/>
        <v>Cumple</v>
      </c>
      <c r="D14571">
        <v>3243</v>
      </c>
      <c r="E14571" t="s">
        <v>11</v>
      </c>
      <c r="F14571">
        <v>28</v>
      </c>
      <c r="G14571">
        <v>20</v>
      </c>
      <c r="H14571">
        <f t="shared" si="456"/>
        <v>8</v>
      </c>
    </row>
    <row r="14572" spans="1:8" x14ac:dyDescent="0.2">
      <c r="A14572" t="s">
        <v>7</v>
      </c>
      <c r="B14572" t="s">
        <v>34</v>
      </c>
      <c r="C14572" t="str">
        <f t="shared" si="457"/>
        <v>Cumple</v>
      </c>
      <c r="D14572">
        <v>3487</v>
      </c>
      <c r="E14572" t="s">
        <v>10</v>
      </c>
      <c r="F14572">
        <v>28</v>
      </c>
      <c r="G14572">
        <v>20</v>
      </c>
      <c r="H14572">
        <f t="shared" ref="H14572:H14635" si="458">F14572-G14572</f>
        <v>8</v>
      </c>
    </row>
    <row r="14573" spans="1:8" x14ac:dyDescent="0.2">
      <c r="A14573" t="s">
        <v>7</v>
      </c>
      <c r="B14573" t="s">
        <v>34</v>
      </c>
      <c r="C14573" t="str">
        <f t="shared" si="457"/>
        <v>Cumple</v>
      </c>
      <c r="D14573">
        <v>3800</v>
      </c>
      <c r="E14573" t="s">
        <v>10</v>
      </c>
      <c r="F14573">
        <v>28</v>
      </c>
      <c r="G14573">
        <v>20</v>
      </c>
      <c r="H14573">
        <f t="shared" si="458"/>
        <v>8</v>
      </c>
    </row>
    <row r="14574" spans="1:8" x14ac:dyDescent="0.2">
      <c r="A14574" t="s">
        <v>7</v>
      </c>
      <c r="B14574" t="s">
        <v>34</v>
      </c>
      <c r="C14574" t="str">
        <f t="shared" si="457"/>
        <v>Cumple</v>
      </c>
      <c r="D14574">
        <v>3830</v>
      </c>
      <c r="E14574" t="s">
        <v>11</v>
      </c>
      <c r="F14574">
        <v>28</v>
      </c>
      <c r="G14574">
        <v>20</v>
      </c>
      <c r="H14574">
        <f t="shared" si="458"/>
        <v>8</v>
      </c>
    </row>
    <row r="14575" spans="1:8" x14ac:dyDescent="0.2">
      <c r="A14575" t="s">
        <v>7</v>
      </c>
      <c r="B14575" t="s">
        <v>34</v>
      </c>
      <c r="C14575" t="str">
        <f t="shared" si="457"/>
        <v>Cumple</v>
      </c>
      <c r="D14575">
        <v>9948</v>
      </c>
      <c r="E14575" t="s">
        <v>12</v>
      </c>
      <c r="F14575">
        <v>28</v>
      </c>
      <c r="G14575">
        <v>20</v>
      </c>
      <c r="H14575">
        <f t="shared" si="458"/>
        <v>8</v>
      </c>
    </row>
    <row r="14576" spans="1:8" x14ac:dyDescent="0.2">
      <c r="A14576" t="s">
        <v>7</v>
      </c>
      <c r="B14576" t="s">
        <v>34</v>
      </c>
      <c r="C14576" t="str">
        <f t="shared" si="457"/>
        <v>Cumple</v>
      </c>
      <c r="D14576">
        <v>1532</v>
      </c>
      <c r="E14576" t="s">
        <v>11</v>
      </c>
      <c r="F14576">
        <v>27</v>
      </c>
      <c r="G14576">
        <v>20</v>
      </c>
      <c r="H14576">
        <f t="shared" si="458"/>
        <v>7</v>
      </c>
    </row>
    <row r="14577" spans="1:8" x14ac:dyDescent="0.2">
      <c r="A14577" t="s">
        <v>7</v>
      </c>
      <c r="B14577" t="s">
        <v>34</v>
      </c>
      <c r="C14577" t="str">
        <f t="shared" si="457"/>
        <v>Cumple</v>
      </c>
      <c r="D14577">
        <v>3039</v>
      </c>
      <c r="E14577" t="s">
        <v>10</v>
      </c>
      <c r="F14577">
        <v>27</v>
      </c>
      <c r="G14577">
        <v>20</v>
      </c>
      <c r="H14577">
        <f t="shared" si="458"/>
        <v>7</v>
      </c>
    </row>
    <row r="14578" spans="1:8" x14ac:dyDescent="0.2">
      <c r="A14578" t="s">
        <v>7</v>
      </c>
      <c r="B14578" t="s">
        <v>34</v>
      </c>
      <c r="C14578" t="str">
        <f t="shared" si="457"/>
        <v>Cumple</v>
      </c>
      <c r="D14578">
        <v>3153</v>
      </c>
      <c r="E14578" t="s">
        <v>10</v>
      </c>
      <c r="F14578">
        <v>27</v>
      </c>
      <c r="G14578">
        <v>20</v>
      </c>
      <c r="H14578">
        <f t="shared" si="458"/>
        <v>7</v>
      </c>
    </row>
    <row r="14579" spans="1:8" x14ac:dyDescent="0.2">
      <c r="A14579" t="s">
        <v>7</v>
      </c>
      <c r="B14579" t="s">
        <v>34</v>
      </c>
      <c r="C14579" t="str">
        <f t="shared" si="457"/>
        <v>Cumple</v>
      </c>
      <c r="D14579">
        <v>3786</v>
      </c>
      <c r="E14579" t="s">
        <v>11</v>
      </c>
      <c r="F14579">
        <v>27</v>
      </c>
      <c r="G14579">
        <v>20</v>
      </c>
      <c r="H14579">
        <f t="shared" si="458"/>
        <v>7</v>
      </c>
    </row>
    <row r="14580" spans="1:8" x14ac:dyDescent="0.2">
      <c r="A14580" t="s">
        <v>7</v>
      </c>
      <c r="B14580" t="s">
        <v>34</v>
      </c>
      <c r="C14580" t="str">
        <f t="shared" si="457"/>
        <v>Cumple</v>
      </c>
      <c r="D14580">
        <v>3905</v>
      </c>
      <c r="E14580" t="s">
        <v>11</v>
      </c>
      <c r="F14580">
        <v>27</v>
      </c>
      <c r="G14580">
        <v>20</v>
      </c>
      <c r="H14580">
        <f t="shared" si="458"/>
        <v>7</v>
      </c>
    </row>
    <row r="14581" spans="1:8" x14ac:dyDescent="0.2">
      <c r="A14581" t="s">
        <v>7</v>
      </c>
      <c r="B14581" t="s">
        <v>34</v>
      </c>
      <c r="C14581" t="str">
        <f t="shared" si="457"/>
        <v>Cumple</v>
      </c>
      <c r="D14581">
        <v>3934</v>
      </c>
      <c r="E14581" t="s">
        <v>11</v>
      </c>
      <c r="F14581">
        <v>27</v>
      </c>
      <c r="G14581">
        <v>20</v>
      </c>
      <c r="H14581">
        <f t="shared" si="458"/>
        <v>7</v>
      </c>
    </row>
    <row r="14582" spans="1:8" x14ac:dyDescent="0.2">
      <c r="A14582" t="s">
        <v>7</v>
      </c>
      <c r="B14582" t="s">
        <v>34</v>
      </c>
      <c r="C14582" t="str">
        <f t="shared" si="457"/>
        <v>Cumple</v>
      </c>
      <c r="D14582">
        <v>3937</v>
      </c>
      <c r="E14582" t="s">
        <v>11</v>
      </c>
      <c r="F14582">
        <v>27</v>
      </c>
      <c r="G14582">
        <v>20</v>
      </c>
      <c r="H14582">
        <f t="shared" si="458"/>
        <v>7</v>
      </c>
    </row>
    <row r="14583" spans="1:8" x14ac:dyDescent="0.2">
      <c r="A14583" t="s">
        <v>7</v>
      </c>
      <c r="B14583" t="s">
        <v>34</v>
      </c>
      <c r="C14583" t="str">
        <f t="shared" si="457"/>
        <v>Cumple</v>
      </c>
      <c r="D14583">
        <v>9172</v>
      </c>
      <c r="E14583" t="s">
        <v>12</v>
      </c>
      <c r="F14583">
        <v>27</v>
      </c>
      <c r="G14583">
        <v>20</v>
      </c>
      <c r="H14583">
        <f t="shared" si="458"/>
        <v>7</v>
      </c>
    </row>
    <row r="14584" spans="1:8" x14ac:dyDescent="0.2">
      <c r="A14584" t="s">
        <v>7</v>
      </c>
      <c r="B14584" t="s">
        <v>34</v>
      </c>
      <c r="C14584" t="str">
        <f t="shared" si="457"/>
        <v>Cumple</v>
      </c>
      <c r="D14584">
        <v>9630</v>
      </c>
      <c r="E14584" t="s">
        <v>10</v>
      </c>
      <c r="F14584">
        <v>27</v>
      </c>
      <c r="G14584">
        <v>20</v>
      </c>
      <c r="H14584">
        <f t="shared" si="458"/>
        <v>7</v>
      </c>
    </row>
    <row r="14585" spans="1:8" x14ac:dyDescent="0.2">
      <c r="A14585" t="s">
        <v>7</v>
      </c>
      <c r="B14585" t="s">
        <v>34</v>
      </c>
      <c r="C14585" t="str">
        <f t="shared" si="457"/>
        <v>Cumple</v>
      </c>
      <c r="D14585">
        <v>1738</v>
      </c>
      <c r="E14585" t="s">
        <v>11</v>
      </c>
      <c r="F14585">
        <v>26</v>
      </c>
      <c r="G14585">
        <v>20</v>
      </c>
      <c r="H14585">
        <f t="shared" si="458"/>
        <v>6</v>
      </c>
    </row>
    <row r="14586" spans="1:8" x14ac:dyDescent="0.2">
      <c r="A14586" t="s">
        <v>7</v>
      </c>
      <c r="B14586" t="s">
        <v>34</v>
      </c>
      <c r="C14586" t="str">
        <f t="shared" si="457"/>
        <v>Cumple</v>
      </c>
      <c r="D14586">
        <v>3016</v>
      </c>
      <c r="E14586" t="s">
        <v>11</v>
      </c>
      <c r="F14586">
        <v>26</v>
      </c>
      <c r="G14586">
        <v>20</v>
      </c>
      <c r="H14586">
        <f t="shared" si="458"/>
        <v>6</v>
      </c>
    </row>
    <row r="14587" spans="1:8" x14ac:dyDescent="0.2">
      <c r="A14587" t="s">
        <v>7</v>
      </c>
      <c r="B14587" t="s">
        <v>34</v>
      </c>
      <c r="C14587" t="str">
        <f t="shared" si="457"/>
        <v>Cumple</v>
      </c>
      <c r="D14587">
        <v>3118</v>
      </c>
      <c r="E14587" t="s">
        <v>11</v>
      </c>
      <c r="F14587">
        <v>26</v>
      </c>
      <c r="G14587">
        <v>20</v>
      </c>
      <c r="H14587">
        <f t="shared" si="458"/>
        <v>6</v>
      </c>
    </row>
    <row r="14588" spans="1:8" x14ac:dyDescent="0.2">
      <c r="A14588" t="s">
        <v>7</v>
      </c>
      <c r="B14588" t="s">
        <v>34</v>
      </c>
      <c r="C14588" t="str">
        <f t="shared" si="457"/>
        <v>Cumple</v>
      </c>
      <c r="D14588">
        <v>3238</v>
      </c>
      <c r="E14588" t="s">
        <v>11</v>
      </c>
      <c r="F14588">
        <v>26</v>
      </c>
      <c r="G14588">
        <v>20</v>
      </c>
      <c r="H14588">
        <f t="shared" si="458"/>
        <v>6</v>
      </c>
    </row>
    <row r="14589" spans="1:8" x14ac:dyDescent="0.2">
      <c r="A14589" t="s">
        <v>7</v>
      </c>
      <c r="B14589" t="s">
        <v>34</v>
      </c>
      <c r="C14589" t="str">
        <f t="shared" si="457"/>
        <v>Cumple</v>
      </c>
      <c r="D14589">
        <v>3404</v>
      </c>
      <c r="E14589" t="s">
        <v>10</v>
      </c>
      <c r="F14589">
        <v>26</v>
      </c>
      <c r="G14589">
        <v>20</v>
      </c>
      <c r="H14589">
        <f t="shared" si="458"/>
        <v>6</v>
      </c>
    </row>
    <row r="14590" spans="1:8" x14ac:dyDescent="0.2">
      <c r="A14590" t="s">
        <v>7</v>
      </c>
      <c r="B14590" t="s">
        <v>34</v>
      </c>
      <c r="C14590" t="str">
        <f t="shared" si="457"/>
        <v>Cumple</v>
      </c>
      <c r="D14590">
        <v>3568</v>
      </c>
      <c r="E14590" t="s">
        <v>12</v>
      </c>
      <c r="F14590">
        <v>26</v>
      </c>
      <c r="G14590">
        <v>20</v>
      </c>
      <c r="H14590">
        <f t="shared" si="458"/>
        <v>6</v>
      </c>
    </row>
    <row r="14591" spans="1:8" x14ac:dyDescent="0.2">
      <c r="A14591" t="s">
        <v>7</v>
      </c>
      <c r="B14591" t="s">
        <v>34</v>
      </c>
      <c r="C14591" t="str">
        <f t="shared" si="457"/>
        <v>Cumple</v>
      </c>
      <c r="D14591">
        <v>3948</v>
      </c>
      <c r="E14591" t="s">
        <v>11</v>
      </c>
      <c r="F14591">
        <v>26</v>
      </c>
      <c r="G14591">
        <v>20</v>
      </c>
      <c r="H14591">
        <f t="shared" si="458"/>
        <v>6</v>
      </c>
    </row>
    <row r="14592" spans="1:8" x14ac:dyDescent="0.2">
      <c r="A14592" t="s">
        <v>7</v>
      </c>
      <c r="B14592" t="s">
        <v>34</v>
      </c>
      <c r="C14592" t="str">
        <f t="shared" si="457"/>
        <v>Cumple</v>
      </c>
      <c r="D14592">
        <v>3725</v>
      </c>
      <c r="E14592" t="s">
        <v>11</v>
      </c>
      <c r="F14592">
        <v>26</v>
      </c>
      <c r="G14592">
        <v>20</v>
      </c>
      <c r="H14592">
        <f t="shared" si="458"/>
        <v>6</v>
      </c>
    </row>
    <row r="14593" spans="1:8" x14ac:dyDescent="0.2">
      <c r="A14593" t="s">
        <v>7</v>
      </c>
      <c r="B14593" t="s">
        <v>34</v>
      </c>
      <c r="C14593" t="str">
        <f t="shared" si="457"/>
        <v>Cumple</v>
      </c>
      <c r="D14593">
        <v>4049</v>
      </c>
      <c r="E14593" t="s">
        <v>11</v>
      </c>
      <c r="F14593">
        <v>26</v>
      </c>
      <c r="G14593">
        <v>20</v>
      </c>
      <c r="H14593">
        <f t="shared" si="458"/>
        <v>6</v>
      </c>
    </row>
    <row r="14594" spans="1:8" x14ac:dyDescent="0.2">
      <c r="A14594" t="s">
        <v>7</v>
      </c>
      <c r="B14594" t="s">
        <v>34</v>
      </c>
      <c r="C14594" t="str">
        <f t="shared" si="457"/>
        <v>Cumple</v>
      </c>
      <c r="D14594">
        <v>127</v>
      </c>
      <c r="E14594" t="s">
        <v>11</v>
      </c>
      <c r="F14594">
        <v>25</v>
      </c>
      <c r="G14594">
        <v>20</v>
      </c>
      <c r="H14594">
        <f t="shared" si="458"/>
        <v>5</v>
      </c>
    </row>
    <row r="14595" spans="1:8" x14ac:dyDescent="0.2">
      <c r="A14595" t="s">
        <v>7</v>
      </c>
      <c r="B14595" t="s">
        <v>34</v>
      </c>
      <c r="C14595" t="str">
        <f t="shared" si="457"/>
        <v>Cumple</v>
      </c>
      <c r="D14595">
        <v>3041</v>
      </c>
      <c r="E14595" t="s">
        <v>11</v>
      </c>
      <c r="F14595">
        <v>25</v>
      </c>
      <c r="G14595">
        <v>20</v>
      </c>
      <c r="H14595">
        <f t="shared" si="458"/>
        <v>5</v>
      </c>
    </row>
    <row r="14596" spans="1:8" x14ac:dyDescent="0.2">
      <c r="A14596" t="s">
        <v>7</v>
      </c>
      <c r="B14596" t="s">
        <v>34</v>
      </c>
      <c r="C14596" t="str">
        <f t="shared" si="457"/>
        <v>Cumple</v>
      </c>
      <c r="D14596">
        <v>3521</v>
      </c>
      <c r="E14596" t="s">
        <v>10</v>
      </c>
      <c r="F14596">
        <v>25</v>
      </c>
      <c r="G14596">
        <v>20</v>
      </c>
      <c r="H14596">
        <f t="shared" si="458"/>
        <v>5</v>
      </c>
    </row>
    <row r="14597" spans="1:8" x14ac:dyDescent="0.2">
      <c r="A14597" t="s">
        <v>7</v>
      </c>
      <c r="B14597" t="s">
        <v>34</v>
      </c>
      <c r="C14597" t="str">
        <f t="shared" ref="C14597:C14660" si="459">IF(H14597&gt;=0,"Cumple","No cumple")</f>
        <v>Cumple</v>
      </c>
      <c r="D14597">
        <v>2118</v>
      </c>
      <c r="E14597" t="s">
        <v>10</v>
      </c>
      <c r="F14597">
        <v>24</v>
      </c>
      <c r="G14597">
        <v>20</v>
      </c>
      <c r="H14597">
        <f t="shared" si="458"/>
        <v>4</v>
      </c>
    </row>
    <row r="14598" spans="1:8" x14ac:dyDescent="0.2">
      <c r="A14598" t="s">
        <v>7</v>
      </c>
      <c r="B14598" t="s">
        <v>34</v>
      </c>
      <c r="C14598" t="str">
        <f t="shared" si="459"/>
        <v>Cumple</v>
      </c>
      <c r="D14598">
        <v>2674</v>
      </c>
      <c r="E14598" t="s">
        <v>10</v>
      </c>
      <c r="F14598">
        <v>24</v>
      </c>
      <c r="G14598">
        <v>20</v>
      </c>
      <c r="H14598">
        <f t="shared" si="458"/>
        <v>4</v>
      </c>
    </row>
    <row r="14599" spans="1:8" x14ac:dyDescent="0.2">
      <c r="A14599" t="s">
        <v>7</v>
      </c>
      <c r="B14599" t="s">
        <v>34</v>
      </c>
      <c r="C14599" t="str">
        <f t="shared" si="459"/>
        <v>Cumple</v>
      </c>
      <c r="D14599">
        <v>3038</v>
      </c>
      <c r="E14599" t="s">
        <v>11</v>
      </c>
      <c r="F14599">
        <v>24</v>
      </c>
      <c r="G14599">
        <v>20</v>
      </c>
      <c r="H14599">
        <f t="shared" si="458"/>
        <v>4</v>
      </c>
    </row>
    <row r="14600" spans="1:8" x14ac:dyDescent="0.2">
      <c r="A14600" t="s">
        <v>7</v>
      </c>
      <c r="B14600" t="s">
        <v>34</v>
      </c>
      <c r="C14600" t="str">
        <f t="shared" si="459"/>
        <v>Cumple</v>
      </c>
      <c r="D14600">
        <v>3114</v>
      </c>
      <c r="E14600" t="s">
        <v>12</v>
      </c>
      <c r="F14600">
        <v>24</v>
      </c>
      <c r="G14600">
        <v>20</v>
      </c>
      <c r="H14600">
        <f t="shared" si="458"/>
        <v>4</v>
      </c>
    </row>
    <row r="14601" spans="1:8" x14ac:dyDescent="0.2">
      <c r="A14601" t="s">
        <v>7</v>
      </c>
      <c r="B14601" t="s">
        <v>34</v>
      </c>
      <c r="C14601" t="str">
        <f t="shared" si="459"/>
        <v>Cumple</v>
      </c>
      <c r="D14601">
        <v>3379</v>
      </c>
      <c r="E14601" t="s">
        <v>10</v>
      </c>
      <c r="F14601">
        <v>24</v>
      </c>
      <c r="G14601">
        <v>20</v>
      </c>
      <c r="H14601">
        <f t="shared" si="458"/>
        <v>4</v>
      </c>
    </row>
    <row r="14602" spans="1:8" x14ac:dyDescent="0.2">
      <c r="A14602" t="s">
        <v>7</v>
      </c>
      <c r="B14602" t="s">
        <v>34</v>
      </c>
      <c r="C14602" t="str">
        <f t="shared" si="459"/>
        <v>Cumple</v>
      </c>
      <c r="D14602">
        <v>3518</v>
      </c>
      <c r="E14602" t="s">
        <v>12</v>
      </c>
      <c r="F14602">
        <v>24</v>
      </c>
      <c r="G14602">
        <v>20</v>
      </c>
      <c r="H14602">
        <f t="shared" si="458"/>
        <v>4</v>
      </c>
    </row>
    <row r="14603" spans="1:8" x14ac:dyDescent="0.2">
      <c r="A14603" t="s">
        <v>7</v>
      </c>
      <c r="B14603" t="s">
        <v>34</v>
      </c>
      <c r="C14603" t="str">
        <f t="shared" si="459"/>
        <v>Cumple</v>
      </c>
      <c r="D14603">
        <v>3724</v>
      </c>
      <c r="E14603" t="s">
        <v>11</v>
      </c>
      <c r="F14603">
        <v>24</v>
      </c>
      <c r="G14603">
        <v>20</v>
      </c>
      <c r="H14603">
        <f t="shared" si="458"/>
        <v>4</v>
      </c>
    </row>
    <row r="14604" spans="1:8" x14ac:dyDescent="0.2">
      <c r="A14604" t="s">
        <v>7</v>
      </c>
      <c r="B14604" t="s">
        <v>34</v>
      </c>
      <c r="C14604" t="str">
        <f t="shared" si="459"/>
        <v>Cumple</v>
      </c>
      <c r="D14604">
        <v>3936</v>
      </c>
      <c r="E14604" t="s">
        <v>11</v>
      </c>
      <c r="F14604">
        <v>24</v>
      </c>
      <c r="G14604">
        <v>20</v>
      </c>
      <c r="H14604">
        <f t="shared" si="458"/>
        <v>4</v>
      </c>
    </row>
    <row r="14605" spans="1:8" x14ac:dyDescent="0.2">
      <c r="A14605" t="s">
        <v>7</v>
      </c>
      <c r="B14605" t="s">
        <v>34</v>
      </c>
      <c r="C14605" t="str">
        <f t="shared" si="459"/>
        <v>Cumple</v>
      </c>
      <c r="D14605">
        <v>9084</v>
      </c>
      <c r="E14605" t="s">
        <v>12</v>
      </c>
      <c r="F14605">
        <v>24</v>
      </c>
      <c r="G14605">
        <v>20</v>
      </c>
      <c r="H14605">
        <f t="shared" si="458"/>
        <v>4</v>
      </c>
    </row>
    <row r="14606" spans="1:8" x14ac:dyDescent="0.2">
      <c r="A14606" t="s">
        <v>7</v>
      </c>
      <c r="B14606" t="s">
        <v>34</v>
      </c>
      <c r="C14606" t="str">
        <f t="shared" si="459"/>
        <v>Cumple</v>
      </c>
      <c r="D14606">
        <v>2890</v>
      </c>
      <c r="E14606" t="s">
        <v>11</v>
      </c>
      <c r="F14606">
        <v>23</v>
      </c>
      <c r="G14606">
        <v>20</v>
      </c>
      <c r="H14606">
        <f t="shared" si="458"/>
        <v>3</v>
      </c>
    </row>
    <row r="14607" spans="1:8" x14ac:dyDescent="0.2">
      <c r="A14607" t="s">
        <v>7</v>
      </c>
      <c r="B14607" t="s">
        <v>34</v>
      </c>
      <c r="C14607" t="str">
        <f t="shared" si="459"/>
        <v>Cumple</v>
      </c>
      <c r="D14607">
        <v>3194</v>
      </c>
      <c r="E14607" t="s">
        <v>11</v>
      </c>
      <c r="F14607">
        <v>23</v>
      </c>
      <c r="G14607">
        <v>20</v>
      </c>
      <c r="H14607">
        <f t="shared" si="458"/>
        <v>3</v>
      </c>
    </row>
    <row r="14608" spans="1:8" x14ac:dyDescent="0.2">
      <c r="A14608" t="s">
        <v>7</v>
      </c>
      <c r="B14608" t="s">
        <v>34</v>
      </c>
      <c r="C14608" t="str">
        <f t="shared" si="459"/>
        <v>Cumple</v>
      </c>
      <c r="D14608">
        <v>3567</v>
      </c>
      <c r="E14608" t="s">
        <v>12</v>
      </c>
      <c r="F14608">
        <v>23</v>
      </c>
      <c r="G14608">
        <v>20</v>
      </c>
      <c r="H14608">
        <f t="shared" si="458"/>
        <v>3</v>
      </c>
    </row>
    <row r="14609" spans="1:8" x14ac:dyDescent="0.2">
      <c r="A14609" t="s">
        <v>7</v>
      </c>
      <c r="B14609" t="s">
        <v>34</v>
      </c>
      <c r="C14609" t="str">
        <f t="shared" si="459"/>
        <v>Cumple</v>
      </c>
      <c r="D14609">
        <v>3674</v>
      </c>
      <c r="E14609" t="s">
        <v>12</v>
      </c>
      <c r="F14609">
        <v>23</v>
      </c>
      <c r="G14609">
        <v>20</v>
      </c>
      <c r="H14609">
        <f t="shared" si="458"/>
        <v>3</v>
      </c>
    </row>
    <row r="14610" spans="1:8" x14ac:dyDescent="0.2">
      <c r="A14610" t="s">
        <v>7</v>
      </c>
      <c r="B14610" t="s">
        <v>34</v>
      </c>
      <c r="C14610" t="str">
        <f t="shared" si="459"/>
        <v>Cumple</v>
      </c>
      <c r="D14610">
        <v>9377</v>
      </c>
      <c r="E14610" t="s">
        <v>11</v>
      </c>
      <c r="F14610">
        <v>23</v>
      </c>
      <c r="G14610">
        <v>20</v>
      </c>
      <c r="H14610">
        <f t="shared" si="458"/>
        <v>3</v>
      </c>
    </row>
    <row r="14611" spans="1:8" x14ac:dyDescent="0.2">
      <c r="A14611" t="s">
        <v>7</v>
      </c>
      <c r="B14611" t="s">
        <v>34</v>
      </c>
      <c r="C14611" t="str">
        <f t="shared" si="459"/>
        <v>Cumple</v>
      </c>
      <c r="D14611">
        <v>3132</v>
      </c>
      <c r="E14611" t="s">
        <v>11</v>
      </c>
      <c r="F14611">
        <v>22</v>
      </c>
      <c r="G14611">
        <v>20</v>
      </c>
      <c r="H14611">
        <f t="shared" si="458"/>
        <v>2</v>
      </c>
    </row>
    <row r="14612" spans="1:8" x14ac:dyDescent="0.2">
      <c r="A14612" t="s">
        <v>7</v>
      </c>
      <c r="B14612" t="s">
        <v>34</v>
      </c>
      <c r="C14612" t="str">
        <f t="shared" si="459"/>
        <v>Cumple</v>
      </c>
      <c r="D14612">
        <v>3309</v>
      </c>
      <c r="E14612" t="s">
        <v>11</v>
      </c>
      <c r="F14612">
        <v>22</v>
      </c>
      <c r="G14612">
        <v>20</v>
      </c>
      <c r="H14612">
        <f t="shared" si="458"/>
        <v>2</v>
      </c>
    </row>
    <row r="14613" spans="1:8" x14ac:dyDescent="0.2">
      <c r="A14613" t="s">
        <v>7</v>
      </c>
      <c r="B14613" t="s">
        <v>34</v>
      </c>
      <c r="C14613" t="str">
        <f t="shared" si="459"/>
        <v>Cumple</v>
      </c>
      <c r="D14613">
        <v>3414</v>
      </c>
      <c r="E14613" t="s">
        <v>11</v>
      </c>
      <c r="F14613">
        <v>22</v>
      </c>
      <c r="G14613">
        <v>20</v>
      </c>
      <c r="H14613">
        <f t="shared" si="458"/>
        <v>2</v>
      </c>
    </row>
    <row r="14614" spans="1:8" x14ac:dyDescent="0.2">
      <c r="A14614" t="s">
        <v>7</v>
      </c>
      <c r="B14614" t="s">
        <v>34</v>
      </c>
      <c r="C14614" t="str">
        <f t="shared" si="459"/>
        <v>Cumple</v>
      </c>
      <c r="D14614">
        <v>5162</v>
      </c>
      <c r="E14614" t="s">
        <v>12</v>
      </c>
      <c r="F14614">
        <v>22</v>
      </c>
      <c r="G14614">
        <v>20</v>
      </c>
      <c r="H14614">
        <f t="shared" si="458"/>
        <v>2</v>
      </c>
    </row>
    <row r="14615" spans="1:8" x14ac:dyDescent="0.2">
      <c r="A14615" t="s">
        <v>7</v>
      </c>
      <c r="B14615" t="s">
        <v>34</v>
      </c>
      <c r="C14615" t="str">
        <f t="shared" si="459"/>
        <v>Cumple</v>
      </c>
      <c r="D14615">
        <v>4050</v>
      </c>
      <c r="E14615" t="s">
        <v>11</v>
      </c>
      <c r="F14615">
        <v>22</v>
      </c>
      <c r="G14615">
        <v>20</v>
      </c>
      <c r="H14615">
        <f t="shared" si="458"/>
        <v>2</v>
      </c>
    </row>
    <row r="14616" spans="1:8" x14ac:dyDescent="0.2">
      <c r="A14616" t="s">
        <v>7</v>
      </c>
      <c r="B14616" t="s">
        <v>34</v>
      </c>
      <c r="C14616" t="str">
        <f t="shared" si="459"/>
        <v>Cumple</v>
      </c>
      <c r="D14616">
        <v>9216</v>
      </c>
      <c r="E14616" t="s">
        <v>11</v>
      </c>
      <c r="F14616">
        <v>22</v>
      </c>
      <c r="G14616">
        <v>20</v>
      </c>
      <c r="H14616">
        <f t="shared" si="458"/>
        <v>2</v>
      </c>
    </row>
    <row r="14617" spans="1:8" x14ac:dyDescent="0.2">
      <c r="A14617" t="s">
        <v>7</v>
      </c>
      <c r="B14617" t="s">
        <v>34</v>
      </c>
      <c r="C14617" t="str">
        <f t="shared" si="459"/>
        <v>Cumple</v>
      </c>
      <c r="D14617">
        <v>1131</v>
      </c>
      <c r="E14617" t="s">
        <v>12</v>
      </c>
      <c r="F14617">
        <v>21</v>
      </c>
      <c r="G14617">
        <v>20</v>
      </c>
      <c r="H14617">
        <f t="shared" si="458"/>
        <v>1</v>
      </c>
    </row>
    <row r="14618" spans="1:8" x14ac:dyDescent="0.2">
      <c r="A14618" t="s">
        <v>7</v>
      </c>
      <c r="B14618" t="s">
        <v>34</v>
      </c>
      <c r="C14618" t="str">
        <f t="shared" si="459"/>
        <v>Cumple</v>
      </c>
      <c r="D14618">
        <v>1874</v>
      </c>
      <c r="E14618" t="s">
        <v>12</v>
      </c>
      <c r="F14618">
        <v>21</v>
      </c>
      <c r="G14618">
        <v>20</v>
      </c>
      <c r="H14618">
        <f t="shared" si="458"/>
        <v>1</v>
      </c>
    </row>
    <row r="14619" spans="1:8" x14ac:dyDescent="0.2">
      <c r="A14619" t="s">
        <v>7</v>
      </c>
      <c r="B14619" t="s">
        <v>34</v>
      </c>
      <c r="C14619" t="str">
        <f t="shared" si="459"/>
        <v>Cumple</v>
      </c>
      <c r="D14619">
        <v>3160</v>
      </c>
      <c r="E14619" t="s">
        <v>11</v>
      </c>
      <c r="F14619">
        <v>21</v>
      </c>
      <c r="G14619">
        <v>20</v>
      </c>
      <c r="H14619">
        <f t="shared" si="458"/>
        <v>1</v>
      </c>
    </row>
    <row r="14620" spans="1:8" x14ac:dyDescent="0.2">
      <c r="A14620" t="s">
        <v>7</v>
      </c>
      <c r="B14620" t="s">
        <v>34</v>
      </c>
      <c r="C14620" t="str">
        <f t="shared" si="459"/>
        <v>Cumple</v>
      </c>
      <c r="D14620">
        <v>3206</v>
      </c>
      <c r="E14620" t="s">
        <v>11</v>
      </c>
      <c r="F14620">
        <v>20</v>
      </c>
      <c r="G14620">
        <v>20</v>
      </c>
      <c r="H14620">
        <f t="shared" si="458"/>
        <v>0</v>
      </c>
    </row>
    <row r="14621" spans="1:8" x14ac:dyDescent="0.2">
      <c r="A14621" t="s">
        <v>7</v>
      </c>
      <c r="B14621" t="s">
        <v>34</v>
      </c>
      <c r="C14621" t="str">
        <f t="shared" si="459"/>
        <v>Cumple</v>
      </c>
      <c r="D14621">
        <v>3549</v>
      </c>
      <c r="E14621" t="s">
        <v>10</v>
      </c>
      <c r="F14621">
        <v>20</v>
      </c>
      <c r="G14621">
        <v>20</v>
      </c>
      <c r="H14621">
        <f t="shared" si="458"/>
        <v>0</v>
      </c>
    </row>
    <row r="14622" spans="1:8" x14ac:dyDescent="0.2">
      <c r="A14622" t="s">
        <v>7</v>
      </c>
      <c r="B14622" t="s">
        <v>34</v>
      </c>
      <c r="C14622" t="str">
        <f t="shared" si="459"/>
        <v>Cumple</v>
      </c>
      <c r="D14622">
        <v>3682</v>
      </c>
      <c r="E14622" t="s">
        <v>10</v>
      </c>
      <c r="F14622">
        <v>20</v>
      </c>
      <c r="G14622">
        <v>20</v>
      </c>
      <c r="H14622">
        <f t="shared" si="458"/>
        <v>0</v>
      </c>
    </row>
    <row r="14623" spans="1:8" x14ac:dyDescent="0.2">
      <c r="A14623" t="s">
        <v>7</v>
      </c>
      <c r="B14623" t="s">
        <v>34</v>
      </c>
      <c r="C14623" t="str">
        <f t="shared" si="459"/>
        <v>Cumple</v>
      </c>
      <c r="D14623">
        <v>3908</v>
      </c>
      <c r="E14623" t="s">
        <v>11</v>
      </c>
      <c r="F14623">
        <v>20</v>
      </c>
      <c r="G14623">
        <v>20</v>
      </c>
      <c r="H14623">
        <f t="shared" si="458"/>
        <v>0</v>
      </c>
    </row>
    <row r="14624" spans="1:8" x14ac:dyDescent="0.2">
      <c r="A14624" t="s">
        <v>7</v>
      </c>
      <c r="B14624" t="s">
        <v>34</v>
      </c>
      <c r="C14624" t="str">
        <f t="shared" si="459"/>
        <v>Cumple</v>
      </c>
      <c r="D14624">
        <v>9195</v>
      </c>
      <c r="E14624" t="s">
        <v>12</v>
      </c>
      <c r="F14624">
        <v>20</v>
      </c>
      <c r="G14624">
        <v>20</v>
      </c>
      <c r="H14624">
        <f t="shared" si="458"/>
        <v>0</v>
      </c>
    </row>
    <row r="14625" spans="1:8" x14ac:dyDescent="0.2">
      <c r="A14625" t="s">
        <v>7</v>
      </c>
      <c r="B14625" t="s">
        <v>34</v>
      </c>
      <c r="C14625" t="str">
        <f t="shared" si="459"/>
        <v>Cumple</v>
      </c>
      <c r="D14625">
        <v>9480</v>
      </c>
      <c r="E14625" t="s">
        <v>11</v>
      </c>
      <c r="F14625">
        <v>20</v>
      </c>
      <c r="G14625">
        <v>20</v>
      </c>
      <c r="H14625">
        <f t="shared" si="458"/>
        <v>0</v>
      </c>
    </row>
    <row r="14626" spans="1:8" x14ac:dyDescent="0.2">
      <c r="A14626" t="s">
        <v>7</v>
      </c>
      <c r="B14626" t="s">
        <v>34</v>
      </c>
      <c r="C14626" t="str">
        <f t="shared" si="459"/>
        <v>No cumple</v>
      </c>
      <c r="D14626">
        <v>3138</v>
      </c>
      <c r="E14626" t="s">
        <v>11</v>
      </c>
      <c r="F14626">
        <v>19</v>
      </c>
      <c r="G14626">
        <v>20</v>
      </c>
      <c r="H14626">
        <f t="shared" si="458"/>
        <v>-1</v>
      </c>
    </row>
    <row r="14627" spans="1:8" x14ac:dyDescent="0.2">
      <c r="A14627" t="s">
        <v>7</v>
      </c>
      <c r="B14627" t="s">
        <v>34</v>
      </c>
      <c r="C14627" t="str">
        <f t="shared" si="459"/>
        <v>No cumple</v>
      </c>
      <c r="D14627">
        <v>3951</v>
      </c>
      <c r="E14627" t="s">
        <v>11</v>
      </c>
      <c r="F14627">
        <v>19</v>
      </c>
      <c r="G14627">
        <v>20</v>
      </c>
      <c r="H14627">
        <f t="shared" si="458"/>
        <v>-1</v>
      </c>
    </row>
    <row r="14628" spans="1:8" x14ac:dyDescent="0.2">
      <c r="A14628" t="s">
        <v>7</v>
      </c>
      <c r="B14628" t="s">
        <v>34</v>
      </c>
      <c r="C14628" t="str">
        <f t="shared" si="459"/>
        <v>No cumple</v>
      </c>
      <c r="D14628">
        <v>2597</v>
      </c>
      <c r="E14628" t="s">
        <v>10</v>
      </c>
      <c r="F14628">
        <v>18</v>
      </c>
      <c r="G14628">
        <v>20</v>
      </c>
      <c r="H14628">
        <f t="shared" si="458"/>
        <v>-2</v>
      </c>
    </row>
    <row r="14629" spans="1:8" x14ac:dyDescent="0.2">
      <c r="A14629" t="s">
        <v>7</v>
      </c>
      <c r="B14629" t="s">
        <v>34</v>
      </c>
      <c r="C14629" t="str">
        <f t="shared" si="459"/>
        <v>No cumple</v>
      </c>
      <c r="D14629">
        <v>3091</v>
      </c>
      <c r="E14629" t="s">
        <v>10</v>
      </c>
      <c r="F14629">
        <v>18</v>
      </c>
      <c r="G14629">
        <v>20</v>
      </c>
      <c r="H14629">
        <f t="shared" si="458"/>
        <v>-2</v>
      </c>
    </row>
    <row r="14630" spans="1:8" x14ac:dyDescent="0.2">
      <c r="A14630" t="s">
        <v>7</v>
      </c>
      <c r="B14630" t="s">
        <v>34</v>
      </c>
      <c r="C14630" t="str">
        <f t="shared" si="459"/>
        <v>No cumple</v>
      </c>
      <c r="D14630">
        <v>3686</v>
      </c>
      <c r="E14630" t="s">
        <v>11</v>
      </c>
      <c r="F14630">
        <v>18</v>
      </c>
      <c r="G14630">
        <v>20</v>
      </c>
      <c r="H14630">
        <f t="shared" si="458"/>
        <v>-2</v>
      </c>
    </row>
    <row r="14631" spans="1:8" x14ac:dyDescent="0.2">
      <c r="A14631" t="s">
        <v>7</v>
      </c>
      <c r="B14631" t="s">
        <v>34</v>
      </c>
      <c r="C14631" t="str">
        <f t="shared" si="459"/>
        <v>No cumple</v>
      </c>
      <c r="D14631">
        <v>3707</v>
      </c>
      <c r="E14631" t="s">
        <v>11</v>
      </c>
      <c r="F14631">
        <v>18</v>
      </c>
      <c r="G14631">
        <v>20</v>
      </c>
      <c r="H14631">
        <f t="shared" si="458"/>
        <v>-2</v>
      </c>
    </row>
    <row r="14632" spans="1:8" x14ac:dyDescent="0.2">
      <c r="A14632" t="s">
        <v>7</v>
      </c>
      <c r="B14632" t="s">
        <v>34</v>
      </c>
      <c r="C14632" t="str">
        <f t="shared" si="459"/>
        <v>No cumple</v>
      </c>
      <c r="D14632">
        <v>3729</v>
      </c>
      <c r="E14632" t="s">
        <v>11</v>
      </c>
      <c r="F14632">
        <v>18</v>
      </c>
      <c r="G14632">
        <v>20</v>
      </c>
      <c r="H14632">
        <f t="shared" si="458"/>
        <v>-2</v>
      </c>
    </row>
    <row r="14633" spans="1:8" x14ac:dyDescent="0.2">
      <c r="A14633" t="s">
        <v>7</v>
      </c>
      <c r="B14633" t="s">
        <v>34</v>
      </c>
      <c r="C14633" t="str">
        <f t="shared" si="459"/>
        <v>No cumple</v>
      </c>
      <c r="D14633">
        <v>9045</v>
      </c>
      <c r="E14633" t="s">
        <v>12</v>
      </c>
      <c r="F14633">
        <v>18</v>
      </c>
      <c r="G14633">
        <v>20</v>
      </c>
      <c r="H14633">
        <f t="shared" si="458"/>
        <v>-2</v>
      </c>
    </row>
    <row r="14634" spans="1:8" x14ac:dyDescent="0.2">
      <c r="A14634" t="s">
        <v>7</v>
      </c>
      <c r="B14634" t="s">
        <v>34</v>
      </c>
      <c r="C14634" t="str">
        <f t="shared" si="459"/>
        <v>No cumple</v>
      </c>
      <c r="D14634">
        <v>3457</v>
      </c>
      <c r="E14634" t="s">
        <v>11</v>
      </c>
      <c r="F14634">
        <v>17</v>
      </c>
      <c r="G14634">
        <v>20</v>
      </c>
      <c r="H14634">
        <f t="shared" si="458"/>
        <v>-3</v>
      </c>
    </row>
    <row r="14635" spans="1:8" x14ac:dyDescent="0.2">
      <c r="A14635" t="s">
        <v>7</v>
      </c>
      <c r="B14635" t="s">
        <v>34</v>
      </c>
      <c r="C14635" t="str">
        <f t="shared" si="459"/>
        <v>No cumple</v>
      </c>
      <c r="D14635">
        <v>1598</v>
      </c>
      <c r="E14635" t="s">
        <v>10</v>
      </c>
      <c r="F14635">
        <v>16</v>
      </c>
      <c r="G14635">
        <v>20</v>
      </c>
      <c r="H14635">
        <f t="shared" si="458"/>
        <v>-4</v>
      </c>
    </row>
    <row r="14636" spans="1:8" x14ac:dyDescent="0.2">
      <c r="A14636" t="s">
        <v>7</v>
      </c>
      <c r="B14636" t="s">
        <v>34</v>
      </c>
      <c r="C14636" t="str">
        <f t="shared" si="459"/>
        <v>No cumple</v>
      </c>
      <c r="D14636">
        <v>2545</v>
      </c>
      <c r="E14636" t="s">
        <v>11</v>
      </c>
      <c r="F14636">
        <v>16</v>
      </c>
      <c r="G14636">
        <v>20</v>
      </c>
      <c r="H14636">
        <f t="shared" ref="H14636:H14699" si="460">F14636-G14636</f>
        <v>-4</v>
      </c>
    </row>
    <row r="14637" spans="1:8" x14ac:dyDescent="0.2">
      <c r="A14637" t="s">
        <v>7</v>
      </c>
      <c r="B14637" t="s">
        <v>34</v>
      </c>
      <c r="C14637" t="str">
        <f t="shared" si="459"/>
        <v>No cumple</v>
      </c>
      <c r="D14637">
        <v>3620</v>
      </c>
      <c r="E14637" t="s">
        <v>11</v>
      </c>
      <c r="F14637">
        <v>16</v>
      </c>
      <c r="G14637">
        <v>20</v>
      </c>
      <c r="H14637">
        <f t="shared" si="460"/>
        <v>-4</v>
      </c>
    </row>
    <row r="14638" spans="1:8" x14ac:dyDescent="0.2">
      <c r="A14638" t="s">
        <v>7</v>
      </c>
      <c r="B14638" t="s">
        <v>34</v>
      </c>
      <c r="C14638" t="str">
        <f t="shared" si="459"/>
        <v>No cumple</v>
      </c>
      <c r="D14638">
        <v>3806</v>
      </c>
      <c r="E14638" t="s">
        <v>11</v>
      </c>
      <c r="F14638">
        <v>16</v>
      </c>
      <c r="G14638">
        <v>20</v>
      </c>
      <c r="H14638">
        <f t="shared" si="460"/>
        <v>-4</v>
      </c>
    </row>
    <row r="14639" spans="1:8" x14ac:dyDescent="0.2">
      <c r="A14639" t="s">
        <v>7</v>
      </c>
      <c r="B14639" t="s">
        <v>34</v>
      </c>
      <c r="C14639" t="str">
        <f t="shared" si="459"/>
        <v>No cumple</v>
      </c>
      <c r="D14639">
        <v>9369</v>
      </c>
      <c r="E14639" t="s">
        <v>11</v>
      </c>
      <c r="F14639">
        <v>16</v>
      </c>
      <c r="G14639">
        <v>20</v>
      </c>
      <c r="H14639">
        <f t="shared" si="460"/>
        <v>-4</v>
      </c>
    </row>
    <row r="14640" spans="1:8" x14ac:dyDescent="0.2">
      <c r="A14640" t="s">
        <v>7</v>
      </c>
      <c r="B14640" t="s">
        <v>34</v>
      </c>
      <c r="C14640" t="str">
        <f t="shared" si="459"/>
        <v>No cumple</v>
      </c>
      <c r="D14640">
        <v>9612</v>
      </c>
      <c r="E14640" t="s">
        <v>12</v>
      </c>
      <c r="F14640">
        <v>16</v>
      </c>
      <c r="G14640">
        <v>20</v>
      </c>
      <c r="H14640">
        <f t="shared" si="460"/>
        <v>-4</v>
      </c>
    </row>
    <row r="14641" spans="1:8" x14ac:dyDescent="0.2">
      <c r="A14641" t="s">
        <v>7</v>
      </c>
      <c r="B14641" t="s">
        <v>34</v>
      </c>
      <c r="C14641" t="str">
        <f t="shared" si="459"/>
        <v>No cumple</v>
      </c>
      <c r="D14641">
        <v>4041</v>
      </c>
      <c r="E14641" t="s">
        <v>11</v>
      </c>
      <c r="F14641">
        <v>16</v>
      </c>
      <c r="G14641">
        <v>20</v>
      </c>
      <c r="H14641">
        <f t="shared" si="460"/>
        <v>-4</v>
      </c>
    </row>
    <row r="14642" spans="1:8" x14ac:dyDescent="0.2">
      <c r="A14642" t="s">
        <v>7</v>
      </c>
      <c r="B14642" t="s">
        <v>34</v>
      </c>
      <c r="C14642" t="str">
        <f t="shared" si="459"/>
        <v>No cumple</v>
      </c>
      <c r="D14642">
        <v>1717</v>
      </c>
      <c r="E14642" t="s">
        <v>11</v>
      </c>
      <c r="F14642">
        <v>15</v>
      </c>
      <c r="G14642">
        <v>20</v>
      </c>
      <c r="H14642">
        <f t="shared" si="460"/>
        <v>-5</v>
      </c>
    </row>
    <row r="14643" spans="1:8" x14ac:dyDescent="0.2">
      <c r="A14643" t="s">
        <v>7</v>
      </c>
      <c r="B14643" t="s">
        <v>34</v>
      </c>
      <c r="C14643" t="str">
        <f t="shared" si="459"/>
        <v>No cumple</v>
      </c>
      <c r="D14643">
        <v>2889</v>
      </c>
      <c r="E14643" t="s">
        <v>10</v>
      </c>
      <c r="F14643">
        <v>15</v>
      </c>
      <c r="G14643">
        <v>20</v>
      </c>
      <c r="H14643">
        <f t="shared" si="460"/>
        <v>-5</v>
      </c>
    </row>
    <row r="14644" spans="1:8" x14ac:dyDescent="0.2">
      <c r="A14644" t="s">
        <v>7</v>
      </c>
      <c r="B14644" t="s">
        <v>34</v>
      </c>
      <c r="C14644" t="str">
        <f t="shared" si="459"/>
        <v>No cumple</v>
      </c>
      <c r="D14644">
        <v>3113</v>
      </c>
      <c r="E14644" t="s">
        <v>11</v>
      </c>
      <c r="F14644">
        <v>15</v>
      </c>
      <c r="G14644">
        <v>20</v>
      </c>
      <c r="H14644">
        <f t="shared" si="460"/>
        <v>-5</v>
      </c>
    </row>
    <row r="14645" spans="1:8" x14ac:dyDescent="0.2">
      <c r="A14645" t="s">
        <v>7</v>
      </c>
      <c r="B14645" t="s">
        <v>34</v>
      </c>
      <c r="C14645" t="str">
        <f t="shared" si="459"/>
        <v>No cumple</v>
      </c>
      <c r="D14645">
        <v>3517</v>
      </c>
      <c r="E14645" t="s">
        <v>11</v>
      </c>
      <c r="F14645">
        <v>15</v>
      </c>
      <c r="G14645">
        <v>20</v>
      </c>
      <c r="H14645">
        <f t="shared" si="460"/>
        <v>-5</v>
      </c>
    </row>
    <row r="14646" spans="1:8" x14ac:dyDescent="0.2">
      <c r="A14646" t="s">
        <v>7</v>
      </c>
      <c r="B14646" t="s">
        <v>34</v>
      </c>
      <c r="C14646" t="str">
        <f t="shared" si="459"/>
        <v>No cumple</v>
      </c>
      <c r="D14646">
        <v>3922</v>
      </c>
      <c r="E14646" t="s">
        <v>11</v>
      </c>
      <c r="F14646">
        <v>15</v>
      </c>
      <c r="G14646">
        <v>20</v>
      </c>
      <c r="H14646">
        <f t="shared" si="460"/>
        <v>-5</v>
      </c>
    </row>
    <row r="14647" spans="1:8" x14ac:dyDescent="0.2">
      <c r="A14647" t="s">
        <v>7</v>
      </c>
      <c r="B14647" t="s">
        <v>34</v>
      </c>
      <c r="C14647" t="str">
        <f t="shared" si="459"/>
        <v>No cumple</v>
      </c>
      <c r="D14647">
        <v>9129</v>
      </c>
      <c r="E14647" t="s">
        <v>10</v>
      </c>
      <c r="F14647">
        <v>15</v>
      </c>
      <c r="G14647">
        <v>20</v>
      </c>
      <c r="H14647">
        <f t="shared" si="460"/>
        <v>-5</v>
      </c>
    </row>
    <row r="14648" spans="1:8" x14ac:dyDescent="0.2">
      <c r="A14648" t="s">
        <v>7</v>
      </c>
      <c r="B14648" t="s">
        <v>34</v>
      </c>
      <c r="C14648" t="str">
        <f t="shared" si="459"/>
        <v>No cumple</v>
      </c>
      <c r="D14648">
        <v>9905</v>
      </c>
      <c r="E14648" t="s">
        <v>11</v>
      </c>
      <c r="F14648">
        <v>15</v>
      </c>
      <c r="G14648">
        <v>20</v>
      </c>
      <c r="H14648">
        <f t="shared" si="460"/>
        <v>-5</v>
      </c>
    </row>
    <row r="14649" spans="1:8" x14ac:dyDescent="0.2">
      <c r="A14649" t="s">
        <v>7</v>
      </c>
      <c r="B14649" t="s">
        <v>34</v>
      </c>
      <c r="C14649" t="str">
        <f t="shared" si="459"/>
        <v>No cumple</v>
      </c>
      <c r="D14649">
        <v>9980</v>
      </c>
      <c r="E14649" t="s">
        <v>10</v>
      </c>
      <c r="F14649">
        <v>15</v>
      </c>
      <c r="G14649">
        <v>20</v>
      </c>
      <c r="H14649">
        <f t="shared" si="460"/>
        <v>-5</v>
      </c>
    </row>
    <row r="14650" spans="1:8" x14ac:dyDescent="0.2">
      <c r="A14650" t="s">
        <v>7</v>
      </c>
      <c r="B14650" t="s">
        <v>34</v>
      </c>
      <c r="C14650" t="str">
        <f t="shared" si="459"/>
        <v>No cumple</v>
      </c>
      <c r="D14650">
        <v>3952</v>
      </c>
      <c r="E14650" t="s">
        <v>11</v>
      </c>
      <c r="F14650">
        <v>11</v>
      </c>
      <c r="G14650">
        <v>20</v>
      </c>
      <c r="H14650">
        <f t="shared" si="460"/>
        <v>-9</v>
      </c>
    </row>
    <row r="14651" spans="1:8" x14ac:dyDescent="0.2">
      <c r="A14651" t="s">
        <v>7</v>
      </c>
      <c r="B14651" t="s">
        <v>34</v>
      </c>
      <c r="C14651" t="str">
        <f t="shared" si="459"/>
        <v>No cumple</v>
      </c>
      <c r="D14651">
        <v>3488</v>
      </c>
      <c r="E14651" t="s">
        <v>10</v>
      </c>
      <c r="F14651">
        <v>10</v>
      </c>
      <c r="G14651">
        <v>20</v>
      </c>
      <c r="H14651">
        <f t="shared" si="460"/>
        <v>-10</v>
      </c>
    </row>
    <row r="14652" spans="1:8" x14ac:dyDescent="0.2">
      <c r="A14652" t="s">
        <v>7</v>
      </c>
      <c r="B14652" t="s">
        <v>34</v>
      </c>
      <c r="C14652" t="str">
        <f t="shared" si="459"/>
        <v>No cumple</v>
      </c>
      <c r="D14652">
        <v>3883</v>
      </c>
      <c r="E14652" t="s">
        <v>11</v>
      </c>
      <c r="F14652">
        <v>10</v>
      </c>
      <c r="G14652">
        <v>20</v>
      </c>
      <c r="H14652">
        <f t="shared" si="460"/>
        <v>-10</v>
      </c>
    </row>
    <row r="14653" spans="1:8" x14ac:dyDescent="0.2">
      <c r="A14653" t="s">
        <v>7</v>
      </c>
      <c r="B14653" t="s">
        <v>34</v>
      </c>
      <c r="C14653" t="str">
        <f t="shared" si="459"/>
        <v>No cumple</v>
      </c>
      <c r="D14653">
        <v>9981</v>
      </c>
      <c r="E14653" t="s">
        <v>10</v>
      </c>
      <c r="F14653">
        <v>10</v>
      </c>
      <c r="G14653">
        <v>20</v>
      </c>
      <c r="H14653">
        <f t="shared" si="460"/>
        <v>-10</v>
      </c>
    </row>
    <row r="14654" spans="1:8" x14ac:dyDescent="0.2">
      <c r="A14654" t="s">
        <v>7</v>
      </c>
      <c r="B14654" t="s">
        <v>34</v>
      </c>
      <c r="C14654" t="str">
        <f t="shared" si="459"/>
        <v>No cumple</v>
      </c>
      <c r="D14654">
        <v>1997</v>
      </c>
      <c r="E14654" t="s">
        <v>10</v>
      </c>
      <c r="F14654">
        <v>9</v>
      </c>
      <c r="G14654">
        <v>20</v>
      </c>
      <c r="H14654">
        <f t="shared" si="460"/>
        <v>-11</v>
      </c>
    </row>
    <row r="14655" spans="1:8" x14ac:dyDescent="0.2">
      <c r="A14655" t="s">
        <v>7</v>
      </c>
      <c r="B14655" t="s">
        <v>34</v>
      </c>
      <c r="C14655" t="str">
        <f t="shared" si="459"/>
        <v>No cumple</v>
      </c>
      <c r="D14655">
        <v>9196</v>
      </c>
      <c r="E14655" t="s">
        <v>11</v>
      </c>
      <c r="F14655">
        <v>9</v>
      </c>
      <c r="G14655">
        <v>20</v>
      </c>
      <c r="H14655">
        <f t="shared" si="460"/>
        <v>-11</v>
      </c>
    </row>
    <row r="14656" spans="1:8" x14ac:dyDescent="0.2">
      <c r="A14656" t="s">
        <v>7</v>
      </c>
      <c r="B14656" t="s">
        <v>34</v>
      </c>
      <c r="C14656" t="str">
        <f t="shared" si="459"/>
        <v>No cumple</v>
      </c>
      <c r="D14656">
        <v>9619</v>
      </c>
      <c r="E14656" t="s">
        <v>11</v>
      </c>
      <c r="F14656">
        <v>9</v>
      </c>
      <c r="G14656">
        <v>20</v>
      </c>
      <c r="H14656">
        <f t="shared" si="460"/>
        <v>-11</v>
      </c>
    </row>
    <row r="14657" spans="1:8" x14ac:dyDescent="0.2">
      <c r="A14657" t="s">
        <v>7</v>
      </c>
      <c r="B14657" t="s">
        <v>34</v>
      </c>
      <c r="C14657" t="str">
        <f t="shared" si="459"/>
        <v>No cumple</v>
      </c>
      <c r="D14657">
        <v>1872</v>
      </c>
      <c r="E14657" t="s">
        <v>11</v>
      </c>
      <c r="F14657">
        <v>8</v>
      </c>
      <c r="G14657">
        <v>20</v>
      </c>
      <c r="H14657">
        <f t="shared" si="460"/>
        <v>-12</v>
      </c>
    </row>
    <row r="14658" spans="1:8" x14ac:dyDescent="0.2">
      <c r="A14658" t="s">
        <v>7</v>
      </c>
      <c r="B14658" t="s">
        <v>34</v>
      </c>
      <c r="C14658" t="str">
        <f t="shared" si="459"/>
        <v>No cumple</v>
      </c>
      <c r="D14658">
        <v>3447</v>
      </c>
      <c r="E14658" t="s">
        <v>12</v>
      </c>
      <c r="F14658">
        <v>8</v>
      </c>
      <c r="G14658">
        <v>20</v>
      </c>
      <c r="H14658">
        <f t="shared" si="460"/>
        <v>-12</v>
      </c>
    </row>
    <row r="14659" spans="1:8" x14ac:dyDescent="0.2">
      <c r="A14659" t="s">
        <v>7</v>
      </c>
      <c r="B14659" t="s">
        <v>34</v>
      </c>
      <c r="C14659" t="str">
        <f t="shared" si="459"/>
        <v>No cumple</v>
      </c>
      <c r="D14659">
        <v>3788</v>
      </c>
      <c r="E14659" t="s">
        <v>11</v>
      </c>
      <c r="F14659">
        <v>8</v>
      </c>
      <c r="G14659">
        <v>20</v>
      </c>
      <c r="H14659">
        <f t="shared" si="460"/>
        <v>-12</v>
      </c>
    </row>
    <row r="14660" spans="1:8" x14ac:dyDescent="0.2">
      <c r="A14660" t="s">
        <v>7</v>
      </c>
      <c r="B14660" t="s">
        <v>34</v>
      </c>
      <c r="C14660" t="str">
        <f t="shared" si="459"/>
        <v>No cumple</v>
      </c>
      <c r="D14660">
        <v>474</v>
      </c>
      <c r="E14660" t="s">
        <v>11</v>
      </c>
      <c r="F14660">
        <v>8</v>
      </c>
      <c r="G14660">
        <v>20</v>
      </c>
      <c r="H14660">
        <f t="shared" si="460"/>
        <v>-12</v>
      </c>
    </row>
    <row r="14661" spans="1:8" x14ac:dyDescent="0.2">
      <c r="A14661" t="s">
        <v>7</v>
      </c>
      <c r="B14661" t="s">
        <v>34</v>
      </c>
      <c r="C14661" t="str">
        <f t="shared" ref="C14661:C14724" si="461">IF(H14661&gt;=0,"Cumple","No cumple")</f>
        <v>No cumple</v>
      </c>
      <c r="D14661">
        <v>3607</v>
      </c>
      <c r="E14661" t="s">
        <v>10</v>
      </c>
      <c r="F14661">
        <v>7</v>
      </c>
      <c r="G14661">
        <v>20</v>
      </c>
      <c r="H14661">
        <f t="shared" si="460"/>
        <v>-13</v>
      </c>
    </row>
    <row r="14662" spans="1:8" x14ac:dyDescent="0.2">
      <c r="A14662" t="s">
        <v>7</v>
      </c>
      <c r="B14662" t="s">
        <v>34</v>
      </c>
      <c r="C14662" t="str">
        <f t="shared" si="461"/>
        <v>No cumple</v>
      </c>
      <c r="D14662">
        <v>9869</v>
      </c>
      <c r="E14662" t="s">
        <v>11</v>
      </c>
      <c r="F14662">
        <v>7</v>
      </c>
      <c r="G14662">
        <v>20</v>
      </c>
      <c r="H14662">
        <f t="shared" si="460"/>
        <v>-13</v>
      </c>
    </row>
    <row r="14663" spans="1:8" x14ac:dyDescent="0.2">
      <c r="A14663" t="s">
        <v>7</v>
      </c>
      <c r="B14663" t="s">
        <v>34</v>
      </c>
      <c r="C14663" t="str">
        <f t="shared" si="461"/>
        <v>No cumple</v>
      </c>
      <c r="D14663">
        <v>1583</v>
      </c>
      <c r="E14663" t="s">
        <v>11</v>
      </c>
      <c r="F14663">
        <v>6</v>
      </c>
      <c r="G14663">
        <v>20</v>
      </c>
      <c r="H14663">
        <f t="shared" si="460"/>
        <v>-14</v>
      </c>
    </row>
    <row r="14664" spans="1:8" x14ac:dyDescent="0.2">
      <c r="A14664" t="s">
        <v>7</v>
      </c>
      <c r="B14664" t="s">
        <v>34</v>
      </c>
      <c r="C14664" t="str">
        <f t="shared" si="461"/>
        <v>No cumple</v>
      </c>
      <c r="D14664">
        <v>3157</v>
      </c>
      <c r="E14664" t="s">
        <v>11</v>
      </c>
      <c r="F14664">
        <v>6</v>
      </c>
      <c r="G14664">
        <v>20</v>
      </c>
      <c r="H14664">
        <f t="shared" si="460"/>
        <v>-14</v>
      </c>
    </row>
    <row r="14665" spans="1:8" x14ac:dyDescent="0.2">
      <c r="A14665" t="s">
        <v>7</v>
      </c>
      <c r="B14665" t="s">
        <v>34</v>
      </c>
      <c r="C14665" t="str">
        <f t="shared" si="461"/>
        <v>No cumple</v>
      </c>
      <c r="D14665">
        <v>3849</v>
      </c>
      <c r="E14665" t="s">
        <v>11</v>
      </c>
      <c r="F14665">
        <v>6</v>
      </c>
      <c r="G14665">
        <v>20</v>
      </c>
      <c r="H14665">
        <f t="shared" si="460"/>
        <v>-14</v>
      </c>
    </row>
    <row r="14666" spans="1:8" x14ac:dyDescent="0.2">
      <c r="A14666" t="s">
        <v>7</v>
      </c>
      <c r="B14666" t="s">
        <v>34</v>
      </c>
      <c r="C14666" t="str">
        <f t="shared" si="461"/>
        <v>No cumple</v>
      </c>
      <c r="D14666">
        <v>9026</v>
      </c>
      <c r="E14666" t="s">
        <v>10</v>
      </c>
      <c r="F14666">
        <v>5</v>
      </c>
      <c r="G14666">
        <v>20</v>
      </c>
      <c r="H14666">
        <f t="shared" si="460"/>
        <v>-15</v>
      </c>
    </row>
    <row r="14667" spans="1:8" x14ac:dyDescent="0.2">
      <c r="A14667" t="s">
        <v>7</v>
      </c>
      <c r="B14667" t="s">
        <v>34</v>
      </c>
      <c r="C14667" t="str">
        <f t="shared" si="461"/>
        <v>No cumple</v>
      </c>
      <c r="D14667">
        <v>9368</v>
      </c>
      <c r="E14667" t="s">
        <v>11</v>
      </c>
      <c r="F14667">
        <v>5</v>
      </c>
      <c r="G14667">
        <v>20</v>
      </c>
      <c r="H14667">
        <f t="shared" si="460"/>
        <v>-15</v>
      </c>
    </row>
    <row r="14668" spans="1:8" x14ac:dyDescent="0.2">
      <c r="A14668" t="s">
        <v>7</v>
      </c>
      <c r="B14668" t="s">
        <v>34</v>
      </c>
      <c r="C14668" t="str">
        <f t="shared" si="461"/>
        <v>No cumple</v>
      </c>
      <c r="D14668">
        <v>9461</v>
      </c>
      <c r="E14668" t="s">
        <v>11</v>
      </c>
      <c r="F14668">
        <v>5</v>
      </c>
      <c r="G14668">
        <v>20</v>
      </c>
      <c r="H14668">
        <f t="shared" si="460"/>
        <v>-15</v>
      </c>
    </row>
    <row r="14669" spans="1:8" x14ac:dyDescent="0.2">
      <c r="A14669" t="s">
        <v>7</v>
      </c>
      <c r="B14669" t="s">
        <v>34</v>
      </c>
      <c r="C14669" t="str">
        <f t="shared" si="461"/>
        <v>No cumple</v>
      </c>
      <c r="D14669">
        <v>3233</v>
      </c>
      <c r="E14669" t="s">
        <v>11</v>
      </c>
      <c r="F14669">
        <v>4</v>
      </c>
      <c r="G14669">
        <v>20</v>
      </c>
      <c r="H14669">
        <f t="shared" si="460"/>
        <v>-16</v>
      </c>
    </row>
    <row r="14670" spans="1:8" x14ac:dyDescent="0.2">
      <c r="A14670" t="s">
        <v>7</v>
      </c>
      <c r="B14670" t="s">
        <v>34</v>
      </c>
      <c r="C14670" t="str">
        <f t="shared" si="461"/>
        <v>No cumple</v>
      </c>
      <c r="D14670">
        <v>3282</v>
      </c>
      <c r="E14670" t="s">
        <v>11</v>
      </c>
      <c r="F14670">
        <v>4</v>
      </c>
      <c r="G14670">
        <v>20</v>
      </c>
      <c r="H14670">
        <f t="shared" si="460"/>
        <v>-16</v>
      </c>
    </row>
    <row r="14671" spans="1:8" x14ac:dyDescent="0.2">
      <c r="A14671" t="s">
        <v>7</v>
      </c>
      <c r="B14671" t="s">
        <v>34</v>
      </c>
      <c r="C14671" t="str">
        <f t="shared" si="461"/>
        <v>No cumple</v>
      </c>
      <c r="D14671">
        <v>3357</v>
      </c>
      <c r="E14671" t="s">
        <v>11</v>
      </c>
      <c r="F14671">
        <v>4</v>
      </c>
      <c r="G14671">
        <v>20</v>
      </c>
      <c r="H14671">
        <f t="shared" si="460"/>
        <v>-16</v>
      </c>
    </row>
    <row r="14672" spans="1:8" x14ac:dyDescent="0.2">
      <c r="A14672" t="s">
        <v>7</v>
      </c>
      <c r="B14672" t="s">
        <v>34</v>
      </c>
      <c r="C14672" t="str">
        <f t="shared" si="461"/>
        <v>No cumple</v>
      </c>
      <c r="D14672">
        <v>3480</v>
      </c>
      <c r="E14672" t="s">
        <v>11</v>
      </c>
      <c r="F14672">
        <v>4</v>
      </c>
      <c r="G14672">
        <v>20</v>
      </c>
      <c r="H14672">
        <f t="shared" si="460"/>
        <v>-16</v>
      </c>
    </row>
    <row r="14673" spans="1:8" x14ac:dyDescent="0.2">
      <c r="A14673" t="s">
        <v>7</v>
      </c>
      <c r="B14673" t="s">
        <v>34</v>
      </c>
      <c r="C14673" t="str">
        <f t="shared" si="461"/>
        <v>No cumple</v>
      </c>
      <c r="D14673">
        <v>3599</v>
      </c>
      <c r="E14673" t="s">
        <v>11</v>
      </c>
      <c r="F14673">
        <v>4</v>
      </c>
      <c r="G14673">
        <v>20</v>
      </c>
      <c r="H14673">
        <f t="shared" si="460"/>
        <v>-16</v>
      </c>
    </row>
    <row r="14674" spans="1:8" x14ac:dyDescent="0.2">
      <c r="A14674" t="s">
        <v>7</v>
      </c>
      <c r="B14674" t="s">
        <v>34</v>
      </c>
      <c r="C14674" t="str">
        <f t="shared" si="461"/>
        <v>No cumple</v>
      </c>
      <c r="D14674">
        <v>3613</v>
      </c>
      <c r="E14674" t="s">
        <v>10</v>
      </c>
      <c r="F14674">
        <v>4</v>
      </c>
      <c r="G14674">
        <v>20</v>
      </c>
      <c r="H14674">
        <f t="shared" si="460"/>
        <v>-16</v>
      </c>
    </row>
    <row r="14675" spans="1:8" x14ac:dyDescent="0.2">
      <c r="A14675" t="s">
        <v>7</v>
      </c>
      <c r="B14675" t="s">
        <v>34</v>
      </c>
      <c r="C14675" t="str">
        <f t="shared" si="461"/>
        <v>No cumple</v>
      </c>
      <c r="D14675">
        <v>3634</v>
      </c>
      <c r="E14675" t="s">
        <v>12</v>
      </c>
      <c r="F14675">
        <v>4</v>
      </c>
      <c r="G14675">
        <v>20</v>
      </c>
      <c r="H14675">
        <f t="shared" si="460"/>
        <v>-16</v>
      </c>
    </row>
    <row r="14676" spans="1:8" x14ac:dyDescent="0.2">
      <c r="A14676" t="s">
        <v>7</v>
      </c>
      <c r="B14676" t="s">
        <v>34</v>
      </c>
      <c r="C14676" t="str">
        <f t="shared" si="461"/>
        <v>No cumple</v>
      </c>
      <c r="D14676">
        <v>3671</v>
      </c>
      <c r="E14676" t="s">
        <v>12</v>
      </c>
      <c r="F14676">
        <v>4</v>
      </c>
      <c r="G14676">
        <v>20</v>
      </c>
      <c r="H14676">
        <f t="shared" si="460"/>
        <v>-16</v>
      </c>
    </row>
    <row r="14677" spans="1:8" x14ac:dyDescent="0.2">
      <c r="A14677" t="s">
        <v>7</v>
      </c>
      <c r="B14677" t="s">
        <v>34</v>
      </c>
      <c r="C14677" t="str">
        <f t="shared" si="461"/>
        <v>No cumple</v>
      </c>
      <c r="D14677">
        <v>3881</v>
      </c>
      <c r="E14677" t="s">
        <v>11</v>
      </c>
      <c r="F14677">
        <v>3</v>
      </c>
      <c r="G14677">
        <v>20</v>
      </c>
      <c r="H14677">
        <f t="shared" si="460"/>
        <v>-17</v>
      </c>
    </row>
    <row r="14678" spans="1:8" x14ac:dyDescent="0.2">
      <c r="A14678" t="s">
        <v>7</v>
      </c>
      <c r="B14678" t="s">
        <v>34</v>
      </c>
      <c r="C14678" t="str">
        <f t="shared" si="461"/>
        <v>No cumple</v>
      </c>
      <c r="D14678">
        <v>3982</v>
      </c>
      <c r="E14678" t="s">
        <v>11</v>
      </c>
      <c r="F14678">
        <v>3</v>
      </c>
      <c r="G14678">
        <v>20</v>
      </c>
      <c r="H14678">
        <f t="shared" si="460"/>
        <v>-17</v>
      </c>
    </row>
    <row r="14679" spans="1:8" x14ac:dyDescent="0.2">
      <c r="A14679" t="s">
        <v>7</v>
      </c>
      <c r="B14679" t="s">
        <v>34</v>
      </c>
      <c r="C14679" t="str">
        <f t="shared" si="461"/>
        <v>No cumple</v>
      </c>
      <c r="D14679">
        <v>957</v>
      </c>
      <c r="E14679" t="s">
        <v>12</v>
      </c>
      <c r="F14679">
        <v>2</v>
      </c>
      <c r="G14679">
        <v>20</v>
      </c>
      <c r="H14679">
        <f t="shared" si="460"/>
        <v>-18</v>
      </c>
    </row>
    <row r="14680" spans="1:8" x14ac:dyDescent="0.2">
      <c r="A14680" t="s">
        <v>7</v>
      </c>
      <c r="B14680" t="s">
        <v>34</v>
      </c>
      <c r="C14680" t="str">
        <f t="shared" si="461"/>
        <v>No cumple</v>
      </c>
      <c r="D14680">
        <v>2488</v>
      </c>
      <c r="E14680" t="s">
        <v>10</v>
      </c>
      <c r="F14680">
        <v>2</v>
      </c>
      <c r="G14680">
        <v>20</v>
      </c>
      <c r="H14680">
        <f t="shared" si="460"/>
        <v>-18</v>
      </c>
    </row>
    <row r="14681" spans="1:8" x14ac:dyDescent="0.2">
      <c r="A14681" t="s">
        <v>7</v>
      </c>
      <c r="B14681" t="s">
        <v>34</v>
      </c>
      <c r="C14681" t="str">
        <f t="shared" si="461"/>
        <v>No cumple</v>
      </c>
      <c r="D14681">
        <v>2930</v>
      </c>
      <c r="E14681" t="s">
        <v>11</v>
      </c>
      <c r="F14681">
        <v>2</v>
      </c>
      <c r="G14681">
        <v>20</v>
      </c>
      <c r="H14681">
        <f t="shared" si="460"/>
        <v>-18</v>
      </c>
    </row>
    <row r="14682" spans="1:8" x14ac:dyDescent="0.2">
      <c r="A14682" t="s">
        <v>7</v>
      </c>
      <c r="B14682" t="s">
        <v>34</v>
      </c>
      <c r="C14682" t="str">
        <f t="shared" si="461"/>
        <v>No cumple</v>
      </c>
      <c r="D14682">
        <v>3130</v>
      </c>
      <c r="E14682" t="s">
        <v>11</v>
      </c>
      <c r="F14682">
        <v>2</v>
      </c>
      <c r="G14682">
        <v>20</v>
      </c>
      <c r="H14682">
        <f t="shared" si="460"/>
        <v>-18</v>
      </c>
    </row>
    <row r="14683" spans="1:8" x14ac:dyDescent="0.2">
      <c r="A14683" t="s">
        <v>7</v>
      </c>
      <c r="B14683" t="s">
        <v>34</v>
      </c>
      <c r="C14683" t="str">
        <f t="shared" si="461"/>
        <v>No cumple</v>
      </c>
      <c r="D14683">
        <v>1896</v>
      </c>
      <c r="E14683" t="s">
        <v>11</v>
      </c>
      <c r="F14683">
        <v>1</v>
      </c>
      <c r="G14683">
        <v>20</v>
      </c>
      <c r="H14683">
        <f t="shared" si="460"/>
        <v>-19</v>
      </c>
    </row>
    <row r="14684" spans="1:8" x14ac:dyDescent="0.2">
      <c r="A14684" t="s">
        <v>7</v>
      </c>
      <c r="B14684" t="s">
        <v>34</v>
      </c>
      <c r="C14684" t="str">
        <f t="shared" si="461"/>
        <v>No cumple</v>
      </c>
      <c r="D14684">
        <v>9354</v>
      </c>
      <c r="E14684" t="s">
        <v>11</v>
      </c>
      <c r="F14684">
        <v>1</v>
      </c>
      <c r="G14684">
        <v>20</v>
      </c>
      <c r="H14684">
        <f t="shared" si="460"/>
        <v>-19</v>
      </c>
    </row>
    <row r="14685" spans="1:8" x14ac:dyDescent="0.2">
      <c r="A14685" t="s">
        <v>7</v>
      </c>
      <c r="B14685" t="s">
        <v>34</v>
      </c>
      <c r="C14685" t="str">
        <f t="shared" si="461"/>
        <v>No cumple</v>
      </c>
      <c r="D14685">
        <v>9584</v>
      </c>
      <c r="E14685" t="s">
        <v>11</v>
      </c>
      <c r="F14685">
        <v>1</v>
      </c>
      <c r="G14685">
        <v>20</v>
      </c>
      <c r="H14685">
        <f t="shared" si="460"/>
        <v>-19</v>
      </c>
    </row>
    <row r="14686" spans="1:8" x14ac:dyDescent="0.2">
      <c r="A14686" t="s">
        <v>7</v>
      </c>
      <c r="B14686" t="s">
        <v>34</v>
      </c>
      <c r="C14686" t="str">
        <f t="shared" si="461"/>
        <v>No cumple</v>
      </c>
      <c r="D14686">
        <v>1809</v>
      </c>
      <c r="E14686" t="s">
        <v>11</v>
      </c>
      <c r="F14686">
        <v>0</v>
      </c>
      <c r="G14686">
        <v>20</v>
      </c>
      <c r="H14686">
        <f t="shared" si="460"/>
        <v>-20</v>
      </c>
    </row>
    <row r="14687" spans="1:8" x14ac:dyDescent="0.2">
      <c r="A14687" t="s">
        <v>18</v>
      </c>
      <c r="B14687" t="s">
        <v>34</v>
      </c>
      <c r="C14687" t="str">
        <f t="shared" si="461"/>
        <v>No cumple</v>
      </c>
      <c r="D14687">
        <v>2867</v>
      </c>
      <c r="E14687" t="s">
        <v>12</v>
      </c>
      <c r="F14687">
        <v>0</v>
      </c>
      <c r="G14687">
        <v>20</v>
      </c>
      <c r="H14687">
        <f t="shared" si="460"/>
        <v>-20</v>
      </c>
    </row>
    <row r="14688" spans="1:8" x14ac:dyDescent="0.2">
      <c r="A14688" t="s">
        <v>18</v>
      </c>
      <c r="B14688" t="s">
        <v>34</v>
      </c>
      <c r="C14688" t="str">
        <f t="shared" si="461"/>
        <v>No cumple</v>
      </c>
      <c r="D14688">
        <v>3192</v>
      </c>
      <c r="E14688" t="s">
        <v>10</v>
      </c>
      <c r="F14688">
        <v>0</v>
      </c>
      <c r="G14688">
        <v>20</v>
      </c>
      <c r="H14688">
        <f t="shared" si="460"/>
        <v>-20</v>
      </c>
    </row>
    <row r="14689" spans="1:8" x14ac:dyDescent="0.2">
      <c r="A14689" t="s">
        <v>18</v>
      </c>
      <c r="B14689" t="s">
        <v>34</v>
      </c>
      <c r="C14689" t="str">
        <f t="shared" si="461"/>
        <v>No cumple</v>
      </c>
      <c r="D14689">
        <v>3341</v>
      </c>
      <c r="E14689" t="s">
        <v>10</v>
      </c>
      <c r="F14689">
        <v>0</v>
      </c>
      <c r="G14689">
        <v>20</v>
      </c>
      <c r="H14689">
        <f t="shared" si="460"/>
        <v>-20</v>
      </c>
    </row>
    <row r="14690" spans="1:8" x14ac:dyDescent="0.2">
      <c r="A14690" t="s">
        <v>18</v>
      </c>
      <c r="B14690" t="s">
        <v>34</v>
      </c>
      <c r="C14690" t="str">
        <f t="shared" si="461"/>
        <v>No cumple</v>
      </c>
      <c r="D14690">
        <v>3370</v>
      </c>
      <c r="E14690" t="s">
        <v>11</v>
      </c>
      <c r="F14690">
        <v>0</v>
      </c>
      <c r="G14690">
        <v>20</v>
      </c>
      <c r="H14690">
        <f t="shared" si="460"/>
        <v>-20</v>
      </c>
    </row>
    <row r="14691" spans="1:8" x14ac:dyDescent="0.2">
      <c r="A14691" t="s">
        <v>19</v>
      </c>
      <c r="B14691" t="s">
        <v>34</v>
      </c>
      <c r="C14691" t="str">
        <f t="shared" si="461"/>
        <v>No cumple</v>
      </c>
      <c r="D14691">
        <v>3426</v>
      </c>
      <c r="E14691" t="s">
        <v>11</v>
      </c>
      <c r="F14691">
        <v>0</v>
      </c>
      <c r="G14691">
        <v>20</v>
      </c>
      <c r="H14691">
        <f t="shared" si="460"/>
        <v>-20</v>
      </c>
    </row>
    <row r="14692" spans="1:8" x14ac:dyDescent="0.2">
      <c r="A14692" t="s">
        <v>18</v>
      </c>
      <c r="B14692" t="s">
        <v>34</v>
      </c>
      <c r="C14692" t="str">
        <f t="shared" si="461"/>
        <v>No cumple</v>
      </c>
      <c r="D14692">
        <v>3540</v>
      </c>
      <c r="E14692" t="s">
        <v>11</v>
      </c>
      <c r="F14692">
        <v>0</v>
      </c>
      <c r="G14692">
        <v>20</v>
      </c>
      <c r="H14692">
        <f t="shared" si="460"/>
        <v>-20</v>
      </c>
    </row>
    <row r="14693" spans="1:8" x14ac:dyDescent="0.2">
      <c r="A14693" t="s">
        <v>18</v>
      </c>
      <c r="B14693" t="s">
        <v>34</v>
      </c>
      <c r="C14693" t="str">
        <f t="shared" si="461"/>
        <v>No cumple</v>
      </c>
      <c r="D14693">
        <v>3548</v>
      </c>
      <c r="E14693" t="s">
        <v>10</v>
      </c>
      <c r="F14693">
        <v>0</v>
      </c>
      <c r="G14693">
        <v>20</v>
      </c>
      <c r="H14693">
        <f t="shared" si="460"/>
        <v>-20</v>
      </c>
    </row>
    <row r="14694" spans="1:8" x14ac:dyDescent="0.2">
      <c r="A14694" t="s">
        <v>19</v>
      </c>
      <c r="B14694" t="s">
        <v>34</v>
      </c>
      <c r="C14694" t="str">
        <f t="shared" si="461"/>
        <v>No cumple</v>
      </c>
      <c r="D14694">
        <v>3606</v>
      </c>
      <c r="E14694" t="s">
        <v>12</v>
      </c>
      <c r="F14694">
        <v>0</v>
      </c>
      <c r="G14694">
        <v>20</v>
      </c>
      <c r="H14694">
        <f t="shared" si="460"/>
        <v>-20</v>
      </c>
    </row>
    <row r="14695" spans="1:8" x14ac:dyDescent="0.2">
      <c r="A14695" t="s">
        <v>18</v>
      </c>
      <c r="B14695" t="s">
        <v>34</v>
      </c>
      <c r="C14695" t="str">
        <f t="shared" si="461"/>
        <v>No cumple</v>
      </c>
      <c r="D14695">
        <v>3636</v>
      </c>
      <c r="E14695" t="s">
        <v>12</v>
      </c>
      <c r="F14695">
        <v>0</v>
      </c>
      <c r="G14695">
        <v>20</v>
      </c>
      <c r="H14695">
        <f t="shared" si="460"/>
        <v>-20</v>
      </c>
    </row>
    <row r="14696" spans="1:8" x14ac:dyDescent="0.2">
      <c r="A14696" t="s">
        <v>18</v>
      </c>
      <c r="B14696" t="s">
        <v>34</v>
      </c>
      <c r="C14696" t="str">
        <f t="shared" si="461"/>
        <v>No cumple</v>
      </c>
      <c r="D14696">
        <v>3637</v>
      </c>
      <c r="E14696" t="s">
        <v>12</v>
      </c>
      <c r="F14696">
        <v>0</v>
      </c>
      <c r="G14696">
        <v>20</v>
      </c>
      <c r="H14696">
        <f t="shared" si="460"/>
        <v>-20</v>
      </c>
    </row>
    <row r="14697" spans="1:8" x14ac:dyDescent="0.2">
      <c r="A14697" t="s">
        <v>19</v>
      </c>
      <c r="B14697" t="s">
        <v>34</v>
      </c>
      <c r="C14697" t="str">
        <f t="shared" si="461"/>
        <v>No cumple</v>
      </c>
      <c r="D14697">
        <v>3649</v>
      </c>
      <c r="E14697" t="s">
        <v>12</v>
      </c>
      <c r="F14697">
        <v>0</v>
      </c>
      <c r="G14697">
        <v>20</v>
      </c>
      <c r="H14697">
        <f t="shared" si="460"/>
        <v>-20</v>
      </c>
    </row>
    <row r="14698" spans="1:8" x14ac:dyDescent="0.2">
      <c r="A14698" t="s">
        <v>19</v>
      </c>
      <c r="B14698" t="s">
        <v>34</v>
      </c>
      <c r="C14698" t="str">
        <f t="shared" si="461"/>
        <v>No cumple</v>
      </c>
      <c r="D14698">
        <v>3673</v>
      </c>
      <c r="E14698" t="s">
        <v>11</v>
      </c>
      <c r="F14698">
        <v>0</v>
      </c>
      <c r="G14698">
        <v>20</v>
      </c>
      <c r="H14698">
        <f t="shared" si="460"/>
        <v>-20</v>
      </c>
    </row>
    <row r="14699" spans="1:8" x14ac:dyDescent="0.2">
      <c r="A14699" t="s">
        <v>18</v>
      </c>
      <c r="B14699" t="s">
        <v>34</v>
      </c>
      <c r="C14699" t="str">
        <f t="shared" si="461"/>
        <v>No cumple</v>
      </c>
      <c r="D14699">
        <v>3787</v>
      </c>
      <c r="E14699" t="s">
        <v>12</v>
      </c>
      <c r="F14699">
        <v>0</v>
      </c>
      <c r="G14699">
        <v>20</v>
      </c>
      <c r="H14699">
        <f t="shared" si="460"/>
        <v>-20</v>
      </c>
    </row>
    <row r="14700" spans="1:8" x14ac:dyDescent="0.2">
      <c r="A14700" t="s">
        <v>18</v>
      </c>
      <c r="B14700" t="s">
        <v>34</v>
      </c>
      <c r="C14700" t="str">
        <f t="shared" si="461"/>
        <v>No cumple</v>
      </c>
      <c r="D14700">
        <v>3828</v>
      </c>
      <c r="E14700" t="s">
        <v>11</v>
      </c>
      <c r="F14700">
        <v>0</v>
      </c>
      <c r="G14700">
        <v>20</v>
      </c>
      <c r="H14700">
        <f t="shared" ref="H14700:H14715" si="462">F14700-G14700</f>
        <v>-20</v>
      </c>
    </row>
    <row r="14701" spans="1:8" x14ac:dyDescent="0.2">
      <c r="A14701" t="s">
        <v>18</v>
      </c>
      <c r="B14701" t="s">
        <v>34</v>
      </c>
      <c r="C14701" t="str">
        <f t="shared" si="461"/>
        <v>No cumple</v>
      </c>
      <c r="D14701">
        <v>3907</v>
      </c>
      <c r="E14701" t="s">
        <v>11</v>
      </c>
      <c r="F14701">
        <v>0</v>
      </c>
      <c r="G14701">
        <v>20</v>
      </c>
      <c r="H14701">
        <f t="shared" si="462"/>
        <v>-20</v>
      </c>
    </row>
    <row r="14702" spans="1:8" x14ac:dyDescent="0.2">
      <c r="A14702" t="s">
        <v>18</v>
      </c>
      <c r="B14702" t="s">
        <v>34</v>
      </c>
      <c r="C14702" t="str">
        <f t="shared" si="461"/>
        <v>No cumple</v>
      </c>
      <c r="D14702">
        <v>3945</v>
      </c>
      <c r="E14702" t="s">
        <v>11</v>
      </c>
      <c r="F14702">
        <v>0</v>
      </c>
      <c r="G14702">
        <v>20</v>
      </c>
      <c r="H14702">
        <f t="shared" si="462"/>
        <v>-20</v>
      </c>
    </row>
    <row r="14703" spans="1:8" x14ac:dyDescent="0.2">
      <c r="A14703" t="s">
        <v>18</v>
      </c>
      <c r="B14703" t="s">
        <v>34</v>
      </c>
      <c r="C14703" t="str">
        <f t="shared" si="461"/>
        <v>No cumple</v>
      </c>
      <c r="D14703">
        <v>3972</v>
      </c>
      <c r="E14703" t="s">
        <v>11</v>
      </c>
      <c r="F14703">
        <v>0</v>
      </c>
      <c r="G14703">
        <v>20</v>
      </c>
      <c r="H14703">
        <f t="shared" si="462"/>
        <v>-20</v>
      </c>
    </row>
    <row r="14704" spans="1:8" x14ac:dyDescent="0.2">
      <c r="A14704" t="s">
        <v>18</v>
      </c>
      <c r="B14704" t="s">
        <v>34</v>
      </c>
      <c r="C14704" t="str">
        <f t="shared" si="461"/>
        <v>No cumple</v>
      </c>
      <c r="D14704">
        <v>3997</v>
      </c>
      <c r="E14704" t="s">
        <v>11</v>
      </c>
      <c r="F14704">
        <v>0</v>
      </c>
      <c r="G14704">
        <v>20</v>
      </c>
      <c r="H14704">
        <f t="shared" si="462"/>
        <v>-20</v>
      </c>
    </row>
    <row r="14705" spans="1:8" x14ac:dyDescent="0.2">
      <c r="A14705" t="s">
        <v>18</v>
      </c>
      <c r="B14705" t="s">
        <v>34</v>
      </c>
      <c r="C14705" t="str">
        <f t="shared" si="461"/>
        <v>No cumple</v>
      </c>
      <c r="D14705">
        <v>3998</v>
      </c>
      <c r="E14705" t="s">
        <v>11</v>
      </c>
      <c r="F14705">
        <v>0</v>
      </c>
      <c r="G14705">
        <v>20</v>
      </c>
      <c r="H14705">
        <f t="shared" si="462"/>
        <v>-20</v>
      </c>
    </row>
    <row r="14706" spans="1:8" x14ac:dyDescent="0.2">
      <c r="A14706" t="s">
        <v>18</v>
      </c>
      <c r="B14706" t="s">
        <v>34</v>
      </c>
      <c r="C14706" t="str">
        <f t="shared" si="461"/>
        <v>No cumple</v>
      </c>
      <c r="D14706">
        <v>4025</v>
      </c>
      <c r="E14706" t="s">
        <v>11</v>
      </c>
      <c r="F14706">
        <v>0</v>
      </c>
      <c r="G14706">
        <v>20</v>
      </c>
      <c r="H14706">
        <f t="shared" si="462"/>
        <v>-20</v>
      </c>
    </row>
    <row r="14707" spans="1:8" x14ac:dyDescent="0.2">
      <c r="A14707" t="s">
        <v>18</v>
      </c>
      <c r="B14707" t="s">
        <v>34</v>
      </c>
      <c r="C14707" t="str">
        <f t="shared" si="461"/>
        <v>No cumple</v>
      </c>
      <c r="D14707">
        <v>4026</v>
      </c>
      <c r="E14707" t="s">
        <v>11</v>
      </c>
      <c r="F14707">
        <v>0</v>
      </c>
      <c r="G14707">
        <v>20</v>
      </c>
      <c r="H14707">
        <f t="shared" si="462"/>
        <v>-20</v>
      </c>
    </row>
    <row r="14708" spans="1:8" x14ac:dyDescent="0.2">
      <c r="A14708" t="s">
        <v>19</v>
      </c>
      <c r="B14708" t="s">
        <v>34</v>
      </c>
      <c r="C14708" t="str">
        <f t="shared" si="461"/>
        <v>No cumple</v>
      </c>
      <c r="D14708">
        <v>9053</v>
      </c>
      <c r="E14708" t="s">
        <v>11</v>
      </c>
      <c r="F14708">
        <v>0</v>
      </c>
      <c r="G14708">
        <v>20</v>
      </c>
      <c r="H14708">
        <f t="shared" si="462"/>
        <v>-20</v>
      </c>
    </row>
    <row r="14709" spans="1:8" x14ac:dyDescent="0.2">
      <c r="A14709" t="s">
        <v>18</v>
      </c>
      <c r="B14709" t="s">
        <v>34</v>
      </c>
      <c r="C14709" t="str">
        <f t="shared" si="461"/>
        <v>No cumple</v>
      </c>
      <c r="D14709">
        <v>9103</v>
      </c>
      <c r="E14709" t="s">
        <v>11</v>
      </c>
      <c r="F14709">
        <v>0</v>
      </c>
      <c r="G14709">
        <v>20</v>
      </c>
      <c r="H14709">
        <f t="shared" si="462"/>
        <v>-20</v>
      </c>
    </row>
    <row r="14710" spans="1:8" x14ac:dyDescent="0.2">
      <c r="A14710" t="s">
        <v>18</v>
      </c>
      <c r="B14710" t="s">
        <v>34</v>
      </c>
      <c r="C14710" t="str">
        <f t="shared" si="461"/>
        <v>No cumple</v>
      </c>
      <c r="D14710">
        <v>9325</v>
      </c>
      <c r="E14710" t="s">
        <v>11</v>
      </c>
      <c r="F14710">
        <v>0</v>
      </c>
      <c r="G14710">
        <v>20</v>
      </c>
      <c r="H14710">
        <f t="shared" si="462"/>
        <v>-20</v>
      </c>
    </row>
    <row r="14711" spans="1:8" x14ac:dyDescent="0.2">
      <c r="A14711" t="s">
        <v>18</v>
      </c>
      <c r="B14711" t="s">
        <v>34</v>
      </c>
      <c r="C14711" t="str">
        <f t="shared" si="461"/>
        <v>No cumple</v>
      </c>
      <c r="D14711">
        <v>9650</v>
      </c>
      <c r="E14711" t="s">
        <v>11</v>
      </c>
      <c r="F14711">
        <v>0</v>
      </c>
      <c r="G14711">
        <v>20</v>
      </c>
      <c r="H14711">
        <f t="shared" si="462"/>
        <v>-20</v>
      </c>
    </row>
    <row r="14712" spans="1:8" x14ac:dyDescent="0.2">
      <c r="A14712" t="s">
        <v>18</v>
      </c>
      <c r="B14712" t="s">
        <v>34</v>
      </c>
      <c r="C14712" t="str">
        <f t="shared" si="461"/>
        <v>No cumple</v>
      </c>
      <c r="D14712">
        <v>9894</v>
      </c>
      <c r="E14712" t="s">
        <v>11</v>
      </c>
      <c r="F14712">
        <v>0</v>
      </c>
      <c r="G14712">
        <v>20</v>
      </c>
      <c r="H14712">
        <f t="shared" si="462"/>
        <v>-20</v>
      </c>
    </row>
    <row r="14713" spans="1:8" x14ac:dyDescent="0.2">
      <c r="A14713" t="s">
        <v>18</v>
      </c>
      <c r="B14713" t="s">
        <v>34</v>
      </c>
      <c r="C14713" t="str">
        <f t="shared" si="461"/>
        <v>No cumple</v>
      </c>
      <c r="D14713">
        <v>3242</v>
      </c>
      <c r="E14713" t="s">
        <v>11</v>
      </c>
      <c r="F14713">
        <v>0</v>
      </c>
      <c r="G14713">
        <v>20</v>
      </c>
      <c r="H14713">
        <f t="shared" si="462"/>
        <v>-20</v>
      </c>
    </row>
    <row r="14714" spans="1:8" x14ac:dyDescent="0.2">
      <c r="A14714" t="s">
        <v>18</v>
      </c>
      <c r="B14714" t="s">
        <v>34</v>
      </c>
      <c r="C14714" t="str">
        <f t="shared" si="461"/>
        <v>No cumple</v>
      </c>
      <c r="D14714">
        <v>9925</v>
      </c>
      <c r="E14714" t="s">
        <v>10</v>
      </c>
      <c r="F14714">
        <v>0</v>
      </c>
      <c r="G14714">
        <v>20</v>
      </c>
      <c r="H14714">
        <f t="shared" si="462"/>
        <v>-20</v>
      </c>
    </row>
    <row r="14715" spans="1:8" x14ac:dyDescent="0.2">
      <c r="A14715" t="s">
        <v>18</v>
      </c>
      <c r="B14715" t="s">
        <v>34</v>
      </c>
      <c r="C14715" t="str">
        <f t="shared" si="461"/>
        <v>No cumple</v>
      </c>
      <c r="D14715">
        <v>4072</v>
      </c>
      <c r="E14715" t="s">
        <v>11</v>
      </c>
      <c r="F14715">
        <v>0</v>
      </c>
      <c r="G14715">
        <v>20</v>
      </c>
      <c r="H14715">
        <f t="shared" si="462"/>
        <v>-20</v>
      </c>
    </row>
    <row r="14716" spans="1:8" x14ac:dyDescent="0.2">
      <c r="A14716" t="s">
        <v>7</v>
      </c>
      <c r="B14716" t="s">
        <v>34</v>
      </c>
      <c r="C14716" t="str">
        <f t="shared" si="461"/>
        <v>Cumple</v>
      </c>
      <c r="D14716">
        <v>3691</v>
      </c>
      <c r="E14716" t="s">
        <v>13</v>
      </c>
      <c r="F14716">
        <v>14</v>
      </c>
      <c r="G14716">
        <v>6</v>
      </c>
      <c r="H14716">
        <f>F14716-G14716</f>
        <v>8</v>
      </c>
    </row>
    <row r="14717" spans="1:8" x14ac:dyDescent="0.2">
      <c r="A14717" t="s">
        <v>7</v>
      </c>
      <c r="B14717" t="s">
        <v>34</v>
      </c>
      <c r="C14717" t="str">
        <f t="shared" si="461"/>
        <v>Cumple</v>
      </c>
      <c r="D14717">
        <v>9967</v>
      </c>
      <c r="E14717" t="s">
        <v>13</v>
      </c>
      <c r="F14717">
        <v>13</v>
      </c>
      <c r="G14717">
        <v>6</v>
      </c>
      <c r="H14717">
        <f t="shared" ref="H14717:H14780" si="463">F14717-G14717</f>
        <v>7</v>
      </c>
    </row>
    <row r="14718" spans="1:8" x14ac:dyDescent="0.2">
      <c r="A14718" t="s">
        <v>7</v>
      </c>
      <c r="B14718" t="s">
        <v>34</v>
      </c>
      <c r="C14718" t="str">
        <f t="shared" si="461"/>
        <v>Cumple</v>
      </c>
      <c r="D14718">
        <v>1891</v>
      </c>
      <c r="E14718" t="s">
        <v>13</v>
      </c>
      <c r="F14718">
        <v>12</v>
      </c>
      <c r="G14718">
        <v>6</v>
      </c>
      <c r="H14718">
        <f t="shared" si="463"/>
        <v>6</v>
      </c>
    </row>
    <row r="14719" spans="1:8" x14ac:dyDescent="0.2">
      <c r="A14719" t="s">
        <v>7</v>
      </c>
      <c r="B14719" t="s">
        <v>34</v>
      </c>
      <c r="C14719" t="str">
        <f t="shared" si="461"/>
        <v>Cumple</v>
      </c>
      <c r="D14719">
        <v>3939</v>
      </c>
      <c r="E14719" t="s">
        <v>13</v>
      </c>
      <c r="F14719">
        <v>12</v>
      </c>
      <c r="G14719">
        <v>6</v>
      </c>
      <c r="H14719">
        <f t="shared" si="463"/>
        <v>6</v>
      </c>
    </row>
    <row r="14720" spans="1:8" x14ac:dyDescent="0.2">
      <c r="A14720" t="s">
        <v>7</v>
      </c>
      <c r="B14720" t="s">
        <v>34</v>
      </c>
      <c r="C14720" t="str">
        <f t="shared" si="461"/>
        <v>Cumple</v>
      </c>
      <c r="D14720">
        <v>707</v>
      </c>
      <c r="E14720" t="s">
        <v>13</v>
      </c>
      <c r="F14720">
        <v>11</v>
      </c>
      <c r="G14720">
        <v>6</v>
      </c>
      <c r="H14720">
        <f t="shared" si="463"/>
        <v>5</v>
      </c>
    </row>
    <row r="14721" spans="1:8" x14ac:dyDescent="0.2">
      <c r="A14721" t="s">
        <v>7</v>
      </c>
      <c r="B14721" t="s">
        <v>34</v>
      </c>
      <c r="C14721" t="str">
        <f t="shared" si="461"/>
        <v>Cumple</v>
      </c>
      <c r="D14721">
        <v>735</v>
      </c>
      <c r="E14721" t="s">
        <v>13</v>
      </c>
      <c r="F14721">
        <v>11</v>
      </c>
      <c r="G14721">
        <v>6</v>
      </c>
      <c r="H14721">
        <f t="shared" si="463"/>
        <v>5</v>
      </c>
    </row>
    <row r="14722" spans="1:8" x14ac:dyDescent="0.2">
      <c r="A14722" t="s">
        <v>7</v>
      </c>
      <c r="B14722" t="s">
        <v>34</v>
      </c>
      <c r="C14722" t="str">
        <f t="shared" si="461"/>
        <v>Cumple</v>
      </c>
      <c r="D14722">
        <v>838</v>
      </c>
      <c r="E14722" t="s">
        <v>13</v>
      </c>
      <c r="F14722">
        <v>11</v>
      </c>
      <c r="G14722">
        <v>6</v>
      </c>
      <c r="H14722">
        <f t="shared" si="463"/>
        <v>5</v>
      </c>
    </row>
    <row r="14723" spans="1:8" x14ac:dyDescent="0.2">
      <c r="A14723" t="s">
        <v>7</v>
      </c>
      <c r="B14723" t="s">
        <v>34</v>
      </c>
      <c r="C14723" t="str">
        <f t="shared" si="461"/>
        <v>Cumple</v>
      </c>
      <c r="D14723">
        <v>7597</v>
      </c>
      <c r="E14723" t="s">
        <v>13</v>
      </c>
      <c r="F14723">
        <v>11</v>
      </c>
      <c r="G14723">
        <v>6</v>
      </c>
      <c r="H14723">
        <f t="shared" si="463"/>
        <v>5</v>
      </c>
    </row>
    <row r="14724" spans="1:8" x14ac:dyDescent="0.2">
      <c r="A14724" t="s">
        <v>7</v>
      </c>
      <c r="B14724" t="s">
        <v>34</v>
      </c>
      <c r="C14724" t="str">
        <f t="shared" si="461"/>
        <v>Cumple</v>
      </c>
      <c r="D14724">
        <v>3984</v>
      </c>
      <c r="E14724" t="s">
        <v>13</v>
      </c>
      <c r="F14724">
        <v>11</v>
      </c>
      <c r="G14724">
        <v>6</v>
      </c>
      <c r="H14724">
        <f t="shared" si="463"/>
        <v>5</v>
      </c>
    </row>
    <row r="14725" spans="1:8" x14ac:dyDescent="0.2">
      <c r="A14725" t="s">
        <v>7</v>
      </c>
      <c r="B14725" t="s">
        <v>34</v>
      </c>
      <c r="C14725" t="str">
        <f t="shared" ref="C14725:C14788" si="464">IF(H14725&gt;=0,"Cumple","No cumple")</f>
        <v>Cumple</v>
      </c>
      <c r="D14725">
        <v>291</v>
      </c>
      <c r="E14725" t="s">
        <v>13</v>
      </c>
      <c r="F14725">
        <v>10</v>
      </c>
      <c r="G14725">
        <v>6</v>
      </c>
      <c r="H14725">
        <f t="shared" si="463"/>
        <v>4</v>
      </c>
    </row>
    <row r="14726" spans="1:8" x14ac:dyDescent="0.2">
      <c r="A14726" t="s">
        <v>7</v>
      </c>
      <c r="B14726" t="s">
        <v>34</v>
      </c>
      <c r="C14726" t="str">
        <f t="shared" si="464"/>
        <v>Cumple</v>
      </c>
      <c r="D14726">
        <v>292</v>
      </c>
      <c r="E14726" t="s">
        <v>13</v>
      </c>
      <c r="F14726">
        <v>10</v>
      </c>
      <c r="G14726">
        <v>6</v>
      </c>
      <c r="H14726">
        <f t="shared" si="463"/>
        <v>4</v>
      </c>
    </row>
    <row r="14727" spans="1:8" x14ac:dyDescent="0.2">
      <c r="A14727" t="s">
        <v>7</v>
      </c>
      <c r="B14727" t="s">
        <v>34</v>
      </c>
      <c r="C14727" t="str">
        <f t="shared" si="464"/>
        <v>Cumple</v>
      </c>
      <c r="D14727">
        <v>754</v>
      </c>
      <c r="E14727" t="s">
        <v>13</v>
      </c>
      <c r="F14727">
        <v>10</v>
      </c>
      <c r="G14727">
        <v>6</v>
      </c>
      <c r="H14727">
        <f t="shared" si="463"/>
        <v>4</v>
      </c>
    </row>
    <row r="14728" spans="1:8" x14ac:dyDescent="0.2">
      <c r="A14728" t="s">
        <v>7</v>
      </c>
      <c r="B14728" t="s">
        <v>34</v>
      </c>
      <c r="C14728" t="str">
        <f t="shared" si="464"/>
        <v>Cumple</v>
      </c>
      <c r="D14728">
        <v>927</v>
      </c>
      <c r="E14728" t="s">
        <v>13</v>
      </c>
      <c r="F14728">
        <v>10</v>
      </c>
      <c r="G14728">
        <v>6</v>
      </c>
      <c r="H14728">
        <f t="shared" si="463"/>
        <v>4</v>
      </c>
    </row>
    <row r="14729" spans="1:8" x14ac:dyDescent="0.2">
      <c r="A14729" t="s">
        <v>7</v>
      </c>
      <c r="B14729" t="s">
        <v>34</v>
      </c>
      <c r="C14729" t="str">
        <f t="shared" si="464"/>
        <v>Cumple</v>
      </c>
      <c r="D14729">
        <v>1410</v>
      </c>
      <c r="E14729" t="s">
        <v>13</v>
      </c>
      <c r="F14729">
        <v>10</v>
      </c>
      <c r="G14729">
        <v>6</v>
      </c>
      <c r="H14729">
        <f t="shared" si="463"/>
        <v>4</v>
      </c>
    </row>
    <row r="14730" spans="1:8" x14ac:dyDescent="0.2">
      <c r="A14730" t="s">
        <v>7</v>
      </c>
      <c r="B14730" t="s">
        <v>34</v>
      </c>
      <c r="C14730" t="str">
        <f t="shared" si="464"/>
        <v>Cumple</v>
      </c>
      <c r="D14730">
        <v>1793</v>
      </c>
      <c r="E14730" t="s">
        <v>13</v>
      </c>
      <c r="F14730">
        <v>10</v>
      </c>
      <c r="G14730">
        <v>6</v>
      </c>
      <c r="H14730">
        <f t="shared" si="463"/>
        <v>4</v>
      </c>
    </row>
    <row r="14731" spans="1:8" x14ac:dyDescent="0.2">
      <c r="A14731" t="s">
        <v>7</v>
      </c>
      <c r="B14731" t="s">
        <v>34</v>
      </c>
      <c r="C14731" t="str">
        <f t="shared" si="464"/>
        <v>Cumple</v>
      </c>
      <c r="D14731">
        <v>3662</v>
      </c>
      <c r="E14731" t="s">
        <v>13</v>
      </c>
      <c r="F14731">
        <v>10</v>
      </c>
      <c r="G14731">
        <v>6</v>
      </c>
      <c r="H14731">
        <f t="shared" si="463"/>
        <v>4</v>
      </c>
    </row>
    <row r="14732" spans="1:8" x14ac:dyDescent="0.2">
      <c r="A14732" t="s">
        <v>7</v>
      </c>
      <c r="B14732" t="s">
        <v>34</v>
      </c>
      <c r="C14732" t="str">
        <f t="shared" si="464"/>
        <v>Cumple</v>
      </c>
      <c r="D14732">
        <v>3663</v>
      </c>
      <c r="E14732" t="s">
        <v>13</v>
      </c>
      <c r="F14732">
        <v>10</v>
      </c>
      <c r="G14732">
        <v>6</v>
      </c>
      <c r="H14732">
        <f t="shared" si="463"/>
        <v>4</v>
      </c>
    </row>
    <row r="14733" spans="1:8" x14ac:dyDescent="0.2">
      <c r="A14733" t="s">
        <v>7</v>
      </c>
      <c r="B14733" t="s">
        <v>34</v>
      </c>
      <c r="C14733" t="str">
        <f t="shared" si="464"/>
        <v>Cumple</v>
      </c>
      <c r="D14733">
        <v>3810</v>
      </c>
      <c r="E14733" t="s">
        <v>13</v>
      </c>
      <c r="F14733">
        <v>10</v>
      </c>
      <c r="G14733">
        <v>6</v>
      </c>
      <c r="H14733">
        <f t="shared" si="463"/>
        <v>4</v>
      </c>
    </row>
    <row r="14734" spans="1:8" x14ac:dyDescent="0.2">
      <c r="A14734" t="s">
        <v>7</v>
      </c>
      <c r="B14734" t="s">
        <v>34</v>
      </c>
      <c r="C14734" t="str">
        <f t="shared" si="464"/>
        <v>Cumple</v>
      </c>
      <c r="D14734">
        <v>3818</v>
      </c>
      <c r="E14734" t="s">
        <v>13</v>
      </c>
      <c r="F14734">
        <v>10</v>
      </c>
      <c r="G14734">
        <v>6</v>
      </c>
      <c r="H14734">
        <f t="shared" si="463"/>
        <v>4</v>
      </c>
    </row>
    <row r="14735" spans="1:8" x14ac:dyDescent="0.2">
      <c r="A14735" t="s">
        <v>7</v>
      </c>
      <c r="B14735" t="s">
        <v>34</v>
      </c>
      <c r="C14735" t="str">
        <f t="shared" si="464"/>
        <v>Cumple</v>
      </c>
      <c r="D14735">
        <v>9575</v>
      </c>
      <c r="E14735" t="s">
        <v>13</v>
      </c>
      <c r="F14735">
        <v>10</v>
      </c>
      <c r="G14735">
        <v>6</v>
      </c>
      <c r="H14735">
        <f t="shared" si="463"/>
        <v>4</v>
      </c>
    </row>
    <row r="14736" spans="1:8" x14ac:dyDescent="0.2">
      <c r="A14736" t="s">
        <v>7</v>
      </c>
      <c r="B14736" t="s">
        <v>34</v>
      </c>
      <c r="C14736" t="str">
        <f t="shared" si="464"/>
        <v>Cumple</v>
      </c>
      <c r="D14736">
        <v>9645</v>
      </c>
      <c r="E14736" t="s">
        <v>13</v>
      </c>
      <c r="F14736">
        <v>10</v>
      </c>
      <c r="G14736">
        <v>6</v>
      </c>
      <c r="H14736">
        <f t="shared" si="463"/>
        <v>4</v>
      </c>
    </row>
    <row r="14737" spans="1:8" x14ac:dyDescent="0.2">
      <c r="A14737" t="s">
        <v>7</v>
      </c>
      <c r="B14737" t="s">
        <v>34</v>
      </c>
      <c r="C14737" t="str">
        <f t="shared" si="464"/>
        <v>Cumple</v>
      </c>
      <c r="D14737">
        <v>219</v>
      </c>
      <c r="E14737" t="s">
        <v>13</v>
      </c>
      <c r="F14737">
        <v>9</v>
      </c>
      <c r="G14737">
        <v>6</v>
      </c>
      <c r="H14737">
        <f t="shared" si="463"/>
        <v>3</v>
      </c>
    </row>
    <row r="14738" spans="1:8" x14ac:dyDescent="0.2">
      <c r="A14738" t="s">
        <v>7</v>
      </c>
      <c r="B14738" t="s">
        <v>34</v>
      </c>
      <c r="C14738" t="str">
        <f t="shared" si="464"/>
        <v>Cumple</v>
      </c>
      <c r="D14738">
        <v>793</v>
      </c>
      <c r="E14738" t="s">
        <v>13</v>
      </c>
      <c r="F14738">
        <v>9</v>
      </c>
      <c r="G14738">
        <v>6</v>
      </c>
      <c r="H14738">
        <f t="shared" si="463"/>
        <v>3</v>
      </c>
    </row>
    <row r="14739" spans="1:8" x14ac:dyDescent="0.2">
      <c r="A14739" t="s">
        <v>7</v>
      </c>
      <c r="B14739" t="s">
        <v>34</v>
      </c>
      <c r="C14739" t="str">
        <f t="shared" si="464"/>
        <v>Cumple</v>
      </c>
      <c r="D14739">
        <v>794</v>
      </c>
      <c r="E14739" t="s">
        <v>13</v>
      </c>
      <c r="F14739">
        <v>9</v>
      </c>
      <c r="G14739">
        <v>6</v>
      </c>
      <c r="H14739">
        <f t="shared" si="463"/>
        <v>3</v>
      </c>
    </row>
    <row r="14740" spans="1:8" x14ac:dyDescent="0.2">
      <c r="A14740" t="s">
        <v>7</v>
      </c>
      <c r="B14740" t="s">
        <v>34</v>
      </c>
      <c r="C14740" t="str">
        <f t="shared" si="464"/>
        <v>Cumple</v>
      </c>
      <c r="D14740">
        <v>831</v>
      </c>
      <c r="E14740" t="s">
        <v>13</v>
      </c>
      <c r="F14740">
        <v>9</v>
      </c>
      <c r="G14740">
        <v>6</v>
      </c>
      <c r="H14740">
        <f t="shared" si="463"/>
        <v>3</v>
      </c>
    </row>
    <row r="14741" spans="1:8" x14ac:dyDescent="0.2">
      <c r="A14741" t="s">
        <v>7</v>
      </c>
      <c r="B14741" t="s">
        <v>34</v>
      </c>
      <c r="C14741" t="str">
        <f t="shared" si="464"/>
        <v>Cumple</v>
      </c>
      <c r="D14741">
        <v>985</v>
      </c>
      <c r="E14741" t="s">
        <v>13</v>
      </c>
      <c r="F14741">
        <v>9</v>
      </c>
      <c r="G14741">
        <v>6</v>
      </c>
      <c r="H14741">
        <f t="shared" si="463"/>
        <v>3</v>
      </c>
    </row>
    <row r="14742" spans="1:8" x14ac:dyDescent="0.2">
      <c r="A14742" t="s">
        <v>7</v>
      </c>
      <c r="B14742" t="s">
        <v>34</v>
      </c>
      <c r="C14742" t="str">
        <f t="shared" si="464"/>
        <v>Cumple</v>
      </c>
      <c r="D14742">
        <v>1487</v>
      </c>
      <c r="E14742" t="s">
        <v>13</v>
      </c>
      <c r="F14742">
        <v>9</v>
      </c>
      <c r="G14742">
        <v>6</v>
      </c>
      <c r="H14742">
        <f t="shared" si="463"/>
        <v>3</v>
      </c>
    </row>
    <row r="14743" spans="1:8" x14ac:dyDescent="0.2">
      <c r="A14743" t="s">
        <v>7</v>
      </c>
      <c r="B14743" t="s">
        <v>34</v>
      </c>
      <c r="C14743" t="str">
        <f t="shared" si="464"/>
        <v>Cumple</v>
      </c>
      <c r="D14743">
        <v>1524</v>
      </c>
      <c r="E14743" t="s">
        <v>13</v>
      </c>
      <c r="F14743">
        <v>9</v>
      </c>
      <c r="G14743">
        <v>6</v>
      </c>
      <c r="H14743">
        <f t="shared" si="463"/>
        <v>3</v>
      </c>
    </row>
    <row r="14744" spans="1:8" x14ac:dyDescent="0.2">
      <c r="A14744" t="s">
        <v>7</v>
      </c>
      <c r="B14744" t="s">
        <v>34</v>
      </c>
      <c r="C14744" t="str">
        <f t="shared" si="464"/>
        <v>Cumple</v>
      </c>
      <c r="D14744">
        <v>1550</v>
      </c>
      <c r="E14744" t="s">
        <v>13</v>
      </c>
      <c r="F14744">
        <v>9</v>
      </c>
      <c r="G14744">
        <v>6</v>
      </c>
      <c r="H14744">
        <f t="shared" si="463"/>
        <v>3</v>
      </c>
    </row>
    <row r="14745" spans="1:8" x14ac:dyDescent="0.2">
      <c r="A14745" t="s">
        <v>7</v>
      </c>
      <c r="B14745" t="s">
        <v>34</v>
      </c>
      <c r="C14745" t="str">
        <f t="shared" si="464"/>
        <v>Cumple</v>
      </c>
      <c r="D14745">
        <v>1847</v>
      </c>
      <c r="E14745" t="s">
        <v>13</v>
      </c>
      <c r="F14745">
        <v>9</v>
      </c>
      <c r="G14745">
        <v>6</v>
      </c>
      <c r="H14745">
        <f t="shared" si="463"/>
        <v>3</v>
      </c>
    </row>
    <row r="14746" spans="1:8" x14ac:dyDescent="0.2">
      <c r="A14746" t="s">
        <v>7</v>
      </c>
      <c r="B14746" t="s">
        <v>34</v>
      </c>
      <c r="C14746" t="str">
        <f t="shared" si="464"/>
        <v>Cumple</v>
      </c>
      <c r="D14746">
        <v>1887</v>
      </c>
      <c r="E14746" t="s">
        <v>13</v>
      </c>
      <c r="F14746">
        <v>9</v>
      </c>
      <c r="G14746">
        <v>6</v>
      </c>
      <c r="H14746">
        <f t="shared" si="463"/>
        <v>3</v>
      </c>
    </row>
    <row r="14747" spans="1:8" x14ac:dyDescent="0.2">
      <c r="A14747" t="s">
        <v>7</v>
      </c>
      <c r="B14747" t="s">
        <v>34</v>
      </c>
      <c r="C14747" t="str">
        <f t="shared" si="464"/>
        <v>Cumple</v>
      </c>
      <c r="D14747">
        <v>2810</v>
      </c>
      <c r="E14747" t="s">
        <v>13</v>
      </c>
      <c r="F14747">
        <v>9</v>
      </c>
      <c r="G14747">
        <v>6</v>
      </c>
      <c r="H14747">
        <f t="shared" si="463"/>
        <v>3</v>
      </c>
    </row>
    <row r="14748" spans="1:8" x14ac:dyDescent="0.2">
      <c r="A14748" t="s">
        <v>7</v>
      </c>
      <c r="B14748" t="s">
        <v>34</v>
      </c>
      <c r="C14748" t="str">
        <f t="shared" si="464"/>
        <v>Cumple</v>
      </c>
      <c r="D14748">
        <v>3768</v>
      </c>
      <c r="E14748" t="s">
        <v>13</v>
      </c>
      <c r="F14748">
        <v>9</v>
      </c>
      <c r="G14748">
        <v>6</v>
      </c>
      <c r="H14748">
        <f t="shared" si="463"/>
        <v>3</v>
      </c>
    </row>
    <row r="14749" spans="1:8" x14ac:dyDescent="0.2">
      <c r="A14749" t="s">
        <v>7</v>
      </c>
      <c r="B14749" t="s">
        <v>34</v>
      </c>
      <c r="C14749" t="str">
        <f t="shared" si="464"/>
        <v>Cumple</v>
      </c>
      <c r="D14749">
        <v>3769</v>
      </c>
      <c r="E14749" t="s">
        <v>13</v>
      </c>
      <c r="F14749">
        <v>9</v>
      </c>
      <c r="G14749">
        <v>6</v>
      </c>
      <c r="H14749">
        <f t="shared" si="463"/>
        <v>3</v>
      </c>
    </row>
    <row r="14750" spans="1:8" x14ac:dyDescent="0.2">
      <c r="A14750" t="s">
        <v>7</v>
      </c>
      <c r="B14750" t="s">
        <v>34</v>
      </c>
      <c r="C14750" t="str">
        <f t="shared" si="464"/>
        <v>Cumple</v>
      </c>
      <c r="D14750">
        <v>3771</v>
      </c>
      <c r="E14750" t="s">
        <v>13</v>
      </c>
      <c r="F14750">
        <v>9</v>
      </c>
      <c r="G14750">
        <v>6</v>
      </c>
      <c r="H14750">
        <f t="shared" si="463"/>
        <v>3</v>
      </c>
    </row>
    <row r="14751" spans="1:8" x14ac:dyDescent="0.2">
      <c r="A14751" t="s">
        <v>7</v>
      </c>
      <c r="B14751" t="s">
        <v>34</v>
      </c>
      <c r="C14751" t="str">
        <f t="shared" si="464"/>
        <v>Cumple</v>
      </c>
      <c r="D14751">
        <v>3811</v>
      </c>
      <c r="E14751" t="s">
        <v>13</v>
      </c>
      <c r="F14751">
        <v>9</v>
      </c>
      <c r="G14751">
        <v>6</v>
      </c>
      <c r="H14751">
        <f t="shared" si="463"/>
        <v>3</v>
      </c>
    </row>
    <row r="14752" spans="1:8" x14ac:dyDescent="0.2">
      <c r="A14752" t="s">
        <v>7</v>
      </c>
      <c r="B14752" t="s">
        <v>34</v>
      </c>
      <c r="C14752" t="str">
        <f t="shared" si="464"/>
        <v>Cumple</v>
      </c>
      <c r="D14752">
        <v>3815</v>
      </c>
      <c r="E14752" t="s">
        <v>13</v>
      </c>
      <c r="F14752">
        <v>9</v>
      </c>
      <c r="G14752">
        <v>6</v>
      </c>
      <c r="H14752">
        <f t="shared" si="463"/>
        <v>3</v>
      </c>
    </row>
    <row r="14753" spans="1:8" x14ac:dyDescent="0.2">
      <c r="A14753" t="s">
        <v>7</v>
      </c>
      <c r="B14753" t="s">
        <v>34</v>
      </c>
      <c r="C14753" t="str">
        <f t="shared" si="464"/>
        <v>Cumple</v>
      </c>
      <c r="D14753">
        <v>3853</v>
      </c>
      <c r="E14753" t="s">
        <v>13</v>
      </c>
      <c r="F14753">
        <v>9</v>
      </c>
      <c r="G14753">
        <v>6</v>
      </c>
      <c r="H14753">
        <f t="shared" si="463"/>
        <v>3</v>
      </c>
    </row>
    <row r="14754" spans="1:8" x14ac:dyDescent="0.2">
      <c r="A14754" t="s">
        <v>7</v>
      </c>
      <c r="B14754" t="s">
        <v>34</v>
      </c>
      <c r="C14754" t="str">
        <f t="shared" si="464"/>
        <v>Cumple</v>
      </c>
      <c r="D14754">
        <v>9134</v>
      </c>
      <c r="E14754" t="s">
        <v>13</v>
      </c>
      <c r="F14754">
        <v>9</v>
      </c>
      <c r="G14754">
        <v>6</v>
      </c>
      <c r="H14754">
        <f t="shared" si="463"/>
        <v>3</v>
      </c>
    </row>
    <row r="14755" spans="1:8" x14ac:dyDescent="0.2">
      <c r="A14755" t="s">
        <v>7</v>
      </c>
      <c r="B14755" t="s">
        <v>34</v>
      </c>
      <c r="C14755" t="str">
        <f t="shared" si="464"/>
        <v>Cumple</v>
      </c>
      <c r="D14755">
        <v>9154</v>
      </c>
      <c r="E14755" t="s">
        <v>13</v>
      </c>
      <c r="F14755">
        <v>9</v>
      </c>
      <c r="G14755">
        <v>6</v>
      </c>
      <c r="H14755">
        <f t="shared" si="463"/>
        <v>3</v>
      </c>
    </row>
    <row r="14756" spans="1:8" x14ac:dyDescent="0.2">
      <c r="A14756" t="s">
        <v>7</v>
      </c>
      <c r="B14756" t="s">
        <v>34</v>
      </c>
      <c r="C14756" t="str">
        <f t="shared" si="464"/>
        <v>Cumple</v>
      </c>
      <c r="D14756">
        <v>9527</v>
      </c>
      <c r="E14756" t="s">
        <v>13</v>
      </c>
      <c r="F14756">
        <v>9</v>
      </c>
      <c r="G14756">
        <v>6</v>
      </c>
      <c r="H14756">
        <f t="shared" si="463"/>
        <v>3</v>
      </c>
    </row>
    <row r="14757" spans="1:8" x14ac:dyDescent="0.2">
      <c r="A14757" t="s">
        <v>7</v>
      </c>
      <c r="B14757" t="s">
        <v>34</v>
      </c>
      <c r="C14757" t="str">
        <f t="shared" si="464"/>
        <v>Cumple</v>
      </c>
      <c r="D14757">
        <v>9742</v>
      </c>
      <c r="E14757" t="s">
        <v>13</v>
      </c>
      <c r="F14757">
        <v>9</v>
      </c>
      <c r="G14757">
        <v>6</v>
      </c>
      <c r="H14757">
        <f t="shared" si="463"/>
        <v>3</v>
      </c>
    </row>
    <row r="14758" spans="1:8" x14ac:dyDescent="0.2">
      <c r="A14758" t="s">
        <v>7</v>
      </c>
      <c r="B14758" t="s">
        <v>34</v>
      </c>
      <c r="C14758" t="str">
        <f t="shared" si="464"/>
        <v>Cumple</v>
      </c>
      <c r="D14758">
        <v>4033</v>
      </c>
      <c r="E14758" t="s">
        <v>13</v>
      </c>
      <c r="F14758">
        <v>9</v>
      </c>
      <c r="G14758">
        <v>6</v>
      </c>
      <c r="H14758">
        <f t="shared" si="463"/>
        <v>3</v>
      </c>
    </row>
    <row r="14759" spans="1:8" x14ac:dyDescent="0.2">
      <c r="A14759" t="s">
        <v>7</v>
      </c>
      <c r="B14759" t="s">
        <v>34</v>
      </c>
      <c r="C14759" t="str">
        <f t="shared" si="464"/>
        <v>Cumple</v>
      </c>
      <c r="D14759">
        <v>4067</v>
      </c>
      <c r="E14759" t="s">
        <v>13</v>
      </c>
      <c r="F14759">
        <v>9</v>
      </c>
      <c r="G14759">
        <v>6</v>
      </c>
      <c r="H14759">
        <f t="shared" si="463"/>
        <v>3</v>
      </c>
    </row>
    <row r="14760" spans="1:8" x14ac:dyDescent="0.2">
      <c r="A14760" t="s">
        <v>7</v>
      </c>
      <c r="B14760" t="s">
        <v>34</v>
      </c>
      <c r="C14760" t="str">
        <f t="shared" si="464"/>
        <v>Cumple</v>
      </c>
      <c r="D14760">
        <v>213</v>
      </c>
      <c r="E14760" t="s">
        <v>13</v>
      </c>
      <c r="F14760">
        <v>8</v>
      </c>
      <c r="G14760">
        <v>6</v>
      </c>
      <c r="H14760">
        <f t="shared" si="463"/>
        <v>2</v>
      </c>
    </row>
    <row r="14761" spans="1:8" x14ac:dyDescent="0.2">
      <c r="A14761" t="s">
        <v>7</v>
      </c>
      <c r="B14761" t="s">
        <v>34</v>
      </c>
      <c r="C14761" t="str">
        <f t="shared" si="464"/>
        <v>Cumple</v>
      </c>
      <c r="D14761">
        <v>763</v>
      </c>
      <c r="E14761" t="s">
        <v>13</v>
      </c>
      <c r="F14761">
        <v>8</v>
      </c>
      <c r="G14761">
        <v>6</v>
      </c>
      <c r="H14761">
        <f t="shared" si="463"/>
        <v>2</v>
      </c>
    </row>
    <row r="14762" spans="1:8" x14ac:dyDescent="0.2">
      <c r="A14762" t="s">
        <v>7</v>
      </c>
      <c r="B14762" t="s">
        <v>34</v>
      </c>
      <c r="C14762" t="str">
        <f t="shared" si="464"/>
        <v>Cumple</v>
      </c>
      <c r="D14762">
        <v>785</v>
      </c>
      <c r="E14762" t="s">
        <v>13</v>
      </c>
      <c r="F14762">
        <v>8</v>
      </c>
      <c r="G14762">
        <v>6</v>
      </c>
      <c r="H14762">
        <f t="shared" si="463"/>
        <v>2</v>
      </c>
    </row>
    <row r="14763" spans="1:8" x14ac:dyDescent="0.2">
      <c r="A14763" t="s">
        <v>7</v>
      </c>
      <c r="B14763" t="s">
        <v>34</v>
      </c>
      <c r="C14763" t="str">
        <f t="shared" si="464"/>
        <v>Cumple</v>
      </c>
      <c r="D14763">
        <v>826</v>
      </c>
      <c r="E14763" t="s">
        <v>13</v>
      </c>
      <c r="F14763">
        <v>8</v>
      </c>
      <c r="G14763">
        <v>6</v>
      </c>
      <c r="H14763">
        <f t="shared" si="463"/>
        <v>2</v>
      </c>
    </row>
    <row r="14764" spans="1:8" x14ac:dyDescent="0.2">
      <c r="A14764" t="s">
        <v>7</v>
      </c>
      <c r="B14764" t="s">
        <v>34</v>
      </c>
      <c r="C14764" t="str">
        <f t="shared" si="464"/>
        <v>Cumple</v>
      </c>
      <c r="D14764">
        <v>2502</v>
      </c>
      <c r="E14764" t="s">
        <v>13</v>
      </c>
      <c r="F14764">
        <v>8</v>
      </c>
      <c r="G14764">
        <v>6</v>
      </c>
      <c r="H14764">
        <f t="shared" si="463"/>
        <v>2</v>
      </c>
    </row>
    <row r="14765" spans="1:8" x14ac:dyDescent="0.2">
      <c r="A14765" t="s">
        <v>7</v>
      </c>
      <c r="B14765" t="s">
        <v>34</v>
      </c>
      <c r="C14765" t="str">
        <f t="shared" si="464"/>
        <v>Cumple</v>
      </c>
      <c r="D14765">
        <v>2874</v>
      </c>
      <c r="E14765" t="s">
        <v>13</v>
      </c>
      <c r="F14765">
        <v>8</v>
      </c>
      <c r="G14765">
        <v>6</v>
      </c>
      <c r="H14765">
        <f t="shared" si="463"/>
        <v>2</v>
      </c>
    </row>
    <row r="14766" spans="1:8" x14ac:dyDescent="0.2">
      <c r="A14766" t="s">
        <v>7</v>
      </c>
      <c r="B14766" t="s">
        <v>34</v>
      </c>
      <c r="C14766" t="str">
        <f t="shared" si="464"/>
        <v>Cumple</v>
      </c>
      <c r="D14766">
        <v>3416</v>
      </c>
      <c r="E14766" t="s">
        <v>13</v>
      </c>
      <c r="F14766">
        <v>8</v>
      </c>
      <c r="G14766">
        <v>6</v>
      </c>
      <c r="H14766">
        <f t="shared" si="463"/>
        <v>2</v>
      </c>
    </row>
    <row r="14767" spans="1:8" x14ac:dyDescent="0.2">
      <c r="A14767" t="s">
        <v>7</v>
      </c>
      <c r="B14767" t="s">
        <v>34</v>
      </c>
      <c r="C14767" t="str">
        <f t="shared" si="464"/>
        <v>Cumple</v>
      </c>
      <c r="D14767">
        <v>3661</v>
      </c>
      <c r="E14767" t="s">
        <v>13</v>
      </c>
      <c r="F14767">
        <v>8</v>
      </c>
      <c r="G14767">
        <v>6</v>
      </c>
      <c r="H14767">
        <f t="shared" si="463"/>
        <v>2</v>
      </c>
    </row>
    <row r="14768" spans="1:8" x14ac:dyDescent="0.2">
      <c r="A14768" t="s">
        <v>7</v>
      </c>
      <c r="B14768" t="s">
        <v>34</v>
      </c>
      <c r="C14768" t="str">
        <f t="shared" si="464"/>
        <v>Cumple</v>
      </c>
      <c r="D14768">
        <v>3664</v>
      </c>
      <c r="E14768" t="s">
        <v>13</v>
      </c>
      <c r="F14768">
        <v>8</v>
      </c>
      <c r="G14768">
        <v>6</v>
      </c>
      <c r="H14768">
        <f t="shared" si="463"/>
        <v>2</v>
      </c>
    </row>
    <row r="14769" spans="1:8" x14ac:dyDescent="0.2">
      <c r="A14769" t="s">
        <v>7</v>
      </c>
      <c r="B14769" t="s">
        <v>34</v>
      </c>
      <c r="C14769" t="str">
        <f t="shared" si="464"/>
        <v>Cumple</v>
      </c>
      <c r="D14769">
        <v>3695</v>
      </c>
      <c r="E14769" t="s">
        <v>13</v>
      </c>
      <c r="F14769">
        <v>8</v>
      </c>
      <c r="G14769">
        <v>6</v>
      </c>
      <c r="H14769">
        <f t="shared" si="463"/>
        <v>2</v>
      </c>
    </row>
    <row r="14770" spans="1:8" x14ac:dyDescent="0.2">
      <c r="A14770" t="s">
        <v>7</v>
      </c>
      <c r="B14770" t="s">
        <v>34</v>
      </c>
      <c r="C14770" t="str">
        <f t="shared" si="464"/>
        <v>Cumple</v>
      </c>
      <c r="D14770">
        <v>3791</v>
      </c>
      <c r="E14770" t="s">
        <v>13</v>
      </c>
      <c r="F14770">
        <v>8</v>
      </c>
      <c r="G14770">
        <v>6</v>
      </c>
      <c r="H14770">
        <f t="shared" si="463"/>
        <v>2</v>
      </c>
    </row>
    <row r="14771" spans="1:8" x14ac:dyDescent="0.2">
      <c r="A14771" t="s">
        <v>7</v>
      </c>
      <c r="B14771" t="s">
        <v>34</v>
      </c>
      <c r="C14771" t="str">
        <f t="shared" si="464"/>
        <v>Cumple</v>
      </c>
      <c r="D14771">
        <v>3912</v>
      </c>
      <c r="E14771" t="s">
        <v>13</v>
      </c>
      <c r="F14771">
        <v>8</v>
      </c>
      <c r="G14771">
        <v>6</v>
      </c>
      <c r="H14771">
        <f t="shared" si="463"/>
        <v>2</v>
      </c>
    </row>
    <row r="14772" spans="1:8" x14ac:dyDescent="0.2">
      <c r="A14772" t="s">
        <v>7</v>
      </c>
      <c r="B14772" t="s">
        <v>34</v>
      </c>
      <c r="C14772" t="str">
        <f t="shared" si="464"/>
        <v>Cumple</v>
      </c>
      <c r="D14772">
        <v>9017</v>
      </c>
      <c r="E14772" t="s">
        <v>13</v>
      </c>
      <c r="F14772">
        <v>8</v>
      </c>
      <c r="G14772">
        <v>6</v>
      </c>
      <c r="H14772">
        <f t="shared" si="463"/>
        <v>2</v>
      </c>
    </row>
    <row r="14773" spans="1:8" x14ac:dyDescent="0.2">
      <c r="A14773" t="s">
        <v>7</v>
      </c>
      <c r="B14773" t="s">
        <v>34</v>
      </c>
      <c r="C14773" t="str">
        <f t="shared" si="464"/>
        <v>Cumple</v>
      </c>
      <c r="D14773">
        <v>9935</v>
      </c>
      <c r="E14773" t="s">
        <v>13</v>
      </c>
      <c r="F14773">
        <v>8</v>
      </c>
      <c r="G14773">
        <v>6</v>
      </c>
      <c r="H14773">
        <f t="shared" si="463"/>
        <v>2</v>
      </c>
    </row>
    <row r="14774" spans="1:8" x14ac:dyDescent="0.2">
      <c r="A14774" t="s">
        <v>7</v>
      </c>
      <c r="B14774" t="s">
        <v>34</v>
      </c>
      <c r="C14774" t="str">
        <f t="shared" si="464"/>
        <v>Cumple</v>
      </c>
      <c r="D14774">
        <v>4029</v>
      </c>
      <c r="E14774" t="s">
        <v>13</v>
      </c>
      <c r="F14774">
        <v>8</v>
      </c>
      <c r="G14774">
        <v>6</v>
      </c>
      <c r="H14774">
        <f t="shared" si="463"/>
        <v>2</v>
      </c>
    </row>
    <row r="14775" spans="1:8" x14ac:dyDescent="0.2">
      <c r="A14775" t="s">
        <v>7</v>
      </c>
      <c r="B14775" t="s">
        <v>34</v>
      </c>
      <c r="C14775" t="str">
        <f t="shared" si="464"/>
        <v>Cumple</v>
      </c>
      <c r="D14775">
        <v>4070</v>
      </c>
      <c r="E14775" t="s">
        <v>13</v>
      </c>
      <c r="F14775">
        <v>8</v>
      </c>
      <c r="G14775">
        <v>6</v>
      </c>
      <c r="H14775">
        <f t="shared" si="463"/>
        <v>2</v>
      </c>
    </row>
    <row r="14776" spans="1:8" x14ac:dyDescent="0.2">
      <c r="A14776" t="s">
        <v>7</v>
      </c>
      <c r="B14776" t="s">
        <v>34</v>
      </c>
      <c r="C14776" t="str">
        <f t="shared" si="464"/>
        <v>Cumple</v>
      </c>
      <c r="D14776">
        <v>221</v>
      </c>
      <c r="E14776" t="s">
        <v>13</v>
      </c>
      <c r="F14776">
        <v>7</v>
      </c>
      <c r="G14776">
        <v>6</v>
      </c>
      <c r="H14776">
        <f t="shared" si="463"/>
        <v>1</v>
      </c>
    </row>
    <row r="14777" spans="1:8" x14ac:dyDescent="0.2">
      <c r="A14777" t="s">
        <v>7</v>
      </c>
      <c r="B14777" t="s">
        <v>34</v>
      </c>
      <c r="C14777" t="str">
        <f t="shared" si="464"/>
        <v>Cumple</v>
      </c>
      <c r="D14777">
        <v>283</v>
      </c>
      <c r="E14777" t="s">
        <v>13</v>
      </c>
      <c r="F14777">
        <v>7</v>
      </c>
      <c r="G14777">
        <v>6</v>
      </c>
      <c r="H14777">
        <f t="shared" si="463"/>
        <v>1</v>
      </c>
    </row>
    <row r="14778" spans="1:8" x14ac:dyDescent="0.2">
      <c r="A14778" t="s">
        <v>7</v>
      </c>
      <c r="B14778" t="s">
        <v>34</v>
      </c>
      <c r="C14778" t="str">
        <f t="shared" si="464"/>
        <v>Cumple</v>
      </c>
      <c r="D14778">
        <v>717</v>
      </c>
      <c r="E14778" t="s">
        <v>13</v>
      </c>
      <c r="F14778">
        <v>7</v>
      </c>
      <c r="G14778">
        <v>6</v>
      </c>
      <c r="H14778">
        <f t="shared" si="463"/>
        <v>1</v>
      </c>
    </row>
    <row r="14779" spans="1:8" x14ac:dyDescent="0.2">
      <c r="A14779" t="s">
        <v>7</v>
      </c>
      <c r="B14779" t="s">
        <v>34</v>
      </c>
      <c r="C14779" t="str">
        <f t="shared" si="464"/>
        <v>Cumple</v>
      </c>
      <c r="D14779">
        <v>818</v>
      </c>
      <c r="E14779" t="s">
        <v>13</v>
      </c>
      <c r="F14779">
        <v>7</v>
      </c>
      <c r="G14779">
        <v>6</v>
      </c>
      <c r="H14779">
        <f t="shared" si="463"/>
        <v>1</v>
      </c>
    </row>
    <row r="14780" spans="1:8" x14ac:dyDescent="0.2">
      <c r="A14780" t="s">
        <v>7</v>
      </c>
      <c r="B14780" t="s">
        <v>34</v>
      </c>
      <c r="C14780" t="str">
        <f t="shared" si="464"/>
        <v>Cumple</v>
      </c>
      <c r="D14780">
        <v>830</v>
      </c>
      <c r="E14780" t="s">
        <v>13</v>
      </c>
      <c r="F14780">
        <v>7</v>
      </c>
      <c r="G14780">
        <v>6</v>
      </c>
      <c r="H14780">
        <f t="shared" si="463"/>
        <v>1</v>
      </c>
    </row>
    <row r="14781" spans="1:8" x14ac:dyDescent="0.2">
      <c r="A14781" t="s">
        <v>7</v>
      </c>
      <c r="B14781" t="s">
        <v>34</v>
      </c>
      <c r="C14781" t="str">
        <f t="shared" si="464"/>
        <v>Cumple</v>
      </c>
      <c r="D14781">
        <v>899</v>
      </c>
      <c r="E14781" t="s">
        <v>13</v>
      </c>
      <c r="F14781">
        <v>7</v>
      </c>
      <c r="G14781">
        <v>6</v>
      </c>
      <c r="H14781">
        <f t="shared" ref="H14781:H14844" si="465">F14781-G14781</f>
        <v>1</v>
      </c>
    </row>
    <row r="14782" spans="1:8" x14ac:dyDescent="0.2">
      <c r="A14782" t="s">
        <v>7</v>
      </c>
      <c r="B14782" t="s">
        <v>34</v>
      </c>
      <c r="C14782" t="str">
        <f t="shared" si="464"/>
        <v>Cumple</v>
      </c>
      <c r="D14782">
        <v>1445</v>
      </c>
      <c r="E14782" t="s">
        <v>13</v>
      </c>
      <c r="F14782">
        <v>7</v>
      </c>
      <c r="G14782">
        <v>6</v>
      </c>
      <c r="H14782">
        <f t="shared" si="465"/>
        <v>1</v>
      </c>
    </row>
    <row r="14783" spans="1:8" x14ac:dyDescent="0.2">
      <c r="A14783" t="s">
        <v>7</v>
      </c>
      <c r="B14783" t="s">
        <v>34</v>
      </c>
      <c r="C14783" t="str">
        <f t="shared" si="464"/>
        <v>Cumple</v>
      </c>
      <c r="D14783">
        <v>1468</v>
      </c>
      <c r="E14783" t="s">
        <v>13</v>
      </c>
      <c r="F14783">
        <v>7</v>
      </c>
      <c r="G14783">
        <v>6</v>
      </c>
      <c r="H14783">
        <f t="shared" si="465"/>
        <v>1</v>
      </c>
    </row>
    <row r="14784" spans="1:8" x14ac:dyDescent="0.2">
      <c r="A14784" t="s">
        <v>7</v>
      </c>
      <c r="B14784" t="s">
        <v>34</v>
      </c>
      <c r="C14784" t="str">
        <f t="shared" si="464"/>
        <v>Cumple</v>
      </c>
      <c r="D14784">
        <v>1485</v>
      </c>
      <c r="E14784" t="s">
        <v>13</v>
      </c>
      <c r="F14784">
        <v>7</v>
      </c>
      <c r="G14784">
        <v>6</v>
      </c>
      <c r="H14784">
        <f t="shared" si="465"/>
        <v>1</v>
      </c>
    </row>
    <row r="14785" spans="1:8" x14ac:dyDescent="0.2">
      <c r="A14785" t="s">
        <v>7</v>
      </c>
      <c r="B14785" t="s">
        <v>34</v>
      </c>
      <c r="C14785" t="str">
        <f t="shared" si="464"/>
        <v>Cumple</v>
      </c>
      <c r="D14785">
        <v>1601</v>
      </c>
      <c r="E14785" t="s">
        <v>13</v>
      </c>
      <c r="F14785">
        <v>7</v>
      </c>
      <c r="G14785">
        <v>6</v>
      </c>
      <c r="H14785">
        <f t="shared" si="465"/>
        <v>1</v>
      </c>
    </row>
    <row r="14786" spans="1:8" x14ac:dyDescent="0.2">
      <c r="A14786" t="s">
        <v>7</v>
      </c>
      <c r="B14786" t="s">
        <v>34</v>
      </c>
      <c r="C14786" t="str">
        <f t="shared" si="464"/>
        <v>Cumple</v>
      </c>
      <c r="D14786">
        <v>1798</v>
      </c>
      <c r="E14786" t="s">
        <v>13</v>
      </c>
      <c r="F14786">
        <v>7</v>
      </c>
      <c r="G14786">
        <v>6</v>
      </c>
      <c r="H14786">
        <f t="shared" si="465"/>
        <v>1</v>
      </c>
    </row>
    <row r="14787" spans="1:8" x14ac:dyDescent="0.2">
      <c r="A14787" t="s">
        <v>7</v>
      </c>
      <c r="B14787" t="s">
        <v>34</v>
      </c>
      <c r="C14787" t="str">
        <f t="shared" si="464"/>
        <v>Cumple</v>
      </c>
      <c r="D14787">
        <v>1857</v>
      </c>
      <c r="E14787" t="s">
        <v>13</v>
      </c>
      <c r="F14787">
        <v>7</v>
      </c>
      <c r="G14787">
        <v>6</v>
      </c>
      <c r="H14787">
        <f t="shared" si="465"/>
        <v>1</v>
      </c>
    </row>
    <row r="14788" spans="1:8" x14ac:dyDescent="0.2">
      <c r="A14788" t="s">
        <v>7</v>
      </c>
      <c r="B14788" t="s">
        <v>34</v>
      </c>
      <c r="C14788" t="str">
        <f t="shared" si="464"/>
        <v>Cumple</v>
      </c>
      <c r="D14788">
        <v>2086</v>
      </c>
      <c r="E14788" t="s">
        <v>13</v>
      </c>
      <c r="F14788">
        <v>7</v>
      </c>
      <c r="G14788">
        <v>6</v>
      </c>
      <c r="H14788">
        <f t="shared" si="465"/>
        <v>1</v>
      </c>
    </row>
    <row r="14789" spans="1:8" x14ac:dyDescent="0.2">
      <c r="A14789" t="s">
        <v>7</v>
      </c>
      <c r="B14789" t="s">
        <v>34</v>
      </c>
      <c r="C14789" t="str">
        <f t="shared" ref="C14789:C14852" si="466">IF(H14789&gt;=0,"Cumple","No cumple")</f>
        <v>Cumple</v>
      </c>
      <c r="D14789">
        <v>2583</v>
      </c>
      <c r="E14789" t="s">
        <v>13</v>
      </c>
      <c r="F14789">
        <v>7</v>
      </c>
      <c r="G14789">
        <v>6</v>
      </c>
      <c r="H14789">
        <f t="shared" si="465"/>
        <v>1</v>
      </c>
    </row>
    <row r="14790" spans="1:8" x14ac:dyDescent="0.2">
      <c r="A14790" t="s">
        <v>7</v>
      </c>
      <c r="B14790" t="s">
        <v>34</v>
      </c>
      <c r="C14790" t="str">
        <f t="shared" si="466"/>
        <v>Cumple</v>
      </c>
      <c r="D14790">
        <v>2851</v>
      </c>
      <c r="E14790" t="s">
        <v>13</v>
      </c>
      <c r="F14790">
        <v>7</v>
      </c>
      <c r="G14790">
        <v>6</v>
      </c>
      <c r="H14790">
        <f t="shared" si="465"/>
        <v>1</v>
      </c>
    </row>
    <row r="14791" spans="1:8" x14ac:dyDescent="0.2">
      <c r="A14791" t="s">
        <v>7</v>
      </c>
      <c r="B14791" t="s">
        <v>34</v>
      </c>
      <c r="C14791" t="str">
        <f t="shared" si="466"/>
        <v>Cumple</v>
      </c>
      <c r="D14791">
        <v>2973</v>
      </c>
      <c r="E14791" t="s">
        <v>13</v>
      </c>
      <c r="F14791">
        <v>7</v>
      </c>
      <c r="G14791">
        <v>6</v>
      </c>
      <c r="H14791">
        <f t="shared" si="465"/>
        <v>1</v>
      </c>
    </row>
    <row r="14792" spans="1:8" x14ac:dyDescent="0.2">
      <c r="A14792" t="s">
        <v>7</v>
      </c>
      <c r="B14792" t="s">
        <v>34</v>
      </c>
      <c r="C14792" t="str">
        <f t="shared" si="466"/>
        <v>Cumple</v>
      </c>
      <c r="D14792">
        <v>2976</v>
      </c>
      <c r="E14792" t="s">
        <v>13</v>
      </c>
      <c r="F14792">
        <v>7</v>
      </c>
      <c r="G14792">
        <v>6</v>
      </c>
      <c r="H14792">
        <f t="shared" si="465"/>
        <v>1</v>
      </c>
    </row>
    <row r="14793" spans="1:8" x14ac:dyDescent="0.2">
      <c r="A14793" t="s">
        <v>7</v>
      </c>
      <c r="B14793" t="s">
        <v>34</v>
      </c>
      <c r="C14793" t="str">
        <f t="shared" si="466"/>
        <v>Cumple</v>
      </c>
      <c r="D14793">
        <v>3595</v>
      </c>
      <c r="E14793" t="s">
        <v>13</v>
      </c>
      <c r="F14793">
        <v>7</v>
      </c>
      <c r="G14793">
        <v>6</v>
      </c>
      <c r="H14793">
        <f t="shared" si="465"/>
        <v>1</v>
      </c>
    </row>
    <row r="14794" spans="1:8" x14ac:dyDescent="0.2">
      <c r="A14794" t="s">
        <v>7</v>
      </c>
      <c r="B14794" t="s">
        <v>34</v>
      </c>
      <c r="C14794" t="str">
        <f t="shared" si="466"/>
        <v>Cumple</v>
      </c>
      <c r="D14794">
        <v>3693</v>
      </c>
      <c r="E14794" t="s">
        <v>13</v>
      </c>
      <c r="F14794">
        <v>7</v>
      </c>
      <c r="G14794">
        <v>6</v>
      </c>
      <c r="H14794">
        <f t="shared" si="465"/>
        <v>1</v>
      </c>
    </row>
    <row r="14795" spans="1:8" x14ac:dyDescent="0.2">
      <c r="A14795" t="s">
        <v>7</v>
      </c>
      <c r="B14795" t="s">
        <v>34</v>
      </c>
      <c r="C14795" t="str">
        <f t="shared" si="466"/>
        <v>Cumple</v>
      </c>
      <c r="D14795">
        <v>3740</v>
      </c>
      <c r="E14795" t="s">
        <v>13</v>
      </c>
      <c r="F14795">
        <v>7</v>
      </c>
      <c r="G14795">
        <v>6</v>
      </c>
      <c r="H14795">
        <f t="shared" si="465"/>
        <v>1</v>
      </c>
    </row>
    <row r="14796" spans="1:8" x14ac:dyDescent="0.2">
      <c r="A14796" t="s">
        <v>7</v>
      </c>
      <c r="B14796" t="s">
        <v>34</v>
      </c>
      <c r="C14796" t="str">
        <f t="shared" si="466"/>
        <v>Cumple</v>
      </c>
      <c r="D14796">
        <v>3744</v>
      </c>
      <c r="E14796" t="s">
        <v>13</v>
      </c>
      <c r="F14796">
        <v>7</v>
      </c>
      <c r="G14796">
        <v>6</v>
      </c>
      <c r="H14796">
        <f t="shared" si="465"/>
        <v>1</v>
      </c>
    </row>
    <row r="14797" spans="1:8" x14ac:dyDescent="0.2">
      <c r="A14797" t="s">
        <v>7</v>
      </c>
      <c r="B14797" t="s">
        <v>34</v>
      </c>
      <c r="C14797" t="str">
        <f t="shared" si="466"/>
        <v>Cumple</v>
      </c>
      <c r="D14797">
        <v>3767</v>
      </c>
      <c r="E14797" t="s">
        <v>13</v>
      </c>
      <c r="F14797">
        <v>7</v>
      </c>
      <c r="G14797">
        <v>6</v>
      </c>
      <c r="H14797">
        <f t="shared" si="465"/>
        <v>1</v>
      </c>
    </row>
    <row r="14798" spans="1:8" x14ac:dyDescent="0.2">
      <c r="A14798" t="s">
        <v>7</v>
      </c>
      <c r="B14798" t="s">
        <v>34</v>
      </c>
      <c r="C14798" t="str">
        <f t="shared" si="466"/>
        <v>Cumple</v>
      </c>
      <c r="D14798">
        <v>3863</v>
      </c>
      <c r="E14798" t="s">
        <v>13</v>
      </c>
      <c r="F14798">
        <v>7</v>
      </c>
      <c r="G14798">
        <v>6</v>
      </c>
      <c r="H14798">
        <f t="shared" si="465"/>
        <v>1</v>
      </c>
    </row>
    <row r="14799" spans="1:8" x14ac:dyDescent="0.2">
      <c r="A14799" t="s">
        <v>7</v>
      </c>
      <c r="B14799" t="s">
        <v>34</v>
      </c>
      <c r="C14799" t="str">
        <f t="shared" si="466"/>
        <v>Cumple</v>
      </c>
      <c r="D14799">
        <v>9626</v>
      </c>
      <c r="E14799" t="s">
        <v>13</v>
      </c>
      <c r="F14799">
        <v>7</v>
      </c>
      <c r="G14799">
        <v>6</v>
      </c>
      <c r="H14799">
        <f t="shared" si="465"/>
        <v>1</v>
      </c>
    </row>
    <row r="14800" spans="1:8" x14ac:dyDescent="0.2">
      <c r="A14800" t="s">
        <v>7</v>
      </c>
      <c r="B14800" t="s">
        <v>34</v>
      </c>
      <c r="C14800" t="str">
        <f t="shared" si="466"/>
        <v>Cumple</v>
      </c>
      <c r="D14800">
        <v>9795</v>
      </c>
      <c r="E14800" t="s">
        <v>13</v>
      </c>
      <c r="F14800">
        <v>7</v>
      </c>
      <c r="G14800">
        <v>6</v>
      </c>
      <c r="H14800">
        <f t="shared" si="465"/>
        <v>1</v>
      </c>
    </row>
    <row r="14801" spans="1:8" x14ac:dyDescent="0.2">
      <c r="A14801" t="s">
        <v>7</v>
      </c>
      <c r="B14801" t="s">
        <v>34</v>
      </c>
      <c r="C14801" t="str">
        <f t="shared" si="466"/>
        <v>Cumple</v>
      </c>
      <c r="D14801">
        <v>4057</v>
      </c>
      <c r="E14801" t="s">
        <v>13</v>
      </c>
      <c r="F14801">
        <v>7</v>
      </c>
      <c r="G14801">
        <v>6</v>
      </c>
      <c r="H14801">
        <f t="shared" si="465"/>
        <v>1</v>
      </c>
    </row>
    <row r="14802" spans="1:8" x14ac:dyDescent="0.2">
      <c r="A14802" t="s">
        <v>7</v>
      </c>
      <c r="B14802" t="s">
        <v>34</v>
      </c>
      <c r="C14802" t="str">
        <f t="shared" si="466"/>
        <v>Cumple</v>
      </c>
      <c r="D14802">
        <v>4068</v>
      </c>
      <c r="E14802" t="s">
        <v>13</v>
      </c>
      <c r="F14802">
        <v>7</v>
      </c>
      <c r="G14802">
        <v>6</v>
      </c>
      <c r="H14802">
        <f t="shared" si="465"/>
        <v>1</v>
      </c>
    </row>
    <row r="14803" spans="1:8" x14ac:dyDescent="0.2">
      <c r="A14803" t="s">
        <v>7</v>
      </c>
      <c r="B14803" t="s">
        <v>34</v>
      </c>
      <c r="C14803" t="str">
        <f t="shared" si="466"/>
        <v>Cumple</v>
      </c>
      <c r="D14803">
        <v>220</v>
      </c>
      <c r="E14803" t="s">
        <v>13</v>
      </c>
      <c r="F14803">
        <v>6</v>
      </c>
      <c r="G14803">
        <v>6</v>
      </c>
      <c r="H14803">
        <f t="shared" si="465"/>
        <v>0</v>
      </c>
    </row>
    <row r="14804" spans="1:8" x14ac:dyDescent="0.2">
      <c r="A14804" t="s">
        <v>7</v>
      </c>
      <c r="B14804" t="s">
        <v>34</v>
      </c>
      <c r="C14804" t="str">
        <f t="shared" si="466"/>
        <v>Cumple</v>
      </c>
      <c r="D14804">
        <v>223</v>
      </c>
      <c r="E14804" t="s">
        <v>13</v>
      </c>
      <c r="F14804">
        <v>6</v>
      </c>
      <c r="G14804">
        <v>6</v>
      </c>
      <c r="H14804">
        <f t="shared" si="465"/>
        <v>0</v>
      </c>
    </row>
    <row r="14805" spans="1:8" x14ac:dyDescent="0.2">
      <c r="A14805" t="s">
        <v>7</v>
      </c>
      <c r="B14805" t="s">
        <v>34</v>
      </c>
      <c r="C14805" t="str">
        <f t="shared" si="466"/>
        <v>Cumple</v>
      </c>
      <c r="D14805">
        <v>807</v>
      </c>
      <c r="E14805" t="s">
        <v>13</v>
      </c>
      <c r="F14805">
        <v>6</v>
      </c>
      <c r="G14805">
        <v>6</v>
      </c>
      <c r="H14805">
        <f t="shared" si="465"/>
        <v>0</v>
      </c>
    </row>
    <row r="14806" spans="1:8" x14ac:dyDescent="0.2">
      <c r="A14806" t="s">
        <v>7</v>
      </c>
      <c r="B14806" t="s">
        <v>34</v>
      </c>
      <c r="C14806" t="str">
        <f t="shared" si="466"/>
        <v>Cumple</v>
      </c>
      <c r="D14806">
        <v>846</v>
      </c>
      <c r="E14806" t="s">
        <v>13</v>
      </c>
      <c r="F14806">
        <v>6</v>
      </c>
      <c r="G14806">
        <v>6</v>
      </c>
      <c r="H14806">
        <f t="shared" si="465"/>
        <v>0</v>
      </c>
    </row>
    <row r="14807" spans="1:8" x14ac:dyDescent="0.2">
      <c r="A14807" t="s">
        <v>7</v>
      </c>
      <c r="B14807" t="s">
        <v>34</v>
      </c>
      <c r="C14807" t="str">
        <f t="shared" si="466"/>
        <v>Cumple</v>
      </c>
      <c r="D14807">
        <v>917</v>
      </c>
      <c r="E14807" t="s">
        <v>13</v>
      </c>
      <c r="F14807">
        <v>6</v>
      </c>
      <c r="G14807">
        <v>6</v>
      </c>
      <c r="H14807">
        <f t="shared" si="465"/>
        <v>0</v>
      </c>
    </row>
    <row r="14808" spans="1:8" x14ac:dyDescent="0.2">
      <c r="A14808" t="s">
        <v>7</v>
      </c>
      <c r="B14808" t="s">
        <v>34</v>
      </c>
      <c r="C14808" t="str">
        <f t="shared" si="466"/>
        <v>Cumple</v>
      </c>
      <c r="D14808">
        <v>923</v>
      </c>
      <c r="E14808" t="s">
        <v>13</v>
      </c>
      <c r="F14808">
        <v>6</v>
      </c>
      <c r="G14808">
        <v>6</v>
      </c>
      <c r="H14808">
        <f t="shared" si="465"/>
        <v>0</v>
      </c>
    </row>
    <row r="14809" spans="1:8" x14ac:dyDescent="0.2">
      <c r="A14809" t="s">
        <v>7</v>
      </c>
      <c r="B14809" t="s">
        <v>34</v>
      </c>
      <c r="C14809" t="str">
        <f t="shared" si="466"/>
        <v>Cumple</v>
      </c>
      <c r="D14809">
        <v>950</v>
      </c>
      <c r="E14809" t="s">
        <v>13</v>
      </c>
      <c r="F14809">
        <v>6</v>
      </c>
      <c r="G14809">
        <v>6</v>
      </c>
      <c r="H14809">
        <f t="shared" si="465"/>
        <v>0</v>
      </c>
    </row>
    <row r="14810" spans="1:8" x14ac:dyDescent="0.2">
      <c r="A14810" t="s">
        <v>7</v>
      </c>
      <c r="B14810" t="s">
        <v>34</v>
      </c>
      <c r="C14810" t="str">
        <f t="shared" si="466"/>
        <v>Cumple</v>
      </c>
      <c r="D14810">
        <v>988</v>
      </c>
      <c r="E14810" t="s">
        <v>13</v>
      </c>
      <c r="F14810">
        <v>6</v>
      </c>
      <c r="G14810">
        <v>6</v>
      </c>
      <c r="H14810">
        <f t="shared" si="465"/>
        <v>0</v>
      </c>
    </row>
    <row r="14811" spans="1:8" x14ac:dyDescent="0.2">
      <c r="A14811" t="s">
        <v>7</v>
      </c>
      <c r="B14811" t="s">
        <v>34</v>
      </c>
      <c r="C14811" t="str">
        <f t="shared" si="466"/>
        <v>Cumple</v>
      </c>
      <c r="D14811">
        <v>1146</v>
      </c>
      <c r="E14811" t="s">
        <v>13</v>
      </c>
      <c r="F14811">
        <v>6</v>
      </c>
      <c r="G14811">
        <v>6</v>
      </c>
      <c r="H14811">
        <f t="shared" si="465"/>
        <v>0</v>
      </c>
    </row>
    <row r="14812" spans="1:8" x14ac:dyDescent="0.2">
      <c r="A14812" t="s">
        <v>7</v>
      </c>
      <c r="B14812" t="s">
        <v>34</v>
      </c>
      <c r="C14812" t="str">
        <f t="shared" si="466"/>
        <v>Cumple</v>
      </c>
      <c r="D14812">
        <v>1401</v>
      </c>
      <c r="E14812" t="s">
        <v>13</v>
      </c>
      <c r="F14812">
        <v>6</v>
      </c>
      <c r="G14812">
        <v>6</v>
      </c>
      <c r="H14812">
        <f t="shared" si="465"/>
        <v>0</v>
      </c>
    </row>
    <row r="14813" spans="1:8" x14ac:dyDescent="0.2">
      <c r="A14813" t="s">
        <v>7</v>
      </c>
      <c r="B14813" t="s">
        <v>34</v>
      </c>
      <c r="C14813" t="str">
        <f t="shared" si="466"/>
        <v>Cumple</v>
      </c>
      <c r="D14813">
        <v>1416</v>
      </c>
      <c r="E14813" t="s">
        <v>13</v>
      </c>
      <c r="F14813">
        <v>6</v>
      </c>
      <c r="G14813">
        <v>6</v>
      </c>
      <c r="H14813">
        <f t="shared" si="465"/>
        <v>0</v>
      </c>
    </row>
    <row r="14814" spans="1:8" x14ac:dyDescent="0.2">
      <c r="A14814" t="s">
        <v>7</v>
      </c>
      <c r="B14814" t="s">
        <v>34</v>
      </c>
      <c r="C14814" t="str">
        <f t="shared" si="466"/>
        <v>Cumple</v>
      </c>
      <c r="D14814">
        <v>1420</v>
      </c>
      <c r="E14814" t="s">
        <v>13</v>
      </c>
      <c r="F14814">
        <v>6</v>
      </c>
      <c r="G14814">
        <v>6</v>
      </c>
      <c r="H14814">
        <f t="shared" si="465"/>
        <v>0</v>
      </c>
    </row>
    <row r="14815" spans="1:8" x14ac:dyDescent="0.2">
      <c r="A14815" t="s">
        <v>7</v>
      </c>
      <c r="B14815" t="s">
        <v>34</v>
      </c>
      <c r="C14815" t="str">
        <f t="shared" si="466"/>
        <v>Cumple</v>
      </c>
      <c r="D14815">
        <v>1429</v>
      </c>
      <c r="E14815" t="s">
        <v>13</v>
      </c>
      <c r="F14815">
        <v>6</v>
      </c>
      <c r="G14815">
        <v>6</v>
      </c>
      <c r="H14815">
        <f t="shared" si="465"/>
        <v>0</v>
      </c>
    </row>
    <row r="14816" spans="1:8" x14ac:dyDescent="0.2">
      <c r="A14816" t="s">
        <v>7</v>
      </c>
      <c r="B14816" t="s">
        <v>34</v>
      </c>
      <c r="C14816" t="str">
        <f t="shared" si="466"/>
        <v>Cumple</v>
      </c>
      <c r="D14816">
        <v>1434</v>
      </c>
      <c r="E14816" t="s">
        <v>13</v>
      </c>
      <c r="F14816">
        <v>6</v>
      </c>
      <c r="G14816" s="9">
        <v>3</v>
      </c>
      <c r="H14816">
        <f t="shared" si="465"/>
        <v>3</v>
      </c>
    </row>
    <row r="14817" spans="1:8" x14ac:dyDescent="0.2">
      <c r="A14817" t="s">
        <v>7</v>
      </c>
      <c r="B14817" t="s">
        <v>34</v>
      </c>
      <c r="C14817" t="str">
        <f t="shared" si="466"/>
        <v>Cumple</v>
      </c>
      <c r="D14817">
        <v>1482</v>
      </c>
      <c r="E14817" t="s">
        <v>13</v>
      </c>
      <c r="F14817">
        <v>6</v>
      </c>
      <c r="G14817">
        <v>6</v>
      </c>
      <c r="H14817">
        <f t="shared" si="465"/>
        <v>0</v>
      </c>
    </row>
    <row r="14818" spans="1:8" x14ac:dyDescent="0.2">
      <c r="A14818" t="s">
        <v>7</v>
      </c>
      <c r="B14818" t="s">
        <v>34</v>
      </c>
      <c r="C14818" t="str">
        <f t="shared" si="466"/>
        <v>Cumple</v>
      </c>
      <c r="D14818">
        <v>1541</v>
      </c>
      <c r="E14818" t="s">
        <v>13</v>
      </c>
      <c r="F14818">
        <v>6</v>
      </c>
      <c r="G14818">
        <v>6</v>
      </c>
      <c r="H14818">
        <f t="shared" si="465"/>
        <v>0</v>
      </c>
    </row>
    <row r="14819" spans="1:8" x14ac:dyDescent="0.2">
      <c r="A14819" t="s">
        <v>7</v>
      </c>
      <c r="B14819" t="s">
        <v>34</v>
      </c>
      <c r="C14819" t="str">
        <f t="shared" si="466"/>
        <v>Cumple</v>
      </c>
      <c r="D14819">
        <v>1595</v>
      </c>
      <c r="E14819" t="s">
        <v>13</v>
      </c>
      <c r="F14819">
        <v>6</v>
      </c>
      <c r="G14819">
        <v>6</v>
      </c>
      <c r="H14819">
        <f t="shared" si="465"/>
        <v>0</v>
      </c>
    </row>
    <row r="14820" spans="1:8" x14ac:dyDescent="0.2">
      <c r="A14820" t="s">
        <v>7</v>
      </c>
      <c r="B14820" t="s">
        <v>34</v>
      </c>
      <c r="C14820" t="str">
        <f t="shared" si="466"/>
        <v>Cumple</v>
      </c>
      <c r="D14820">
        <v>1675</v>
      </c>
      <c r="E14820" t="s">
        <v>13</v>
      </c>
      <c r="F14820">
        <v>6</v>
      </c>
      <c r="G14820">
        <v>6</v>
      </c>
      <c r="H14820">
        <f t="shared" si="465"/>
        <v>0</v>
      </c>
    </row>
    <row r="14821" spans="1:8" x14ac:dyDescent="0.2">
      <c r="A14821" t="s">
        <v>7</v>
      </c>
      <c r="B14821" t="s">
        <v>34</v>
      </c>
      <c r="C14821" t="str">
        <f t="shared" si="466"/>
        <v>Cumple</v>
      </c>
      <c r="D14821">
        <v>1813</v>
      </c>
      <c r="E14821" t="s">
        <v>13</v>
      </c>
      <c r="F14821">
        <v>6</v>
      </c>
      <c r="G14821">
        <v>6</v>
      </c>
      <c r="H14821">
        <f t="shared" si="465"/>
        <v>0</v>
      </c>
    </row>
    <row r="14822" spans="1:8" x14ac:dyDescent="0.2">
      <c r="A14822" t="s">
        <v>7</v>
      </c>
      <c r="B14822" t="s">
        <v>34</v>
      </c>
      <c r="C14822" t="str">
        <f t="shared" si="466"/>
        <v>Cumple</v>
      </c>
      <c r="D14822">
        <v>1879</v>
      </c>
      <c r="E14822" t="s">
        <v>13</v>
      </c>
      <c r="F14822">
        <v>6</v>
      </c>
      <c r="G14822">
        <v>6</v>
      </c>
      <c r="H14822">
        <f t="shared" si="465"/>
        <v>0</v>
      </c>
    </row>
    <row r="14823" spans="1:8" x14ac:dyDescent="0.2">
      <c r="A14823" t="s">
        <v>7</v>
      </c>
      <c r="B14823" t="s">
        <v>34</v>
      </c>
      <c r="C14823" t="str">
        <f t="shared" si="466"/>
        <v>Cumple</v>
      </c>
      <c r="D14823">
        <v>2356</v>
      </c>
      <c r="E14823" t="s">
        <v>13</v>
      </c>
      <c r="F14823">
        <v>6</v>
      </c>
      <c r="G14823">
        <v>6</v>
      </c>
      <c r="H14823">
        <f t="shared" si="465"/>
        <v>0</v>
      </c>
    </row>
    <row r="14824" spans="1:8" x14ac:dyDescent="0.2">
      <c r="A14824" t="s">
        <v>7</v>
      </c>
      <c r="B14824" t="s">
        <v>34</v>
      </c>
      <c r="C14824" t="str">
        <f t="shared" si="466"/>
        <v>Cumple</v>
      </c>
      <c r="D14824">
        <v>3278</v>
      </c>
      <c r="E14824" t="s">
        <v>13</v>
      </c>
      <c r="F14824">
        <v>6</v>
      </c>
      <c r="G14824">
        <v>6</v>
      </c>
      <c r="H14824">
        <f t="shared" si="465"/>
        <v>0</v>
      </c>
    </row>
    <row r="14825" spans="1:8" x14ac:dyDescent="0.2">
      <c r="A14825" t="s">
        <v>7</v>
      </c>
      <c r="B14825" t="s">
        <v>34</v>
      </c>
      <c r="C14825" t="str">
        <f t="shared" si="466"/>
        <v>Cumple</v>
      </c>
      <c r="D14825">
        <v>3449</v>
      </c>
      <c r="E14825" t="s">
        <v>13</v>
      </c>
      <c r="F14825">
        <v>6</v>
      </c>
      <c r="G14825">
        <v>6</v>
      </c>
      <c r="H14825">
        <f t="shared" si="465"/>
        <v>0</v>
      </c>
    </row>
    <row r="14826" spans="1:8" x14ac:dyDescent="0.2">
      <c r="A14826" t="s">
        <v>7</v>
      </c>
      <c r="B14826" t="s">
        <v>34</v>
      </c>
      <c r="C14826" t="str">
        <f t="shared" si="466"/>
        <v>Cumple</v>
      </c>
      <c r="D14826">
        <v>3646</v>
      </c>
      <c r="E14826" t="s">
        <v>13</v>
      </c>
      <c r="F14826">
        <v>6</v>
      </c>
      <c r="G14826">
        <v>6</v>
      </c>
      <c r="H14826">
        <f t="shared" si="465"/>
        <v>0</v>
      </c>
    </row>
    <row r="14827" spans="1:8" x14ac:dyDescent="0.2">
      <c r="A14827" t="s">
        <v>7</v>
      </c>
      <c r="B14827" t="s">
        <v>34</v>
      </c>
      <c r="C14827" t="str">
        <f t="shared" si="466"/>
        <v>Cumple</v>
      </c>
      <c r="D14827">
        <v>3812</v>
      </c>
      <c r="E14827" t="s">
        <v>13</v>
      </c>
      <c r="F14827">
        <v>6</v>
      </c>
      <c r="G14827">
        <v>6</v>
      </c>
      <c r="H14827">
        <f t="shared" si="465"/>
        <v>0</v>
      </c>
    </row>
    <row r="14828" spans="1:8" x14ac:dyDescent="0.2">
      <c r="A14828" t="s">
        <v>7</v>
      </c>
      <c r="B14828" t="s">
        <v>34</v>
      </c>
      <c r="C14828" t="str">
        <f t="shared" si="466"/>
        <v>Cumple</v>
      </c>
      <c r="D14828">
        <v>3842</v>
      </c>
      <c r="E14828" t="s">
        <v>13</v>
      </c>
      <c r="F14828">
        <v>6</v>
      </c>
      <c r="G14828">
        <v>6</v>
      </c>
      <c r="H14828">
        <f t="shared" si="465"/>
        <v>0</v>
      </c>
    </row>
    <row r="14829" spans="1:8" x14ac:dyDescent="0.2">
      <c r="A14829" t="s">
        <v>7</v>
      </c>
      <c r="B14829" t="s">
        <v>34</v>
      </c>
      <c r="C14829" t="str">
        <f t="shared" si="466"/>
        <v>Cumple</v>
      </c>
      <c r="D14829">
        <v>3891</v>
      </c>
      <c r="E14829" t="s">
        <v>13</v>
      </c>
      <c r="F14829">
        <v>6</v>
      </c>
      <c r="G14829">
        <v>6</v>
      </c>
      <c r="H14829">
        <f t="shared" si="465"/>
        <v>0</v>
      </c>
    </row>
    <row r="14830" spans="1:8" x14ac:dyDescent="0.2">
      <c r="A14830" t="s">
        <v>7</v>
      </c>
      <c r="B14830" t="s">
        <v>34</v>
      </c>
      <c r="C14830" t="str">
        <f t="shared" si="466"/>
        <v>Cumple</v>
      </c>
      <c r="D14830">
        <v>3956</v>
      </c>
      <c r="E14830" t="s">
        <v>13</v>
      </c>
      <c r="F14830">
        <v>6</v>
      </c>
      <c r="G14830">
        <v>6</v>
      </c>
      <c r="H14830">
        <f t="shared" si="465"/>
        <v>0</v>
      </c>
    </row>
    <row r="14831" spans="1:8" x14ac:dyDescent="0.2">
      <c r="A14831" t="s">
        <v>7</v>
      </c>
      <c r="B14831" t="s">
        <v>34</v>
      </c>
      <c r="C14831" t="str">
        <f t="shared" si="466"/>
        <v>Cumple</v>
      </c>
      <c r="D14831">
        <v>9102</v>
      </c>
      <c r="E14831" t="s">
        <v>13</v>
      </c>
      <c r="F14831">
        <v>6</v>
      </c>
      <c r="G14831">
        <v>6</v>
      </c>
      <c r="H14831">
        <f t="shared" si="465"/>
        <v>0</v>
      </c>
    </row>
    <row r="14832" spans="1:8" x14ac:dyDescent="0.2">
      <c r="A14832" t="s">
        <v>7</v>
      </c>
      <c r="B14832" t="s">
        <v>34</v>
      </c>
      <c r="C14832" t="str">
        <f t="shared" si="466"/>
        <v>Cumple</v>
      </c>
      <c r="D14832">
        <v>9246</v>
      </c>
      <c r="E14832" t="s">
        <v>13</v>
      </c>
      <c r="F14832">
        <v>6</v>
      </c>
      <c r="G14832">
        <v>6</v>
      </c>
      <c r="H14832">
        <f t="shared" si="465"/>
        <v>0</v>
      </c>
    </row>
    <row r="14833" spans="1:8" x14ac:dyDescent="0.2">
      <c r="A14833" t="s">
        <v>7</v>
      </c>
      <c r="B14833" t="s">
        <v>34</v>
      </c>
      <c r="C14833" t="str">
        <f t="shared" si="466"/>
        <v>Cumple</v>
      </c>
      <c r="D14833">
        <v>9382</v>
      </c>
      <c r="E14833" t="s">
        <v>13</v>
      </c>
      <c r="F14833">
        <v>6</v>
      </c>
      <c r="G14833">
        <v>6</v>
      </c>
      <c r="H14833">
        <f t="shared" si="465"/>
        <v>0</v>
      </c>
    </row>
    <row r="14834" spans="1:8" x14ac:dyDescent="0.2">
      <c r="A14834" t="s">
        <v>7</v>
      </c>
      <c r="B14834" t="s">
        <v>34</v>
      </c>
      <c r="C14834" t="str">
        <f t="shared" si="466"/>
        <v>Cumple</v>
      </c>
      <c r="D14834">
        <v>9490</v>
      </c>
      <c r="E14834" t="s">
        <v>13</v>
      </c>
      <c r="F14834">
        <v>6</v>
      </c>
      <c r="G14834">
        <v>6</v>
      </c>
      <c r="H14834">
        <f t="shared" si="465"/>
        <v>0</v>
      </c>
    </row>
    <row r="14835" spans="1:8" x14ac:dyDescent="0.2">
      <c r="A14835" t="s">
        <v>7</v>
      </c>
      <c r="B14835" t="s">
        <v>34</v>
      </c>
      <c r="C14835" t="str">
        <f t="shared" si="466"/>
        <v>Cumple</v>
      </c>
      <c r="D14835">
        <v>9637</v>
      </c>
      <c r="E14835" t="s">
        <v>13</v>
      </c>
      <c r="F14835">
        <v>6</v>
      </c>
      <c r="G14835">
        <v>6</v>
      </c>
      <c r="H14835">
        <f t="shared" si="465"/>
        <v>0</v>
      </c>
    </row>
    <row r="14836" spans="1:8" x14ac:dyDescent="0.2">
      <c r="A14836" t="s">
        <v>7</v>
      </c>
      <c r="B14836" t="s">
        <v>34</v>
      </c>
      <c r="C14836" t="str">
        <f t="shared" si="466"/>
        <v>Cumple</v>
      </c>
      <c r="D14836">
        <v>9686</v>
      </c>
      <c r="E14836" t="s">
        <v>13</v>
      </c>
      <c r="F14836">
        <v>6</v>
      </c>
      <c r="G14836">
        <v>6</v>
      </c>
      <c r="H14836">
        <f t="shared" si="465"/>
        <v>0</v>
      </c>
    </row>
    <row r="14837" spans="1:8" x14ac:dyDescent="0.2">
      <c r="A14837" t="s">
        <v>7</v>
      </c>
      <c r="B14837" t="s">
        <v>34</v>
      </c>
      <c r="C14837" t="str">
        <f t="shared" si="466"/>
        <v>Cumple</v>
      </c>
      <c r="D14837">
        <v>9938</v>
      </c>
      <c r="E14837" t="s">
        <v>13</v>
      </c>
      <c r="F14837">
        <v>6</v>
      </c>
      <c r="G14837">
        <v>6</v>
      </c>
      <c r="H14837">
        <f t="shared" si="465"/>
        <v>0</v>
      </c>
    </row>
    <row r="14838" spans="1:8" x14ac:dyDescent="0.2">
      <c r="A14838" t="s">
        <v>7</v>
      </c>
      <c r="B14838" t="s">
        <v>34</v>
      </c>
      <c r="C14838" t="str">
        <f t="shared" si="466"/>
        <v>Cumple</v>
      </c>
      <c r="D14838">
        <v>4044</v>
      </c>
      <c r="E14838" t="s">
        <v>13</v>
      </c>
      <c r="F14838">
        <v>6</v>
      </c>
      <c r="G14838">
        <v>6</v>
      </c>
      <c r="H14838">
        <f t="shared" si="465"/>
        <v>0</v>
      </c>
    </row>
    <row r="14839" spans="1:8" x14ac:dyDescent="0.2">
      <c r="A14839" t="s">
        <v>7</v>
      </c>
      <c r="B14839" t="s">
        <v>34</v>
      </c>
      <c r="C14839" t="str">
        <f t="shared" si="466"/>
        <v>No cumple</v>
      </c>
      <c r="D14839">
        <v>205</v>
      </c>
      <c r="E14839" t="s">
        <v>13</v>
      </c>
      <c r="F14839">
        <v>5</v>
      </c>
      <c r="G14839">
        <v>6</v>
      </c>
      <c r="H14839">
        <f t="shared" si="465"/>
        <v>-1</v>
      </c>
    </row>
    <row r="14840" spans="1:8" x14ac:dyDescent="0.2">
      <c r="A14840" t="s">
        <v>7</v>
      </c>
      <c r="B14840" t="s">
        <v>34</v>
      </c>
      <c r="C14840" t="str">
        <f t="shared" si="466"/>
        <v>No cumple</v>
      </c>
      <c r="D14840">
        <v>222</v>
      </c>
      <c r="E14840" t="s">
        <v>13</v>
      </c>
      <c r="F14840">
        <v>5</v>
      </c>
      <c r="G14840">
        <v>6</v>
      </c>
      <c r="H14840">
        <f t="shared" si="465"/>
        <v>-1</v>
      </c>
    </row>
    <row r="14841" spans="1:8" x14ac:dyDescent="0.2">
      <c r="A14841" t="s">
        <v>7</v>
      </c>
      <c r="B14841" t="s">
        <v>34</v>
      </c>
      <c r="C14841" t="str">
        <f t="shared" si="466"/>
        <v>No cumple</v>
      </c>
      <c r="D14841">
        <v>766</v>
      </c>
      <c r="E14841" t="s">
        <v>13</v>
      </c>
      <c r="F14841">
        <v>5</v>
      </c>
      <c r="G14841">
        <v>6</v>
      </c>
      <c r="H14841">
        <f t="shared" si="465"/>
        <v>-1</v>
      </c>
    </row>
    <row r="14842" spans="1:8" x14ac:dyDescent="0.2">
      <c r="A14842" t="s">
        <v>7</v>
      </c>
      <c r="B14842" t="s">
        <v>34</v>
      </c>
      <c r="C14842" t="str">
        <f t="shared" si="466"/>
        <v>No cumple</v>
      </c>
      <c r="D14842">
        <v>803</v>
      </c>
      <c r="E14842" t="s">
        <v>13</v>
      </c>
      <c r="F14842">
        <v>5</v>
      </c>
      <c r="G14842">
        <v>6</v>
      </c>
      <c r="H14842">
        <f t="shared" si="465"/>
        <v>-1</v>
      </c>
    </row>
    <row r="14843" spans="1:8" x14ac:dyDescent="0.2">
      <c r="A14843" t="s">
        <v>7</v>
      </c>
      <c r="B14843" t="s">
        <v>34</v>
      </c>
      <c r="C14843" t="str">
        <f t="shared" si="466"/>
        <v>No cumple</v>
      </c>
      <c r="D14843">
        <v>879</v>
      </c>
      <c r="E14843" t="s">
        <v>13</v>
      </c>
      <c r="F14843">
        <v>5</v>
      </c>
      <c r="G14843">
        <v>6</v>
      </c>
      <c r="H14843">
        <f t="shared" si="465"/>
        <v>-1</v>
      </c>
    </row>
    <row r="14844" spans="1:8" x14ac:dyDescent="0.2">
      <c r="A14844" t="s">
        <v>7</v>
      </c>
      <c r="B14844" t="s">
        <v>34</v>
      </c>
      <c r="C14844" t="str">
        <f t="shared" si="466"/>
        <v>No cumple</v>
      </c>
      <c r="D14844">
        <v>1423</v>
      </c>
      <c r="E14844" t="s">
        <v>13</v>
      </c>
      <c r="F14844">
        <v>5</v>
      </c>
      <c r="G14844">
        <v>6</v>
      </c>
      <c r="H14844">
        <f t="shared" si="465"/>
        <v>-1</v>
      </c>
    </row>
    <row r="14845" spans="1:8" x14ac:dyDescent="0.2">
      <c r="A14845" t="s">
        <v>7</v>
      </c>
      <c r="B14845" t="s">
        <v>34</v>
      </c>
      <c r="C14845" t="str">
        <f t="shared" si="466"/>
        <v>No cumple</v>
      </c>
      <c r="D14845">
        <v>1466</v>
      </c>
      <c r="E14845" t="s">
        <v>13</v>
      </c>
      <c r="F14845">
        <v>5</v>
      </c>
      <c r="G14845">
        <v>6</v>
      </c>
      <c r="H14845">
        <f t="shared" ref="H14845:H14908" si="467">F14845-G14845</f>
        <v>-1</v>
      </c>
    </row>
    <row r="14846" spans="1:8" x14ac:dyDescent="0.2">
      <c r="A14846" t="s">
        <v>7</v>
      </c>
      <c r="B14846" t="s">
        <v>34</v>
      </c>
      <c r="C14846" t="str">
        <f t="shared" si="466"/>
        <v>No cumple</v>
      </c>
      <c r="D14846">
        <v>1774</v>
      </c>
      <c r="E14846" t="s">
        <v>13</v>
      </c>
      <c r="F14846">
        <v>5</v>
      </c>
      <c r="G14846">
        <v>6</v>
      </c>
      <c r="H14846">
        <f t="shared" si="467"/>
        <v>-1</v>
      </c>
    </row>
    <row r="14847" spans="1:8" x14ac:dyDescent="0.2">
      <c r="A14847" t="s">
        <v>7</v>
      </c>
      <c r="B14847" t="s">
        <v>34</v>
      </c>
      <c r="C14847" t="str">
        <f t="shared" si="466"/>
        <v>No cumple</v>
      </c>
      <c r="D14847">
        <v>2014</v>
      </c>
      <c r="E14847" t="s">
        <v>13</v>
      </c>
      <c r="F14847">
        <v>5</v>
      </c>
      <c r="G14847">
        <v>6</v>
      </c>
      <c r="H14847">
        <f t="shared" si="467"/>
        <v>-1</v>
      </c>
    </row>
    <row r="14848" spans="1:8" x14ac:dyDescent="0.2">
      <c r="A14848" t="s">
        <v>7</v>
      </c>
      <c r="B14848" t="s">
        <v>34</v>
      </c>
      <c r="C14848" t="str">
        <f t="shared" si="466"/>
        <v>No cumple</v>
      </c>
      <c r="D14848">
        <v>2850</v>
      </c>
      <c r="E14848" t="s">
        <v>13</v>
      </c>
      <c r="F14848">
        <v>5</v>
      </c>
      <c r="G14848">
        <v>6</v>
      </c>
      <c r="H14848">
        <f t="shared" si="467"/>
        <v>-1</v>
      </c>
    </row>
    <row r="14849" spans="1:8" x14ac:dyDescent="0.2">
      <c r="A14849" t="s">
        <v>7</v>
      </c>
      <c r="B14849" t="s">
        <v>34</v>
      </c>
      <c r="C14849" t="str">
        <f t="shared" si="466"/>
        <v>No cumple</v>
      </c>
      <c r="D14849">
        <v>2862</v>
      </c>
      <c r="E14849" t="s">
        <v>13</v>
      </c>
      <c r="F14849">
        <v>5</v>
      </c>
      <c r="G14849">
        <v>6</v>
      </c>
      <c r="H14849">
        <f t="shared" si="467"/>
        <v>-1</v>
      </c>
    </row>
    <row r="14850" spans="1:8" x14ac:dyDescent="0.2">
      <c r="A14850" t="s">
        <v>7</v>
      </c>
      <c r="B14850" t="s">
        <v>34</v>
      </c>
      <c r="C14850" t="str">
        <f t="shared" si="466"/>
        <v>No cumple</v>
      </c>
      <c r="D14850">
        <v>2864</v>
      </c>
      <c r="E14850" t="s">
        <v>13</v>
      </c>
      <c r="F14850">
        <v>5</v>
      </c>
      <c r="G14850">
        <v>6</v>
      </c>
      <c r="H14850">
        <f t="shared" si="467"/>
        <v>-1</v>
      </c>
    </row>
    <row r="14851" spans="1:8" x14ac:dyDescent="0.2">
      <c r="A14851" t="s">
        <v>7</v>
      </c>
      <c r="B14851" t="s">
        <v>34</v>
      </c>
      <c r="C14851" t="str">
        <f t="shared" si="466"/>
        <v>No cumple</v>
      </c>
      <c r="D14851">
        <v>2963</v>
      </c>
      <c r="E14851" t="s">
        <v>13</v>
      </c>
      <c r="F14851">
        <v>5</v>
      </c>
      <c r="G14851">
        <v>6</v>
      </c>
      <c r="H14851">
        <f t="shared" si="467"/>
        <v>-1</v>
      </c>
    </row>
    <row r="14852" spans="1:8" x14ac:dyDescent="0.2">
      <c r="A14852" t="s">
        <v>7</v>
      </c>
      <c r="B14852" t="s">
        <v>34</v>
      </c>
      <c r="C14852" t="str">
        <f t="shared" si="466"/>
        <v>No cumple</v>
      </c>
      <c r="D14852">
        <v>2986</v>
      </c>
      <c r="E14852" t="s">
        <v>13</v>
      </c>
      <c r="F14852">
        <v>5</v>
      </c>
      <c r="G14852">
        <v>6</v>
      </c>
      <c r="H14852">
        <f t="shared" si="467"/>
        <v>-1</v>
      </c>
    </row>
    <row r="14853" spans="1:8" x14ac:dyDescent="0.2">
      <c r="A14853" t="s">
        <v>7</v>
      </c>
      <c r="B14853" t="s">
        <v>34</v>
      </c>
      <c r="C14853" t="str">
        <f t="shared" ref="C14853:C14916" si="468">IF(H14853&gt;=0,"Cumple","No cumple")</f>
        <v>No cumple</v>
      </c>
      <c r="D14853">
        <v>3079</v>
      </c>
      <c r="E14853" t="s">
        <v>13</v>
      </c>
      <c r="F14853">
        <v>5</v>
      </c>
      <c r="G14853">
        <v>6</v>
      </c>
      <c r="H14853">
        <f t="shared" si="467"/>
        <v>-1</v>
      </c>
    </row>
    <row r="14854" spans="1:8" x14ac:dyDescent="0.2">
      <c r="A14854" t="s">
        <v>7</v>
      </c>
      <c r="B14854" t="s">
        <v>34</v>
      </c>
      <c r="C14854" t="str">
        <f t="shared" si="468"/>
        <v>No cumple</v>
      </c>
      <c r="D14854">
        <v>3643</v>
      </c>
      <c r="E14854" t="s">
        <v>13</v>
      </c>
      <c r="F14854">
        <v>5</v>
      </c>
      <c r="G14854">
        <v>6</v>
      </c>
      <c r="H14854">
        <f t="shared" si="467"/>
        <v>-1</v>
      </c>
    </row>
    <row r="14855" spans="1:8" x14ac:dyDescent="0.2">
      <c r="A14855" t="s">
        <v>7</v>
      </c>
      <c r="B14855" t="s">
        <v>34</v>
      </c>
      <c r="C14855" t="str">
        <f t="shared" si="468"/>
        <v>No cumple</v>
      </c>
      <c r="D14855">
        <v>3694</v>
      </c>
      <c r="E14855" t="s">
        <v>13</v>
      </c>
      <c r="F14855">
        <v>5</v>
      </c>
      <c r="G14855">
        <v>6</v>
      </c>
      <c r="H14855">
        <f t="shared" si="467"/>
        <v>-1</v>
      </c>
    </row>
    <row r="14856" spans="1:8" x14ac:dyDescent="0.2">
      <c r="A14856" t="s">
        <v>7</v>
      </c>
      <c r="B14856" t="s">
        <v>34</v>
      </c>
      <c r="C14856" t="str">
        <f t="shared" si="468"/>
        <v>No cumple</v>
      </c>
      <c r="D14856">
        <v>3797</v>
      </c>
      <c r="E14856" t="s">
        <v>13</v>
      </c>
      <c r="F14856">
        <v>5</v>
      </c>
      <c r="G14856">
        <v>6</v>
      </c>
      <c r="H14856">
        <f t="shared" si="467"/>
        <v>-1</v>
      </c>
    </row>
    <row r="14857" spans="1:8" x14ac:dyDescent="0.2">
      <c r="A14857" t="s">
        <v>7</v>
      </c>
      <c r="B14857" t="s">
        <v>34</v>
      </c>
      <c r="C14857" t="str">
        <f t="shared" si="468"/>
        <v>No cumple</v>
      </c>
      <c r="D14857">
        <v>3868</v>
      </c>
      <c r="E14857" t="s">
        <v>13</v>
      </c>
      <c r="F14857">
        <v>5</v>
      </c>
      <c r="G14857">
        <v>6</v>
      </c>
      <c r="H14857">
        <f t="shared" si="467"/>
        <v>-1</v>
      </c>
    </row>
    <row r="14858" spans="1:8" x14ac:dyDescent="0.2">
      <c r="A14858" t="s">
        <v>7</v>
      </c>
      <c r="B14858" t="s">
        <v>34</v>
      </c>
      <c r="C14858" t="str">
        <f t="shared" si="468"/>
        <v>No cumple</v>
      </c>
      <c r="D14858">
        <v>3926</v>
      </c>
      <c r="E14858" t="s">
        <v>13</v>
      </c>
      <c r="F14858">
        <v>5</v>
      </c>
      <c r="G14858">
        <v>6</v>
      </c>
      <c r="H14858">
        <f t="shared" si="467"/>
        <v>-1</v>
      </c>
    </row>
    <row r="14859" spans="1:8" x14ac:dyDescent="0.2">
      <c r="A14859" t="s">
        <v>7</v>
      </c>
      <c r="B14859" t="s">
        <v>34</v>
      </c>
      <c r="C14859" t="str">
        <f t="shared" si="468"/>
        <v>No cumple</v>
      </c>
      <c r="D14859">
        <v>3927</v>
      </c>
      <c r="E14859" t="s">
        <v>13</v>
      </c>
      <c r="F14859">
        <v>5</v>
      </c>
      <c r="G14859">
        <v>6</v>
      </c>
      <c r="H14859">
        <f t="shared" si="467"/>
        <v>-1</v>
      </c>
    </row>
    <row r="14860" spans="1:8" x14ac:dyDescent="0.2">
      <c r="A14860" t="s">
        <v>7</v>
      </c>
      <c r="B14860" t="s">
        <v>34</v>
      </c>
      <c r="C14860" t="str">
        <f t="shared" si="468"/>
        <v>No cumple</v>
      </c>
      <c r="D14860">
        <v>9020</v>
      </c>
      <c r="E14860" t="s">
        <v>13</v>
      </c>
      <c r="F14860">
        <v>5</v>
      </c>
      <c r="G14860">
        <v>6</v>
      </c>
      <c r="H14860">
        <f t="shared" si="467"/>
        <v>-1</v>
      </c>
    </row>
    <row r="14861" spans="1:8" x14ac:dyDescent="0.2">
      <c r="A14861" t="s">
        <v>7</v>
      </c>
      <c r="B14861" t="s">
        <v>34</v>
      </c>
      <c r="C14861" t="str">
        <f t="shared" si="468"/>
        <v>No cumple</v>
      </c>
      <c r="D14861">
        <v>9158</v>
      </c>
      <c r="E14861" t="s">
        <v>13</v>
      </c>
      <c r="F14861">
        <v>5</v>
      </c>
      <c r="G14861">
        <v>6</v>
      </c>
      <c r="H14861">
        <f t="shared" si="467"/>
        <v>-1</v>
      </c>
    </row>
    <row r="14862" spans="1:8" x14ac:dyDescent="0.2">
      <c r="A14862" t="s">
        <v>7</v>
      </c>
      <c r="B14862" t="s">
        <v>34</v>
      </c>
      <c r="C14862" t="str">
        <f t="shared" si="468"/>
        <v>No cumple</v>
      </c>
      <c r="D14862">
        <v>9434</v>
      </c>
      <c r="E14862" t="s">
        <v>13</v>
      </c>
      <c r="F14862">
        <v>5</v>
      </c>
      <c r="G14862">
        <v>6</v>
      </c>
      <c r="H14862">
        <f t="shared" si="467"/>
        <v>-1</v>
      </c>
    </row>
    <row r="14863" spans="1:8" x14ac:dyDescent="0.2">
      <c r="A14863" t="s">
        <v>7</v>
      </c>
      <c r="B14863" t="s">
        <v>34</v>
      </c>
      <c r="C14863" t="str">
        <f t="shared" si="468"/>
        <v>No cumple</v>
      </c>
      <c r="D14863">
        <v>9685</v>
      </c>
      <c r="E14863" t="s">
        <v>13</v>
      </c>
      <c r="F14863">
        <v>5</v>
      </c>
      <c r="G14863">
        <v>6</v>
      </c>
      <c r="H14863">
        <f t="shared" si="467"/>
        <v>-1</v>
      </c>
    </row>
    <row r="14864" spans="1:8" x14ac:dyDescent="0.2">
      <c r="A14864" t="s">
        <v>7</v>
      </c>
      <c r="B14864" t="s">
        <v>34</v>
      </c>
      <c r="C14864" t="str">
        <f t="shared" si="468"/>
        <v>No cumple</v>
      </c>
      <c r="D14864">
        <v>9743</v>
      </c>
      <c r="E14864" t="s">
        <v>13</v>
      </c>
      <c r="F14864">
        <v>5</v>
      </c>
      <c r="G14864">
        <v>6</v>
      </c>
      <c r="H14864">
        <f t="shared" si="467"/>
        <v>-1</v>
      </c>
    </row>
    <row r="14865" spans="1:8" x14ac:dyDescent="0.2">
      <c r="A14865" t="s">
        <v>7</v>
      </c>
      <c r="B14865" t="s">
        <v>34</v>
      </c>
      <c r="C14865" t="str">
        <f t="shared" si="468"/>
        <v>No cumple</v>
      </c>
      <c r="D14865">
        <v>774</v>
      </c>
      <c r="E14865" t="s">
        <v>13</v>
      </c>
      <c r="F14865">
        <v>5</v>
      </c>
      <c r="G14865">
        <v>6</v>
      </c>
      <c r="H14865">
        <f t="shared" si="467"/>
        <v>-1</v>
      </c>
    </row>
    <row r="14866" spans="1:8" x14ac:dyDescent="0.2">
      <c r="A14866" t="s">
        <v>7</v>
      </c>
      <c r="B14866" t="s">
        <v>34</v>
      </c>
      <c r="C14866" t="str">
        <f t="shared" si="468"/>
        <v>No cumple</v>
      </c>
      <c r="D14866">
        <v>4045</v>
      </c>
      <c r="E14866" t="s">
        <v>13</v>
      </c>
      <c r="F14866">
        <v>5</v>
      </c>
      <c r="G14866">
        <v>6</v>
      </c>
      <c r="H14866">
        <f t="shared" si="467"/>
        <v>-1</v>
      </c>
    </row>
    <row r="14867" spans="1:8" x14ac:dyDescent="0.2">
      <c r="A14867" t="s">
        <v>7</v>
      </c>
      <c r="B14867" t="s">
        <v>34</v>
      </c>
      <c r="C14867" t="str">
        <f t="shared" si="468"/>
        <v>No cumple</v>
      </c>
      <c r="D14867">
        <v>4055</v>
      </c>
      <c r="E14867" t="s">
        <v>13</v>
      </c>
      <c r="F14867">
        <v>5</v>
      </c>
      <c r="G14867">
        <v>6</v>
      </c>
      <c r="H14867">
        <f t="shared" si="467"/>
        <v>-1</v>
      </c>
    </row>
    <row r="14868" spans="1:8" x14ac:dyDescent="0.2">
      <c r="A14868" t="s">
        <v>7</v>
      </c>
      <c r="B14868" t="s">
        <v>34</v>
      </c>
      <c r="C14868" t="str">
        <f t="shared" si="468"/>
        <v>No cumple</v>
      </c>
      <c r="D14868">
        <v>207</v>
      </c>
      <c r="E14868" t="s">
        <v>13</v>
      </c>
      <c r="F14868">
        <v>4</v>
      </c>
      <c r="G14868">
        <v>6</v>
      </c>
      <c r="H14868">
        <f t="shared" si="467"/>
        <v>-2</v>
      </c>
    </row>
    <row r="14869" spans="1:8" x14ac:dyDescent="0.2">
      <c r="A14869" t="s">
        <v>7</v>
      </c>
      <c r="B14869" t="s">
        <v>34</v>
      </c>
      <c r="C14869" t="str">
        <f t="shared" si="468"/>
        <v>No cumple</v>
      </c>
      <c r="D14869">
        <v>248</v>
      </c>
      <c r="E14869" t="s">
        <v>13</v>
      </c>
      <c r="F14869">
        <v>4</v>
      </c>
      <c r="G14869">
        <v>6</v>
      </c>
      <c r="H14869">
        <f t="shared" si="467"/>
        <v>-2</v>
      </c>
    </row>
    <row r="14870" spans="1:8" x14ac:dyDescent="0.2">
      <c r="A14870" t="s">
        <v>7</v>
      </c>
      <c r="B14870" t="s">
        <v>34</v>
      </c>
      <c r="C14870" t="str">
        <f t="shared" si="468"/>
        <v>No cumple</v>
      </c>
      <c r="D14870">
        <v>498</v>
      </c>
      <c r="E14870" t="s">
        <v>13</v>
      </c>
      <c r="F14870">
        <v>4</v>
      </c>
      <c r="G14870">
        <v>6</v>
      </c>
      <c r="H14870">
        <f t="shared" si="467"/>
        <v>-2</v>
      </c>
    </row>
    <row r="14871" spans="1:8" x14ac:dyDescent="0.2">
      <c r="A14871" t="s">
        <v>7</v>
      </c>
      <c r="B14871" t="s">
        <v>34</v>
      </c>
      <c r="C14871" t="str">
        <f t="shared" si="468"/>
        <v>No cumple</v>
      </c>
      <c r="D14871">
        <v>679</v>
      </c>
      <c r="E14871" t="s">
        <v>13</v>
      </c>
      <c r="F14871">
        <v>4</v>
      </c>
      <c r="G14871">
        <v>6</v>
      </c>
      <c r="H14871">
        <f t="shared" si="467"/>
        <v>-2</v>
      </c>
    </row>
    <row r="14872" spans="1:8" x14ac:dyDescent="0.2">
      <c r="A14872" t="s">
        <v>7</v>
      </c>
      <c r="B14872" t="s">
        <v>34</v>
      </c>
      <c r="C14872" t="str">
        <f t="shared" si="468"/>
        <v>No cumple</v>
      </c>
      <c r="D14872">
        <v>795</v>
      </c>
      <c r="E14872" t="s">
        <v>13</v>
      </c>
      <c r="F14872">
        <v>4</v>
      </c>
      <c r="G14872">
        <v>6</v>
      </c>
      <c r="H14872">
        <f t="shared" si="467"/>
        <v>-2</v>
      </c>
    </row>
    <row r="14873" spans="1:8" x14ac:dyDescent="0.2">
      <c r="A14873" t="s">
        <v>7</v>
      </c>
      <c r="B14873" t="s">
        <v>34</v>
      </c>
      <c r="C14873" t="str">
        <f t="shared" si="468"/>
        <v>No cumple</v>
      </c>
      <c r="D14873">
        <v>837</v>
      </c>
      <c r="E14873" t="s">
        <v>13</v>
      </c>
      <c r="F14873">
        <v>4</v>
      </c>
      <c r="G14873">
        <v>6</v>
      </c>
      <c r="H14873">
        <f t="shared" si="467"/>
        <v>-2</v>
      </c>
    </row>
    <row r="14874" spans="1:8" x14ac:dyDescent="0.2">
      <c r="A14874" t="s">
        <v>7</v>
      </c>
      <c r="B14874" t="s">
        <v>34</v>
      </c>
      <c r="C14874" t="str">
        <f t="shared" si="468"/>
        <v>No cumple</v>
      </c>
      <c r="D14874">
        <v>870</v>
      </c>
      <c r="E14874" t="s">
        <v>13</v>
      </c>
      <c r="F14874">
        <v>4</v>
      </c>
      <c r="G14874">
        <v>6</v>
      </c>
      <c r="H14874">
        <f t="shared" si="467"/>
        <v>-2</v>
      </c>
    </row>
    <row r="14875" spans="1:8" x14ac:dyDescent="0.2">
      <c r="A14875" t="s">
        <v>7</v>
      </c>
      <c r="B14875" t="s">
        <v>34</v>
      </c>
      <c r="C14875" t="str">
        <f t="shared" si="468"/>
        <v>No cumple</v>
      </c>
      <c r="D14875">
        <v>1224</v>
      </c>
      <c r="E14875" t="s">
        <v>13</v>
      </c>
      <c r="F14875">
        <v>4</v>
      </c>
      <c r="G14875">
        <v>6</v>
      </c>
      <c r="H14875">
        <f t="shared" si="467"/>
        <v>-2</v>
      </c>
    </row>
    <row r="14876" spans="1:8" x14ac:dyDescent="0.2">
      <c r="A14876" t="s">
        <v>7</v>
      </c>
      <c r="B14876" t="s">
        <v>34</v>
      </c>
      <c r="C14876" t="str">
        <f t="shared" si="468"/>
        <v>No cumple</v>
      </c>
      <c r="D14876">
        <v>1458</v>
      </c>
      <c r="E14876" t="s">
        <v>13</v>
      </c>
      <c r="F14876">
        <v>4</v>
      </c>
      <c r="G14876">
        <v>6</v>
      </c>
      <c r="H14876">
        <f t="shared" si="467"/>
        <v>-2</v>
      </c>
    </row>
    <row r="14877" spans="1:8" x14ac:dyDescent="0.2">
      <c r="A14877" t="s">
        <v>7</v>
      </c>
      <c r="B14877" t="s">
        <v>34</v>
      </c>
      <c r="C14877" t="str">
        <f t="shared" si="468"/>
        <v>No cumple</v>
      </c>
      <c r="D14877">
        <v>1502</v>
      </c>
      <c r="E14877" t="s">
        <v>13</v>
      </c>
      <c r="F14877">
        <v>4</v>
      </c>
      <c r="G14877">
        <v>6</v>
      </c>
      <c r="H14877">
        <f t="shared" si="467"/>
        <v>-2</v>
      </c>
    </row>
    <row r="14878" spans="1:8" x14ac:dyDescent="0.2">
      <c r="A14878" t="s">
        <v>7</v>
      </c>
      <c r="B14878" t="s">
        <v>34</v>
      </c>
      <c r="C14878" t="str">
        <f t="shared" si="468"/>
        <v>No cumple</v>
      </c>
      <c r="D14878">
        <v>1584</v>
      </c>
      <c r="E14878" t="s">
        <v>13</v>
      </c>
      <c r="F14878">
        <v>4</v>
      </c>
      <c r="G14878">
        <v>6</v>
      </c>
      <c r="H14878">
        <f t="shared" si="467"/>
        <v>-2</v>
      </c>
    </row>
    <row r="14879" spans="1:8" x14ac:dyDescent="0.2">
      <c r="A14879" t="s">
        <v>7</v>
      </c>
      <c r="B14879" t="s">
        <v>34</v>
      </c>
      <c r="C14879" t="str">
        <f t="shared" si="468"/>
        <v>No cumple</v>
      </c>
      <c r="D14879">
        <v>1773</v>
      </c>
      <c r="E14879" t="s">
        <v>13</v>
      </c>
      <c r="F14879">
        <v>4</v>
      </c>
      <c r="G14879">
        <v>6</v>
      </c>
      <c r="H14879">
        <f t="shared" si="467"/>
        <v>-2</v>
      </c>
    </row>
    <row r="14880" spans="1:8" x14ac:dyDescent="0.2">
      <c r="A14880" t="s">
        <v>7</v>
      </c>
      <c r="B14880" t="s">
        <v>34</v>
      </c>
      <c r="C14880" t="str">
        <f t="shared" si="468"/>
        <v>No cumple</v>
      </c>
      <c r="D14880">
        <v>1812</v>
      </c>
      <c r="E14880" t="s">
        <v>13</v>
      </c>
      <c r="F14880">
        <v>4</v>
      </c>
      <c r="G14880">
        <v>6</v>
      </c>
      <c r="H14880">
        <f t="shared" si="467"/>
        <v>-2</v>
      </c>
    </row>
    <row r="14881" spans="1:8" x14ac:dyDescent="0.2">
      <c r="A14881" t="s">
        <v>7</v>
      </c>
      <c r="B14881" t="s">
        <v>34</v>
      </c>
      <c r="C14881" t="str">
        <f t="shared" si="468"/>
        <v>No cumple</v>
      </c>
      <c r="D14881">
        <v>1828</v>
      </c>
      <c r="E14881" t="s">
        <v>13</v>
      </c>
      <c r="F14881">
        <v>4</v>
      </c>
      <c r="G14881">
        <v>6</v>
      </c>
      <c r="H14881">
        <f t="shared" si="467"/>
        <v>-2</v>
      </c>
    </row>
    <row r="14882" spans="1:8" x14ac:dyDescent="0.2">
      <c r="A14882" t="s">
        <v>7</v>
      </c>
      <c r="B14882" t="s">
        <v>34</v>
      </c>
      <c r="C14882" t="str">
        <f t="shared" si="468"/>
        <v>No cumple</v>
      </c>
      <c r="D14882">
        <v>2829</v>
      </c>
      <c r="E14882" t="s">
        <v>13</v>
      </c>
      <c r="F14882">
        <v>4</v>
      </c>
      <c r="G14882">
        <v>6</v>
      </c>
      <c r="H14882">
        <f t="shared" si="467"/>
        <v>-2</v>
      </c>
    </row>
    <row r="14883" spans="1:8" x14ac:dyDescent="0.2">
      <c r="A14883" t="s">
        <v>7</v>
      </c>
      <c r="B14883" t="s">
        <v>34</v>
      </c>
      <c r="C14883" t="str">
        <f t="shared" si="468"/>
        <v>No cumple</v>
      </c>
      <c r="D14883">
        <v>2946</v>
      </c>
      <c r="E14883" t="s">
        <v>13</v>
      </c>
      <c r="F14883">
        <v>4</v>
      </c>
      <c r="G14883">
        <v>6</v>
      </c>
      <c r="H14883">
        <f t="shared" si="467"/>
        <v>-2</v>
      </c>
    </row>
    <row r="14884" spans="1:8" x14ac:dyDescent="0.2">
      <c r="A14884" t="s">
        <v>7</v>
      </c>
      <c r="B14884" t="s">
        <v>34</v>
      </c>
      <c r="C14884" t="str">
        <f t="shared" si="468"/>
        <v>No cumple</v>
      </c>
      <c r="D14884">
        <v>3509</v>
      </c>
      <c r="E14884" t="s">
        <v>13</v>
      </c>
      <c r="F14884">
        <v>4</v>
      </c>
      <c r="G14884">
        <v>6</v>
      </c>
      <c r="H14884">
        <f t="shared" si="467"/>
        <v>-2</v>
      </c>
    </row>
    <row r="14885" spans="1:8" x14ac:dyDescent="0.2">
      <c r="A14885" t="s">
        <v>7</v>
      </c>
      <c r="B14885" t="s">
        <v>34</v>
      </c>
      <c r="C14885" t="str">
        <f t="shared" si="468"/>
        <v>No cumple</v>
      </c>
      <c r="D14885">
        <v>3816</v>
      </c>
      <c r="E14885" t="s">
        <v>13</v>
      </c>
      <c r="F14885">
        <v>4</v>
      </c>
      <c r="G14885">
        <v>6</v>
      </c>
      <c r="H14885">
        <f t="shared" si="467"/>
        <v>-2</v>
      </c>
    </row>
    <row r="14886" spans="1:8" x14ac:dyDescent="0.2">
      <c r="A14886" t="s">
        <v>7</v>
      </c>
      <c r="B14886" t="s">
        <v>34</v>
      </c>
      <c r="C14886" t="str">
        <f t="shared" si="468"/>
        <v>No cumple</v>
      </c>
      <c r="D14886">
        <v>3833</v>
      </c>
      <c r="E14886" t="s">
        <v>13</v>
      </c>
      <c r="F14886">
        <v>4</v>
      </c>
      <c r="G14886">
        <v>6</v>
      </c>
      <c r="H14886">
        <f t="shared" si="467"/>
        <v>-2</v>
      </c>
    </row>
    <row r="14887" spans="1:8" x14ac:dyDescent="0.2">
      <c r="A14887" t="s">
        <v>7</v>
      </c>
      <c r="B14887" t="s">
        <v>34</v>
      </c>
      <c r="C14887" t="str">
        <f t="shared" si="468"/>
        <v>No cumple</v>
      </c>
      <c r="D14887">
        <v>3838</v>
      </c>
      <c r="E14887" t="s">
        <v>13</v>
      </c>
      <c r="F14887">
        <v>4</v>
      </c>
      <c r="G14887">
        <v>6</v>
      </c>
      <c r="H14887">
        <f t="shared" si="467"/>
        <v>-2</v>
      </c>
    </row>
    <row r="14888" spans="1:8" x14ac:dyDescent="0.2">
      <c r="A14888" t="s">
        <v>7</v>
      </c>
      <c r="B14888" t="s">
        <v>34</v>
      </c>
      <c r="C14888" t="str">
        <f t="shared" si="468"/>
        <v>Cumple</v>
      </c>
      <c r="D14888">
        <v>3843</v>
      </c>
      <c r="E14888" t="s">
        <v>13</v>
      </c>
      <c r="F14888">
        <v>4</v>
      </c>
      <c r="G14888" s="9">
        <v>3</v>
      </c>
      <c r="H14888">
        <f t="shared" si="467"/>
        <v>1</v>
      </c>
    </row>
    <row r="14889" spans="1:8" x14ac:dyDescent="0.2">
      <c r="A14889" t="s">
        <v>7</v>
      </c>
      <c r="B14889" t="s">
        <v>34</v>
      </c>
      <c r="C14889" t="str">
        <f t="shared" si="468"/>
        <v>No cumple</v>
      </c>
      <c r="D14889">
        <v>3855</v>
      </c>
      <c r="E14889" t="s">
        <v>13</v>
      </c>
      <c r="F14889">
        <v>4</v>
      </c>
      <c r="G14889">
        <v>6</v>
      </c>
      <c r="H14889">
        <f t="shared" si="467"/>
        <v>-2</v>
      </c>
    </row>
    <row r="14890" spans="1:8" x14ac:dyDescent="0.2">
      <c r="A14890" t="s">
        <v>7</v>
      </c>
      <c r="B14890" t="s">
        <v>34</v>
      </c>
      <c r="C14890" t="str">
        <f t="shared" si="468"/>
        <v>No cumple</v>
      </c>
      <c r="D14890">
        <v>9333</v>
      </c>
      <c r="E14890" t="s">
        <v>13</v>
      </c>
      <c r="F14890">
        <v>4</v>
      </c>
      <c r="G14890">
        <v>6</v>
      </c>
      <c r="H14890">
        <f t="shared" si="467"/>
        <v>-2</v>
      </c>
    </row>
    <row r="14891" spans="1:8" x14ac:dyDescent="0.2">
      <c r="A14891" t="s">
        <v>7</v>
      </c>
      <c r="B14891" t="s">
        <v>34</v>
      </c>
      <c r="C14891" t="str">
        <f t="shared" si="468"/>
        <v>No cumple</v>
      </c>
      <c r="D14891">
        <v>9510</v>
      </c>
      <c r="E14891" t="s">
        <v>13</v>
      </c>
      <c r="F14891">
        <v>4</v>
      </c>
      <c r="G14891">
        <v>6</v>
      </c>
      <c r="H14891">
        <f t="shared" si="467"/>
        <v>-2</v>
      </c>
    </row>
    <row r="14892" spans="1:8" x14ac:dyDescent="0.2">
      <c r="A14892" t="s">
        <v>7</v>
      </c>
      <c r="B14892" t="s">
        <v>34</v>
      </c>
      <c r="C14892" t="str">
        <f t="shared" si="468"/>
        <v>No cumple</v>
      </c>
      <c r="D14892">
        <v>9624</v>
      </c>
      <c r="E14892" t="s">
        <v>13</v>
      </c>
      <c r="F14892">
        <v>4</v>
      </c>
      <c r="G14892">
        <v>6</v>
      </c>
      <c r="H14892">
        <f t="shared" si="467"/>
        <v>-2</v>
      </c>
    </row>
    <row r="14893" spans="1:8" x14ac:dyDescent="0.2">
      <c r="A14893" t="s">
        <v>7</v>
      </c>
      <c r="B14893" t="s">
        <v>34</v>
      </c>
      <c r="C14893" t="str">
        <f t="shared" si="468"/>
        <v>No cumple</v>
      </c>
      <c r="D14893">
        <v>9720</v>
      </c>
      <c r="E14893" t="s">
        <v>13</v>
      </c>
      <c r="F14893">
        <v>4</v>
      </c>
      <c r="G14893">
        <v>6</v>
      </c>
      <c r="H14893">
        <f t="shared" si="467"/>
        <v>-2</v>
      </c>
    </row>
    <row r="14894" spans="1:8" x14ac:dyDescent="0.2">
      <c r="A14894" t="s">
        <v>7</v>
      </c>
      <c r="B14894" t="s">
        <v>34</v>
      </c>
      <c r="C14894" t="str">
        <f t="shared" si="468"/>
        <v>No cumple</v>
      </c>
      <c r="D14894">
        <v>9952</v>
      </c>
      <c r="E14894" t="s">
        <v>13</v>
      </c>
      <c r="F14894">
        <v>4</v>
      </c>
      <c r="G14894">
        <v>6</v>
      </c>
      <c r="H14894">
        <f t="shared" si="467"/>
        <v>-2</v>
      </c>
    </row>
    <row r="14895" spans="1:8" x14ac:dyDescent="0.2">
      <c r="A14895" t="s">
        <v>7</v>
      </c>
      <c r="B14895" t="s">
        <v>34</v>
      </c>
      <c r="C14895" t="str">
        <f t="shared" si="468"/>
        <v>No cumple</v>
      </c>
      <c r="D14895">
        <v>9953</v>
      </c>
      <c r="E14895" t="s">
        <v>13</v>
      </c>
      <c r="F14895">
        <v>4</v>
      </c>
      <c r="G14895">
        <v>6</v>
      </c>
      <c r="H14895">
        <f t="shared" si="467"/>
        <v>-2</v>
      </c>
    </row>
    <row r="14896" spans="1:8" x14ac:dyDescent="0.2">
      <c r="A14896" t="s">
        <v>7</v>
      </c>
      <c r="B14896" t="s">
        <v>34</v>
      </c>
      <c r="C14896" t="str">
        <f t="shared" si="468"/>
        <v>No cumple</v>
      </c>
      <c r="D14896">
        <v>9991</v>
      </c>
      <c r="E14896" t="s">
        <v>13</v>
      </c>
      <c r="F14896">
        <v>4</v>
      </c>
      <c r="G14896">
        <v>6</v>
      </c>
      <c r="H14896">
        <f t="shared" si="467"/>
        <v>-2</v>
      </c>
    </row>
    <row r="14897" spans="1:8" x14ac:dyDescent="0.2">
      <c r="A14897" t="s">
        <v>7</v>
      </c>
      <c r="B14897" t="s">
        <v>34</v>
      </c>
      <c r="C14897" t="str">
        <f t="shared" si="468"/>
        <v>No cumple</v>
      </c>
      <c r="D14897">
        <v>1451</v>
      </c>
      <c r="E14897" t="s">
        <v>13</v>
      </c>
      <c r="F14897">
        <v>4</v>
      </c>
      <c r="G14897">
        <v>6</v>
      </c>
      <c r="H14897">
        <f t="shared" si="467"/>
        <v>-2</v>
      </c>
    </row>
    <row r="14898" spans="1:8" x14ac:dyDescent="0.2">
      <c r="A14898" t="s">
        <v>7</v>
      </c>
      <c r="B14898" t="s">
        <v>34</v>
      </c>
      <c r="C14898" t="str">
        <f t="shared" si="468"/>
        <v>No cumple</v>
      </c>
      <c r="D14898">
        <v>1209</v>
      </c>
      <c r="E14898" t="s">
        <v>13</v>
      </c>
      <c r="F14898">
        <v>4</v>
      </c>
      <c r="G14898">
        <v>6</v>
      </c>
      <c r="H14898">
        <f t="shared" si="467"/>
        <v>-2</v>
      </c>
    </row>
    <row r="14899" spans="1:8" x14ac:dyDescent="0.2">
      <c r="A14899" t="s">
        <v>7</v>
      </c>
      <c r="B14899" t="s">
        <v>34</v>
      </c>
      <c r="C14899" t="str">
        <f t="shared" si="468"/>
        <v>No cumple</v>
      </c>
      <c r="D14899">
        <v>4028</v>
      </c>
      <c r="E14899" t="s">
        <v>13</v>
      </c>
      <c r="F14899">
        <v>4</v>
      </c>
      <c r="G14899">
        <v>6</v>
      </c>
      <c r="H14899">
        <f t="shared" si="467"/>
        <v>-2</v>
      </c>
    </row>
    <row r="14900" spans="1:8" x14ac:dyDescent="0.2">
      <c r="A14900" t="s">
        <v>7</v>
      </c>
      <c r="B14900" t="s">
        <v>34</v>
      </c>
      <c r="C14900" t="str">
        <f t="shared" si="468"/>
        <v>No cumple</v>
      </c>
      <c r="D14900">
        <v>2060</v>
      </c>
      <c r="E14900" t="s">
        <v>13</v>
      </c>
      <c r="F14900">
        <v>4</v>
      </c>
      <c r="G14900">
        <v>6</v>
      </c>
      <c r="H14900">
        <f t="shared" si="467"/>
        <v>-2</v>
      </c>
    </row>
    <row r="14901" spans="1:8" x14ac:dyDescent="0.2">
      <c r="A14901" t="s">
        <v>7</v>
      </c>
      <c r="B14901" t="s">
        <v>34</v>
      </c>
      <c r="C14901" t="str">
        <f t="shared" si="468"/>
        <v>No cumple</v>
      </c>
      <c r="D14901">
        <v>4032</v>
      </c>
      <c r="E14901" t="s">
        <v>13</v>
      </c>
      <c r="F14901">
        <v>4</v>
      </c>
      <c r="G14901">
        <v>6</v>
      </c>
      <c r="H14901">
        <f t="shared" si="467"/>
        <v>-2</v>
      </c>
    </row>
    <row r="14902" spans="1:8" x14ac:dyDescent="0.2">
      <c r="A14902" t="s">
        <v>7</v>
      </c>
      <c r="B14902" t="s">
        <v>34</v>
      </c>
      <c r="C14902" t="str">
        <f t="shared" si="468"/>
        <v>No cumple</v>
      </c>
      <c r="D14902">
        <v>3569</v>
      </c>
      <c r="E14902" t="s">
        <v>13</v>
      </c>
      <c r="F14902">
        <v>4</v>
      </c>
      <c r="G14902">
        <v>6</v>
      </c>
      <c r="H14902">
        <f t="shared" si="467"/>
        <v>-2</v>
      </c>
    </row>
    <row r="14903" spans="1:8" x14ac:dyDescent="0.2">
      <c r="A14903" t="s">
        <v>7</v>
      </c>
      <c r="B14903" t="s">
        <v>34</v>
      </c>
      <c r="C14903" t="str">
        <f t="shared" si="468"/>
        <v>No cumple</v>
      </c>
      <c r="D14903">
        <v>210</v>
      </c>
      <c r="E14903" t="s">
        <v>13</v>
      </c>
      <c r="F14903">
        <v>3</v>
      </c>
      <c r="G14903">
        <v>6</v>
      </c>
      <c r="H14903">
        <f t="shared" si="467"/>
        <v>-3</v>
      </c>
    </row>
    <row r="14904" spans="1:8" x14ac:dyDescent="0.2">
      <c r="A14904" t="s">
        <v>7</v>
      </c>
      <c r="B14904" t="s">
        <v>34</v>
      </c>
      <c r="C14904" t="str">
        <f t="shared" si="468"/>
        <v>No cumple</v>
      </c>
      <c r="D14904">
        <v>227</v>
      </c>
      <c r="E14904" t="s">
        <v>13</v>
      </c>
      <c r="F14904">
        <v>3</v>
      </c>
      <c r="G14904">
        <v>6</v>
      </c>
      <c r="H14904">
        <f t="shared" si="467"/>
        <v>-3</v>
      </c>
    </row>
    <row r="14905" spans="1:8" x14ac:dyDescent="0.2">
      <c r="A14905" t="s">
        <v>7</v>
      </c>
      <c r="B14905" t="s">
        <v>34</v>
      </c>
      <c r="C14905" t="str">
        <f t="shared" si="468"/>
        <v>No cumple</v>
      </c>
      <c r="D14905">
        <v>240</v>
      </c>
      <c r="E14905" t="s">
        <v>13</v>
      </c>
      <c r="F14905">
        <v>3</v>
      </c>
      <c r="G14905">
        <v>6</v>
      </c>
      <c r="H14905">
        <f t="shared" si="467"/>
        <v>-3</v>
      </c>
    </row>
    <row r="14906" spans="1:8" x14ac:dyDescent="0.2">
      <c r="A14906" t="s">
        <v>7</v>
      </c>
      <c r="B14906" t="s">
        <v>34</v>
      </c>
      <c r="C14906" t="str">
        <f t="shared" si="468"/>
        <v>No cumple</v>
      </c>
      <c r="D14906">
        <v>243</v>
      </c>
      <c r="E14906" t="s">
        <v>13</v>
      </c>
      <c r="F14906">
        <v>3</v>
      </c>
      <c r="G14906">
        <v>6</v>
      </c>
      <c r="H14906">
        <f t="shared" si="467"/>
        <v>-3</v>
      </c>
    </row>
    <row r="14907" spans="1:8" x14ac:dyDescent="0.2">
      <c r="A14907" t="s">
        <v>7</v>
      </c>
      <c r="B14907" t="s">
        <v>34</v>
      </c>
      <c r="C14907" t="str">
        <f t="shared" si="468"/>
        <v>No cumple</v>
      </c>
      <c r="D14907">
        <v>760</v>
      </c>
      <c r="E14907" t="s">
        <v>13</v>
      </c>
      <c r="F14907">
        <v>3</v>
      </c>
      <c r="G14907">
        <v>6</v>
      </c>
      <c r="H14907">
        <f t="shared" si="467"/>
        <v>-3</v>
      </c>
    </row>
    <row r="14908" spans="1:8" x14ac:dyDescent="0.2">
      <c r="A14908" t="s">
        <v>7</v>
      </c>
      <c r="B14908" t="s">
        <v>34</v>
      </c>
      <c r="C14908" t="str">
        <f t="shared" si="468"/>
        <v>No cumple</v>
      </c>
      <c r="D14908">
        <v>784</v>
      </c>
      <c r="E14908" t="s">
        <v>13</v>
      </c>
      <c r="F14908">
        <v>3</v>
      </c>
      <c r="G14908">
        <v>6</v>
      </c>
      <c r="H14908">
        <f t="shared" si="467"/>
        <v>-3</v>
      </c>
    </row>
    <row r="14909" spans="1:8" x14ac:dyDescent="0.2">
      <c r="A14909" t="s">
        <v>7</v>
      </c>
      <c r="B14909" t="s">
        <v>34</v>
      </c>
      <c r="C14909" t="str">
        <f t="shared" si="468"/>
        <v>No cumple</v>
      </c>
      <c r="D14909">
        <v>790</v>
      </c>
      <c r="E14909" t="s">
        <v>13</v>
      </c>
      <c r="F14909">
        <v>3</v>
      </c>
      <c r="G14909">
        <v>6</v>
      </c>
      <c r="H14909">
        <f t="shared" ref="H14909:H14972" si="469">F14909-G14909</f>
        <v>-3</v>
      </c>
    </row>
    <row r="14910" spans="1:8" x14ac:dyDescent="0.2">
      <c r="A14910" t="s">
        <v>7</v>
      </c>
      <c r="B14910" t="s">
        <v>34</v>
      </c>
      <c r="C14910" t="str">
        <f t="shared" si="468"/>
        <v>No cumple</v>
      </c>
      <c r="D14910">
        <v>1443</v>
      </c>
      <c r="E14910" t="s">
        <v>13</v>
      </c>
      <c r="F14910">
        <v>3</v>
      </c>
      <c r="G14910">
        <v>6</v>
      </c>
      <c r="H14910">
        <f t="shared" si="469"/>
        <v>-3</v>
      </c>
    </row>
    <row r="14911" spans="1:8" x14ac:dyDescent="0.2">
      <c r="A14911" t="s">
        <v>7</v>
      </c>
      <c r="B14911" t="s">
        <v>34</v>
      </c>
      <c r="C14911" t="str">
        <f t="shared" si="468"/>
        <v>No cumple</v>
      </c>
      <c r="D14911">
        <v>1448</v>
      </c>
      <c r="E14911" t="s">
        <v>13</v>
      </c>
      <c r="F14911">
        <v>3</v>
      </c>
      <c r="G14911">
        <v>6</v>
      </c>
      <c r="H14911">
        <f t="shared" si="469"/>
        <v>-3</v>
      </c>
    </row>
    <row r="14912" spans="1:8" x14ac:dyDescent="0.2">
      <c r="A14912" t="s">
        <v>7</v>
      </c>
      <c r="B14912" t="s">
        <v>34</v>
      </c>
      <c r="C14912" t="str">
        <f t="shared" si="468"/>
        <v>No cumple</v>
      </c>
      <c r="D14912">
        <v>1553</v>
      </c>
      <c r="E14912" t="s">
        <v>13</v>
      </c>
      <c r="F14912">
        <v>3</v>
      </c>
      <c r="G14912">
        <v>6</v>
      </c>
      <c r="H14912">
        <f t="shared" si="469"/>
        <v>-3</v>
      </c>
    </row>
    <row r="14913" spans="1:8" x14ac:dyDescent="0.2">
      <c r="A14913" t="s">
        <v>7</v>
      </c>
      <c r="B14913" t="s">
        <v>34</v>
      </c>
      <c r="C14913" t="str">
        <f t="shared" si="468"/>
        <v>No cumple</v>
      </c>
      <c r="D14913">
        <v>1594</v>
      </c>
      <c r="E14913" t="s">
        <v>13</v>
      </c>
      <c r="F14913">
        <v>3</v>
      </c>
      <c r="G14913">
        <v>6</v>
      </c>
      <c r="H14913">
        <f t="shared" si="469"/>
        <v>-3</v>
      </c>
    </row>
    <row r="14914" spans="1:8" x14ac:dyDescent="0.2">
      <c r="A14914" t="s">
        <v>7</v>
      </c>
      <c r="B14914" t="s">
        <v>34</v>
      </c>
      <c r="C14914" t="str">
        <f t="shared" si="468"/>
        <v>No cumple</v>
      </c>
      <c r="D14914">
        <v>1624</v>
      </c>
      <c r="E14914" t="s">
        <v>13</v>
      </c>
      <c r="F14914">
        <v>3</v>
      </c>
      <c r="G14914">
        <v>6</v>
      </c>
      <c r="H14914">
        <f t="shared" si="469"/>
        <v>-3</v>
      </c>
    </row>
    <row r="14915" spans="1:8" x14ac:dyDescent="0.2">
      <c r="A14915" t="s">
        <v>7</v>
      </c>
      <c r="B14915" t="s">
        <v>34</v>
      </c>
      <c r="C14915" t="str">
        <f t="shared" si="468"/>
        <v>No cumple</v>
      </c>
      <c r="D14915">
        <v>1699</v>
      </c>
      <c r="E14915" t="s">
        <v>13</v>
      </c>
      <c r="F14915">
        <v>3</v>
      </c>
      <c r="G14915">
        <v>6</v>
      </c>
      <c r="H14915">
        <f t="shared" si="469"/>
        <v>-3</v>
      </c>
    </row>
    <row r="14916" spans="1:8" x14ac:dyDescent="0.2">
      <c r="A14916" t="s">
        <v>7</v>
      </c>
      <c r="B14916" t="s">
        <v>34</v>
      </c>
      <c r="C14916" t="str">
        <f t="shared" si="468"/>
        <v>No cumple</v>
      </c>
      <c r="D14916">
        <v>1878</v>
      </c>
      <c r="E14916" t="s">
        <v>13</v>
      </c>
      <c r="F14916">
        <v>3</v>
      </c>
      <c r="G14916">
        <v>6</v>
      </c>
      <c r="H14916">
        <f t="shared" si="469"/>
        <v>-3</v>
      </c>
    </row>
    <row r="14917" spans="1:8" x14ac:dyDescent="0.2">
      <c r="A14917" t="s">
        <v>7</v>
      </c>
      <c r="B14917" t="s">
        <v>34</v>
      </c>
      <c r="C14917" t="str">
        <f t="shared" ref="C14917:C14980" si="470">IF(H14917&gt;=0,"Cumple","No cumple")</f>
        <v>No cumple</v>
      </c>
      <c r="D14917">
        <v>2275</v>
      </c>
      <c r="E14917" t="s">
        <v>13</v>
      </c>
      <c r="F14917">
        <v>3</v>
      </c>
      <c r="G14917">
        <v>6</v>
      </c>
      <c r="H14917">
        <f t="shared" si="469"/>
        <v>-3</v>
      </c>
    </row>
    <row r="14918" spans="1:8" x14ac:dyDescent="0.2">
      <c r="A14918" t="s">
        <v>7</v>
      </c>
      <c r="B14918" t="s">
        <v>34</v>
      </c>
      <c r="C14918" t="str">
        <f t="shared" si="470"/>
        <v>No cumple</v>
      </c>
      <c r="D14918">
        <v>2549</v>
      </c>
      <c r="E14918" t="s">
        <v>13</v>
      </c>
      <c r="F14918">
        <v>3</v>
      </c>
      <c r="G14918">
        <v>6</v>
      </c>
      <c r="H14918">
        <f t="shared" si="469"/>
        <v>-3</v>
      </c>
    </row>
    <row r="14919" spans="1:8" x14ac:dyDescent="0.2">
      <c r="A14919" t="s">
        <v>7</v>
      </c>
      <c r="B14919" t="s">
        <v>34</v>
      </c>
      <c r="C14919" t="str">
        <f t="shared" si="470"/>
        <v>No cumple</v>
      </c>
      <c r="D14919">
        <v>2848</v>
      </c>
      <c r="E14919" t="s">
        <v>13</v>
      </c>
      <c r="F14919">
        <v>3</v>
      </c>
      <c r="G14919">
        <v>6</v>
      </c>
      <c r="H14919">
        <f t="shared" si="469"/>
        <v>-3</v>
      </c>
    </row>
    <row r="14920" spans="1:8" x14ac:dyDescent="0.2">
      <c r="A14920" t="s">
        <v>7</v>
      </c>
      <c r="B14920" t="s">
        <v>34</v>
      </c>
      <c r="C14920" t="str">
        <f t="shared" si="470"/>
        <v>No cumple</v>
      </c>
      <c r="D14920">
        <v>2852</v>
      </c>
      <c r="E14920" t="s">
        <v>13</v>
      </c>
      <c r="F14920">
        <v>3</v>
      </c>
      <c r="G14920">
        <v>6</v>
      </c>
      <c r="H14920">
        <f t="shared" si="469"/>
        <v>-3</v>
      </c>
    </row>
    <row r="14921" spans="1:8" x14ac:dyDescent="0.2">
      <c r="A14921" t="s">
        <v>7</v>
      </c>
      <c r="B14921" t="s">
        <v>34</v>
      </c>
      <c r="C14921" t="str">
        <f t="shared" si="470"/>
        <v>No cumple</v>
      </c>
      <c r="D14921">
        <v>2857</v>
      </c>
      <c r="E14921" t="s">
        <v>13</v>
      </c>
      <c r="F14921">
        <v>3</v>
      </c>
      <c r="G14921">
        <v>6</v>
      </c>
      <c r="H14921">
        <f t="shared" si="469"/>
        <v>-3</v>
      </c>
    </row>
    <row r="14922" spans="1:8" x14ac:dyDescent="0.2">
      <c r="A14922" t="s">
        <v>7</v>
      </c>
      <c r="B14922" t="s">
        <v>34</v>
      </c>
      <c r="C14922" t="str">
        <f t="shared" si="470"/>
        <v>No cumple</v>
      </c>
      <c r="D14922">
        <v>3236</v>
      </c>
      <c r="E14922" t="s">
        <v>13</v>
      </c>
      <c r="F14922">
        <v>3</v>
      </c>
      <c r="G14922">
        <v>6</v>
      </c>
      <c r="H14922">
        <f t="shared" si="469"/>
        <v>-3</v>
      </c>
    </row>
    <row r="14923" spans="1:8" x14ac:dyDescent="0.2">
      <c r="A14923" t="s">
        <v>7</v>
      </c>
      <c r="B14923" t="s">
        <v>34</v>
      </c>
      <c r="C14923" t="str">
        <f t="shared" si="470"/>
        <v>No cumple</v>
      </c>
      <c r="D14923">
        <v>3294</v>
      </c>
      <c r="E14923" t="s">
        <v>13</v>
      </c>
      <c r="F14923">
        <v>3</v>
      </c>
      <c r="G14923">
        <v>6</v>
      </c>
      <c r="H14923">
        <f t="shared" si="469"/>
        <v>-3</v>
      </c>
    </row>
    <row r="14924" spans="1:8" x14ac:dyDescent="0.2">
      <c r="A14924" t="s">
        <v>7</v>
      </c>
      <c r="B14924" t="s">
        <v>34</v>
      </c>
      <c r="C14924" t="str">
        <f t="shared" si="470"/>
        <v>No cumple</v>
      </c>
      <c r="D14924">
        <v>3576</v>
      </c>
      <c r="E14924" t="s">
        <v>13</v>
      </c>
      <c r="F14924">
        <v>3</v>
      </c>
      <c r="G14924">
        <v>6</v>
      </c>
      <c r="H14924">
        <f t="shared" si="469"/>
        <v>-3</v>
      </c>
    </row>
    <row r="14925" spans="1:8" x14ac:dyDescent="0.2">
      <c r="A14925" t="s">
        <v>7</v>
      </c>
      <c r="B14925" t="s">
        <v>34</v>
      </c>
      <c r="C14925" t="str">
        <f t="shared" si="470"/>
        <v>No cumple</v>
      </c>
      <c r="D14925">
        <v>3703</v>
      </c>
      <c r="E14925" t="s">
        <v>13</v>
      </c>
      <c r="F14925">
        <v>3</v>
      </c>
      <c r="G14925">
        <v>6</v>
      </c>
      <c r="H14925">
        <f t="shared" si="469"/>
        <v>-3</v>
      </c>
    </row>
    <row r="14926" spans="1:8" x14ac:dyDescent="0.2">
      <c r="A14926" t="s">
        <v>7</v>
      </c>
      <c r="B14926" t="s">
        <v>34</v>
      </c>
      <c r="C14926" t="str">
        <f t="shared" si="470"/>
        <v>No cumple</v>
      </c>
      <c r="D14926">
        <v>3809</v>
      </c>
      <c r="E14926" t="s">
        <v>13</v>
      </c>
      <c r="F14926">
        <v>3</v>
      </c>
      <c r="G14926">
        <v>6</v>
      </c>
      <c r="H14926">
        <f t="shared" si="469"/>
        <v>-3</v>
      </c>
    </row>
    <row r="14927" spans="1:8" x14ac:dyDescent="0.2">
      <c r="A14927" t="s">
        <v>7</v>
      </c>
      <c r="B14927" t="s">
        <v>34</v>
      </c>
      <c r="C14927" t="str">
        <f t="shared" si="470"/>
        <v>No cumple</v>
      </c>
      <c r="D14927">
        <v>3840</v>
      </c>
      <c r="E14927" t="s">
        <v>13</v>
      </c>
      <c r="F14927">
        <v>3</v>
      </c>
      <c r="G14927">
        <v>6</v>
      </c>
      <c r="H14927">
        <f t="shared" si="469"/>
        <v>-3</v>
      </c>
    </row>
    <row r="14928" spans="1:8" x14ac:dyDescent="0.2">
      <c r="A14928" t="s">
        <v>7</v>
      </c>
      <c r="B14928" t="s">
        <v>34</v>
      </c>
      <c r="C14928" t="str">
        <f t="shared" si="470"/>
        <v>No cumple</v>
      </c>
      <c r="D14928">
        <v>3887</v>
      </c>
      <c r="E14928" t="s">
        <v>13</v>
      </c>
      <c r="F14928">
        <v>3</v>
      </c>
      <c r="G14928">
        <v>6</v>
      </c>
      <c r="H14928">
        <f t="shared" si="469"/>
        <v>-3</v>
      </c>
    </row>
    <row r="14929" spans="1:8" x14ac:dyDescent="0.2">
      <c r="A14929" t="s">
        <v>7</v>
      </c>
      <c r="B14929" t="s">
        <v>34</v>
      </c>
      <c r="C14929" t="str">
        <f t="shared" si="470"/>
        <v>No cumple</v>
      </c>
      <c r="D14929">
        <v>9132</v>
      </c>
      <c r="E14929" t="s">
        <v>13</v>
      </c>
      <c r="F14929">
        <v>3</v>
      </c>
      <c r="G14929">
        <v>6</v>
      </c>
      <c r="H14929">
        <f t="shared" si="469"/>
        <v>-3</v>
      </c>
    </row>
    <row r="14930" spans="1:8" x14ac:dyDescent="0.2">
      <c r="A14930" t="s">
        <v>7</v>
      </c>
      <c r="B14930" t="s">
        <v>34</v>
      </c>
      <c r="C14930" t="str">
        <f t="shared" si="470"/>
        <v>No cumple</v>
      </c>
      <c r="D14930">
        <v>9656</v>
      </c>
      <c r="E14930" t="s">
        <v>13</v>
      </c>
      <c r="F14930">
        <v>3</v>
      </c>
      <c r="G14930">
        <v>6</v>
      </c>
      <c r="H14930">
        <f t="shared" si="469"/>
        <v>-3</v>
      </c>
    </row>
    <row r="14931" spans="1:8" x14ac:dyDescent="0.2">
      <c r="A14931" t="s">
        <v>7</v>
      </c>
      <c r="B14931" t="s">
        <v>34</v>
      </c>
      <c r="C14931" t="str">
        <f t="shared" si="470"/>
        <v>No cumple</v>
      </c>
      <c r="D14931">
        <v>9672</v>
      </c>
      <c r="E14931" t="s">
        <v>13</v>
      </c>
      <c r="F14931">
        <v>3</v>
      </c>
      <c r="G14931">
        <v>6</v>
      </c>
      <c r="H14931">
        <f t="shared" si="469"/>
        <v>-3</v>
      </c>
    </row>
    <row r="14932" spans="1:8" x14ac:dyDescent="0.2">
      <c r="A14932" t="s">
        <v>7</v>
      </c>
      <c r="B14932" t="s">
        <v>34</v>
      </c>
      <c r="C14932" t="str">
        <f t="shared" si="470"/>
        <v>No cumple</v>
      </c>
      <c r="D14932">
        <v>9950</v>
      </c>
      <c r="E14932" t="s">
        <v>13</v>
      </c>
      <c r="F14932">
        <v>3</v>
      </c>
      <c r="G14932">
        <v>6</v>
      </c>
      <c r="H14932">
        <f t="shared" si="469"/>
        <v>-3</v>
      </c>
    </row>
    <row r="14933" spans="1:8" x14ac:dyDescent="0.2">
      <c r="A14933" t="s">
        <v>7</v>
      </c>
      <c r="B14933" t="s">
        <v>34</v>
      </c>
      <c r="C14933" t="str">
        <f t="shared" si="470"/>
        <v>Cumple</v>
      </c>
      <c r="D14933">
        <v>4042</v>
      </c>
      <c r="E14933" t="s">
        <v>13</v>
      </c>
      <c r="F14933">
        <v>3</v>
      </c>
      <c r="G14933" s="9">
        <v>3</v>
      </c>
      <c r="H14933">
        <f t="shared" si="469"/>
        <v>0</v>
      </c>
    </row>
    <row r="14934" spans="1:8" x14ac:dyDescent="0.2">
      <c r="A14934" t="s">
        <v>7</v>
      </c>
      <c r="B14934" t="s">
        <v>34</v>
      </c>
      <c r="C14934" t="str">
        <f t="shared" si="470"/>
        <v>No cumple</v>
      </c>
      <c r="D14934">
        <v>4073</v>
      </c>
      <c r="E14934" t="s">
        <v>13</v>
      </c>
      <c r="F14934">
        <v>3</v>
      </c>
      <c r="G14934">
        <v>6</v>
      </c>
      <c r="H14934">
        <f t="shared" si="469"/>
        <v>-3</v>
      </c>
    </row>
    <row r="14935" spans="1:8" x14ac:dyDescent="0.2">
      <c r="A14935" t="s">
        <v>7</v>
      </c>
      <c r="B14935" t="s">
        <v>34</v>
      </c>
      <c r="C14935" t="str">
        <f t="shared" si="470"/>
        <v>No cumple</v>
      </c>
      <c r="D14935">
        <v>224</v>
      </c>
      <c r="E14935" t="s">
        <v>13</v>
      </c>
      <c r="F14935">
        <v>2</v>
      </c>
      <c r="G14935">
        <v>6</v>
      </c>
      <c r="H14935">
        <f t="shared" si="469"/>
        <v>-4</v>
      </c>
    </row>
    <row r="14936" spans="1:8" x14ac:dyDescent="0.2">
      <c r="A14936" t="s">
        <v>7</v>
      </c>
      <c r="B14936" t="s">
        <v>34</v>
      </c>
      <c r="C14936" t="str">
        <f t="shared" si="470"/>
        <v>No cumple</v>
      </c>
      <c r="D14936">
        <v>239</v>
      </c>
      <c r="E14936" t="s">
        <v>13</v>
      </c>
      <c r="F14936">
        <v>2</v>
      </c>
      <c r="G14936">
        <v>6</v>
      </c>
      <c r="H14936">
        <f t="shared" si="469"/>
        <v>-4</v>
      </c>
    </row>
    <row r="14937" spans="1:8" x14ac:dyDescent="0.2">
      <c r="A14937" t="s">
        <v>7</v>
      </c>
      <c r="B14937" t="s">
        <v>34</v>
      </c>
      <c r="C14937" t="str">
        <f t="shared" si="470"/>
        <v>No cumple</v>
      </c>
      <c r="D14937">
        <v>251</v>
      </c>
      <c r="E14937" t="s">
        <v>13</v>
      </c>
      <c r="F14937">
        <v>2</v>
      </c>
      <c r="G14937">
        <v>6</v>
      </c>
      <c r="H14937">
        <f t="shared" si="469"/>
        <v>-4</v>
      </c>
    </row>
    <row r="14938" spans="1:8" x14ac:dyDescent="0.2">
      <c r="A14938" t="s">
        <v>7</v>
      </c>
      <c r="B14938" t="s">
        <v>34</v>
      </c>
      <c r="C14938" t="str">
        <f t="shared" si="470"/>
        <v>No cumple</v>
      </c>
      <c r="D14938">
        <v>715</v>
      </c>
      <c r="E14938" t="s">
        <v>13</v>
      </c>
      <c r="F14938">
        <v>2</v>
      </c>
      <c r="G14938">
        <v>6</v>
      </c>
      <c r="H14938">
        <f t="shared" si="469"/>
        <v>-4</v>
      </c>
    </row>
    <row r="14939" spans="1:8" x14ac:dyDescent="0.2">
      <c r="A14939" t="s">
        <v>7</v>
      </c>
      <c r="B14939" t="s">
        <v>34</v>
      </c>
      <c r="C14939" t="str">
        <f t="shared" si="470"/>
        <v>No cumple</v>
      </c>
      <c r="D14939">
        <v>865</v>
      </c>
      <c r="E14939" t="s">
        <v>13</v>
      </c>
      <c r="F14939">
        <v>2</v>
      </c>
      <c r="G14939">
        <v>6</v>
      </c>
      <c r="H14939">
        <f t="shared" si="469"/>
        <v>-4</v>
      </c>
    </row>
    <row r="14940" spans="1:8" x14ac:dyDescent="0.2">
      <c r="A14940" t="s">
        <v>7</v>
      </c>
      <c r="B14940" t="s">
        <v>34</v>
      </c>
      <c r="C14940" t="str">
        <f t="shared" si="470"/>
        <v>No cumple</v>
      </c>
      <c r="D14940">
        <v>902</v>
      </c>
      <c r="E14940" t="s">
        <v>13</v>
      </c>
      <c r="F14940">
        <v>2</v>
      </c>
      <c r="G14940">
        <v>6</v>
      </c>
      <c r="H14940">
        <f t="shared" si="469"/>
        <v>-4</v>
      </c>
    </row>
    <row r="14941" spans="1:8" x14ac:dyDescent="0.2">
      <c r="A14941" t="s">
        <v>7</v>
      </c>
      <c r="B14941" t="s">
        <v>34</v>
      </c>
      <c r="C14941" t="str">
        <f t="shared" si="470"/>
        <v>No cumple</v>
      </c>
      <c r="D14941">
        <v>1226</v>
      </c>
      <c r="E14941" t="s">
        <v>13</v>
      </c>
      <c r="F14941">
        <v>2</v>
      </c>
      <c r="G14941">
        <v>6</v>
      </c>
      <c r="H14941">
        <f t="shared" si="469"/>
        <v>-4</v>
      </c>
    </row>
    <row r="14942" spans="1:8" x14ac:dyDescent="0.2">
      <c r="A14942" t="s">
        <v>7</v>
      </c>
      <c r="B14942" t="s">
        <v>34</v>
      </c>
      <c r="C14942" t="str">
        <f t="shared" si="470"/>
        <v>No cumple</v>
      </c>
      <c r="D14942">
        <v>1411</v>
      </c>
      <c r="E14942" t="s">
        <v>13</v>
      </c>
      <c r="F14942">
        <v>2</v>
      </c>
      <c r="G14942">
        <v>6</v>
      </c>
      <c r="H14942">
        <f t="shared" si="469"/>
        <v>-4</v>
      </c>
    </row>
    <row r="14943" spans="1:8" x14ac:dyDescent="0.2">
      <c r="A14943" t="s">
        <v>7</v>
      </c>
      <c r="B14943" t="s">
        <v>34</v>
      </c>
      <c r="C14943" t="str">
        <f t="shared" si="470"/>
        <v>No cumple</v>
      </c>
      <c r="D14943">
        <v>1425</v>
      </c>
      <c r="E14943" t="s">
        <v>13</v>
      </c>
      <c r="F14943">
        <v>2</v>
      </c>
      <c r="G14943">
        <v>6</v>
      </c>
      <c r="H14943">
        <f t="shared" si="469"/>
        <v>-4</v>
      </c>
    </row>
    <row r="14944" spans="1:8" x14ac:dyDescent="0.2">
      <c r="A14944" t="s">
        <v>7</v>
      </c>
      <c r="B14944" t="s">
        <v>34</v>
      </c>
      <c r="C14944" t="str">
        <f t="shared" si="470"/>
        <v>No cumple</v>
      </c>
      <c r="D14944">
        <v>1437</v>
      </c>
      <c r="E14944" t="s">
        <v>13</v>
      </c>
      <c r="F14944">
        <v>2</v>
      </c>
      <c r="G14944">
        <v>6</v>
      </c>
      <c r="H14944">
        <f t="shared" si="469"/>
        <v>-4</v>
      </c>
    </row>
    <row r="14945" spans="1:8" x14ac:dyDescent="0.2">
      <c r="A14945" t="s">
        <v>7</v>
      </c>
      <c r="B14945" t="s">
        <v>34</v>
      </c>
      <c r="C14945" t="str">
        <f t="shared" si="470"/>
        <v>No cumple</v>
      </c>
      <c r="D14945">
        <v>2563</v>
      </c>
      <c r="E14945" t="s">
        <v>13</v>
      </c>
      <c r="F14945">
        <v>2</v>
      </c>
      <c r="G14945">
        <v>6</v>
      </c>
      <c r="H14945">
        <f t="shared" si="469"/>
        <v>-4</v>
      </c>
    </row>
    <row r="14946" spans="1:8" x14ac:dyDescent="0.2">
      <c r="A14946" t="s">
        <v>7</v>
      </c>
      <c r="B14946" t="s">
        <v>34</v>
      </c>
      <c r="C14946" t="str">
        <f t="shared" si="470"/>
        <v>No cumple</v>
      </c>
      <c r="D14946">
        <v>2703</v>
      </c>
      <c r="E14946" t="s">
        <v>13</v>
      </c>
      <c r="F14946">
        <v>2</v>
      </c>
      <c r="G14946">
        <v>6</v>
      </c>
      <c r="H14946">
        <f t="shared" si="469"/>
        <v>-4</v>
      </c>
    </row>
    <row r="14947" spans="1:8" x14ac:dyDescent="0.2">
      <c r="A14947" t="s">
        <v>7</v>
      </c>
      <c r="B14947" t="s">
        <v>34</v>
      </c>
      <c r="C14947" t="str">
        <f t="shared" si="470"/>
        <v>No cumple</v>
      </c>
      <c r="D14947">
        <v>2722</v>
      </c>
      <c r="E14947" t="s">
        <v>13</v>
      </c>
      <c r="F14947">
        <v>2</v>
      </c>
      <c r="G14947">
        <v>6</v>
      </c>
      <c r="H14947">
        <f t="shared" si="469"/>
        <v>-4</v>
      </c>
    </row>
    <row r="14948" spans="1:8" x14ac:dyDescent="0.2">
      <c r="A14948" t="s">
        <v>7</v>
      </c>
      <c r="B14948" t="s">
        <v>34</v>
      </c>
      <c r="C14948" t="str">
        <f t="shared" si="470"/>
        <v>No cumple</v>
      </c>
      <c r="D14948">
        <v>2972</v>
      </c>
      <c r="E14948" t="s">
        <v>13</v>
      </c>
      <c r="F14948">
        <v>2</v>
      </c>
      <c r="G14948">
        <v>6</v>
      </c>
      <c r="H14948">
        <f t="shared" si="469"/>
        <v>-4</v>
      </c>
    </row>
    <row r="14949" spans="1:8" x14ac:dyDescent="0.2">
      <c r="A14949" t="s">
        <v>7</v>
      </c>
      <c r="B14949" t="s">
        <v>34</v>
      </c>
      <c r="C14949" t="str">
        <f t="shared" si="470"/>
        <v>No cumple</v>
      </c>
      <c r="D14949">
        <v>3424</v>
      </c>
      <c r="E14949" t="s">
        <v>13</v>
      </c>
      <c r="F14949">
        <v>2</v>
      </c>
      <c r="G14949">
        <v>6</v>
      </c>
      <c r="H14949">
        <f t="shared" si="469"/>
        <v>-4</v>
      </c>
    </row>
    <row r="14950" spans="1:8" x14ac:dyDescent="0.2">
      <c r="A14950" t="s">
        <v>7</v>
      </c>
      <c r="B14950" t="s">
        <v>34</v>
      </c>
      <c r="C14950" t="str">
        <f t="shared" si="470"/>
        <v>No cumple</v>
      </c>
      <c r="D14950">
        <v>3541</v>
      </c>
      <c r="E14950" t="s">
        <v>13</v>
      </c>
      <c r="F14950">
        <v>2</v>
      </c>
      <c r="G14950">
        <v>6</v>
      </c>
      <c r="H14950">
        <f t="shared" si="469"/>
        <v>-4</v>
      </c>
    </row>
    <row r="14951" spans="1:8" x14ac:dyDescent="0.2">
      <c r="A14951" t="s">
        <v>7</v>
      </c>
      <c r="B14951" t="s">
        <v>34</v>
      </c>
      <c r="C14951" t="str">
        <f t="shared" si="470"/>
        <v>No cumple</v>
      </c>
      <c r="D14951">
        <v>3565</v>
      </c>
      <c r="E14951" t="s">
        <v>13</v>
      </c>
      <c r="F14951">
        <v>2</v>
      </c>
      <c r="G14951">
        <v>6</v>
      </c>
      <c r="H14951">
        <f t="shared" si="469"/>
        <v>-4</v>
      </c>
    </row>
    <row r="14952" spans="1:8" x14ac:dyDescent="0.2">
      <c r="A14952" t="s">
        <v>7</v>
      </c>
      <c r="B14952" t="s">
        <v>34</v>
      </c>
      <c r="C14952" t="str">
        <f t="shared" si="470"/>
        <v>No cumple</v>
      </c>
      <c r="D14952">
        <v>3590</v>
      </c>
      <c r="E14952" t="s">
        <v>13</v>
      </c>
      <c r="F14952">
        <v>2</v>
      </c>
      <c r="G14952">
        <v>6</v>
      </c>
      <c r="H14952">
        <f t="shared" si="469"/>
        <v>-4</v>
      </c>
    </row>
    <row r="14953" spans="1:8" x14ac:dyDescent="0.2">
      <c r="A14953" t="s">
        <v>7</v>
      </c>
      <c r="B14953" t="s">
        <v>34</v>
      </c>
      <c r="C14953" t="str">
        <f t="shared" si="470"/>
        <v>No cumple</v>
      </c>
      <c r="D14953">
        <v>3677</v>
      </c>
      <c r="E14953" t="s">
        <v>13</v>
      </c>
      <c r="F14953">
        <v>2</v>
      </c>
      <c r="G14953">
        <v>6</v>
      </c>
      <c r="H14953">
        <f t="shared" si="469"/>
        <v>-4</v>
      </c>
    </row>
    <row r="14954" spans="1:8" x14ac:dyDescent="0.2">
      <c r="A14954" t="s">
        <v>7</v>
      </c>
      <c r="B14954" t="s">
        <v>34</v>
      </c>
      <c r="C14954" t="str">
        <f t="shared" si="470"/>
        <v>No cumple</v>
      </c>
      <c r="D14954">
        <v>3735</v>
      </c>
      <c r="E14954" t="s">
        <v>13</v>
      </c>
      <c r="F14954">
        <v>2</v>
      </c>
      <c r="G14954">
        <v>6</v>
      </c>
      <c r="H14954">
        <f t="shared" si="469"/>
        <v>-4</v>
      </c>
    </row>
    <row r="14955" spans="1:8" x14ac:dyDescent="0.2">
      <c r="A14955" t="s">
        <v>7</v>
      </c>
      <c r="B14955" t="s">
        <v>34</v>
      </c>
      <c r="C14955" t="str">
        <f t="shared" si="470"/>
        <v>No cumple</v>
      </c>
      <c r="D14955">
        <v>3741</v>
      </c>
      <c r="E14955" t="s">
        <v>13</v>
      </c>
      <c r="F14955">
        <v>2</v>
      </c>
      <c r="G14955">
        <v>6</v>
      </c>
      <c r="H14955">
        <f t="shared" si="469"/>
        <v>-4</v>
      </c>
    </row>
    <row r="14956" spans="1:8" x14ac:dyDescent="0.2">
      <c r="A14956" t="s">
        <v>7</v>
      </c>
      <c r="B14956" t="s">
        <v>34</v>
      </c>
      <c r="C14956" t="str">
        <f t="shared" si="470"/>
        <v>No cumple</v>
      </c>
      <c r="D14956">
        <v>3790</v>
      </c>
      <c r="E14956" t="s">
        <v>13</v>
      </c>
      <c r="F14956">
        <v>2</v>
      </c>
      <c r="G14956">
        <v>6</v>
      </c>
      <c r="H14956">
        <f t="shared" si="469"/>
        <v>-4</v>
      </c>
    </row>
    <row r="14957" spans="1:8" x14ac:dyDescent="0.2">
      <c r="A14957" t="s">
        <v>7</v>
      </c>
      <c r="B14957" t="s">
        <v>34</v>
      </c>
      <c r="C14957" t="str">
        <f t="shared" si="470"/>
        <v>No cumple</v>
      </c>
      <c r="D14957">
        <v>3796</v>
      </c>
      <c r="E14957" t="s">
        <v>13</v>
      </c>
      <c r="F14957">
        <v>2</v>
      </c>
      <c r="G14957">
        <v>6</v>
      </c>
      <c r="H14957">
        <f t="shared" si="469"/>
        <v>-4</v>
      </c>
    </row>
    <row r="14958" spans="1:8" x14ac:dyDescent="0.2">
      <c r="A14958" t="s">
        <v>7</v>
      </c>
      <c r="B14958" t="s">
        <v>34</v>
      </c>
      <c r="C14958" t="str">
        <f t="shared" si="470"/>
        <v>No cumple</v>
      </c>
      <c r="D14958">
        <v>3913</v>
      </c>
      <c r="E14958" t="s">
        <v>13</v>
      </c>
      <c r="F14958">
        <v>2</v>
      </c>
      <c r="G14958">
        <v>6</v>
      </c>
      <c r="H14958">
        <f t="shared" si="469"/>
        <v>-4</v>
      </c>
    </row>
    <row r="14959" spans="1:8" x14ac:dyDescent="0.2">
      <c r="A14959" t="s">
        <v>7</v>
      </c>
      <c r="B14959" t="s">
        <v>34</v>
      </c>
      <c r="C14959" t="str">
        <f t="shared" si="470"/>
        <v>No cumple</v>
      </c>
      <c r="D14959">
        <v>7028</v>
      </c>
      <c r="E14959" t="s">
        <v>13</v>
      </c>
      <c r="F14959">
        <v>2</v>
      </c>
      <c r="G14959">
        <v>6</v>
      </c>
      <c r="H14959">
        <f t="shared" si="469"/>
        <v>-4</v>
      </c>
    </row>
    <row r="14960" spans="1:8" x14ac:dyDescent="0.2">
      <c r="A14960" t="s">
        <v>7</v>
      </c>
      <c r="B14960" t="s">
        <v>34</v>
      </c>
      <c r="C14960" t="str">
        <f t="shared" si="470"/>
        <v>No cumple</v>
      </c>
      <c r="D14960">
        <v>9301</v>
      </c>
      <c r="E14960" t="s">
        <v>13</v>
      </c>
      <c r="F14960">
        <v>2</v>
      </c>
      <c r="G14960">
        <v>6</v>
      </c>
      <c r="H14960">
        <f t="shared" si="469"/>
        <v>-4</v>
      </c>
    </row>
    <row r="14961" spans="1:8" x14ac:dyDescent="0.2">
      <c r="A14961" t="s">
        <v>7</v>
      </c>
      <c r="B14961" t="s">
        <v>34</v>
      </c>
      <c r="C14961" t="str">
        <f t="shared" si="470"/>
        <v>No cumple</v>
      </c>
      <c r="D14961">
        <v>9658</v>
      </c>
      <c r="E14961" t="s">
        <v>13</v>
      </c>
      <c r="F14961">
        <v>2</v>
      </c>
      <c r="G14961">
        <v>6</v>
      </c>
      <c r="H14961">
        <f t="shared" si="469"/>
        <v>-4</v>
      </c>
    </row>
    <row r="14962" spans="1:8" x14ac:dyDescent="0.2">
      <c r="A14962" t="s">
        <v>7</v>
      </c>
      <c r="B14962" t="s">
        <v>34</v>
      </c>
      <c r="C14962" t="str">
        <f t="shared" si="470"/>
        <v>No cumple</v>
      </c>
      <c r="D14962">
        <v>9665</v>
      </c>
      <c r="E14962" t="s">
        <v>13</v>
      </c>
      <c r="F14962">
        <v>2</v>
      </c>
      <c r="G14962">
        <v>6</v>
      </c>
      <c r="H14962">
        <f t="shared" si="469"/>
        <v>-4</v>
      </c>
    </row>
    <row r="14963" spans="1:8" x14ac:dyDescent="0.2">
      <c r="A14963" t="s">
        <v>7</v>
      </c>
      <c r="B14963" t="s">
        <v>34</v>
      </c>
      <c r="C14963" t="str">
        <f t="shared" si="470"/>
        <v>No cumple</v>
      </c>
      <c r="D14963">
        <v>9834</v>
      </c>
      <c r="E14963" t="s">
        <v>13</v>
      </c>
      <c r="F14963">
        <v>2</v>
      </c>
      <c r="G14963">
        <v>6</v>
      </c>
      <c r="H14963">
        <f t="shared" si="469"/>
        <v>-4</v>
      </c>
    </row>
    <row r="14964" spans="1:8" x14ac:dyDescent="0.2">
      <c r="A14964" t="s">
        <v>7</v>
      </c>
      <c r="B14964" t="s">
        <v>34</v>
      </c>
      <c r="C14964" t="str">
        <f t="shared" si="470"/>
        <v>No cumple</v>
      </c>
      <c r="D14964">
        <v>9298</v>
      </c>
      <c r="E14964" t="s">
        <v>13</v>
      </c>
      <c r="F14964">
        <v>2</v>
      </c>
      <c r="G14964">
        <v>6</v>
      </c>
      <c r="H14964">
        <f t="shared" si="469"/>
        <v>-4</v>
      </c>
    </row>
    <row r="14965" spans="1:8" x14ac:dyDescent="0.2">
      <c r="A14965" t="s">
        <v>7</v>
      </c>
      <c r="B14965" t="s">
        <v>34</v>
      </c>
      <c r="C14965" t="str">
        <f t="shared" si="470"/>
        <v>No cumple</v>
      </c>
      <c r="D14965">
        <v>319</v>
      </c>
      <c r="E14965" t="s">
        <v>13</v>
      </c>
      <c r="F14965">
        <v>2</v>
      </c>
      <c r="G14965">
        <v>6</v>
      </c>
      <c r="H14965">
        <f t="shared" si="469"/>
        <v>-4</v>
      </c>
    </row>
    <row r="14966" spans="1:8" x14ac:dyDescent="0.2">
      <c r="A14966" t="s">
        <v>7</v>
      </c>
      <c r="B14966" t="s">
        <v>34</v>
      </c>
      <c r="C14966" t="str">
        <f t="shared" si="470"/>
        <v>No cumple</v>
      </c>
      <c r="D14966">
        <v>4056</v>
      </c>
      <c r="E14966" t="s">
        <v>13</v>
      </c>
      <c r="F14966">
        <v>2</v>
      </c>
      <c r="G14966">
        <v>6</v>
      </c>
      <c r="H14966">
        <f t="shared" si="469"/>
        <v>-4</v>
      </c>
    </row>
    <row r="14967" spans="1:8" x14ac:dyDescent="0.2">
      <c r="A14967" t="s">
        <v>7</v>
      </c>
      <c r="B14967" t="s">
        <v>34</v>
      </c>
      <c r="C14967" t="str">
        <f t="shared" si="470"/>
        <v>No cumple</v>
      </c>
      <c r="D14967">
        <v>2875</v>
      </c>
      <c r="E14967" t="s">
        <v>13</v>
      </c>
      <c r="F14967">
        <v>2</v>
      </c>
      <c r="G14967">
        <v>6</v>
      </c>
      <c r="H14967">
        <f t="shared" si="469"/>
        <v>-4</v>
      </c>
    </row>
    <row r="14968" spans="1:8" x14ac:dyDescent="0.2">
      <c r="A14968" t="s">
        <v>7</v>
      </c>
      <c r="B14968" t="s">
        <v>34</v>
      </c>
      <c r="C14968" t="str">
        <f t="shared" si="470"/>
        <v>No cumple</v>
      </c>
      <c r="D14968">
        <v>217</v>
      </c>
      <c r="E14968" t="s">
        <v>13</v>
      </c>
      <c r="F14968">
        <v>1</v>
      </c>
      <c r="G14968">
        <v>6</v>
      </c>
      <c r="H14968">
        <f t="shared" si="469"/>
        <v>-5</v>
      </c>
    </row>
    <row r="14969" spans="1:8" x14ac:dyDescent="0.2">
      <c r="A14969" t="s">
        <v>7</v>
      </c>
      <c r="B14969" t="s">
        <v>34</v>
      </c>
      <c r="C14969" t="str">
        <f t="shared" si="470"/>
        <v>No cumple</v>
      </c>
      <c r="D14969">
        <v>226</v>
      </c>
      <c r="E14969" t="s">
        <v>13</v>
      </c>
      <c r="F14969">
        <v>1</v>
      </c>
      <c r="G14969">
        <v>6</v>
      </c>
      <c r="H14969">
        <f t="shared" si="469"/>
        <v>-5</v>
      </c>
    </row>
    <row r="14970" spans="1:8" x14ac:dyDescent="0.2">
      <c r="A14970" t="s">
        <v>7</v>
      </c>
      <c r="B14970" t="s">
        <v>34</v>
      </c>
      <c r="C14970" t="str">
        <f t="shared" si="470"/>
        <v>No cumple</v>
      </c>
      <c r="D14970">
        <v>230</v>
      </c>
      <c r="E14970" t="s">
        <v>13</v>
      </c>
      <c r="F14970">
        <v>1</v>
      </c>
      <c r="G14970">
        <v>6</v>
      </c>
      <c r="H14970">
        <f t="shared" si="469"/>
        <v>-5</v>
      </c>
    </row>
    <row r="14971" spans="1:8" x14ac:dyDescent="0.2">
      <c r="A14971" t="s">
        <v>7</v>
      </c>
      <c r="B14971" t="s">
        <v>34</v>
      </c>
      <c r="C14971" t="str">
        <f t="shared" si="470"/>
        <v>No cumple</v>
      </c>
      <c r="D14971">
        <v>677</v>
      </c>
      <c r="E14971" t="s">
        <v>13</v>
      </c>
      <c r="F14971">
        <v>1</v>
      </c>
      <c r="G14971">
        <v>6</v>
      </c>
      <c r="H14971">
        <f t="shared" si="469"/>
        <v>-5</v>
      </c>
    </row>
    <row r="14972" spans="1:8" x14ac:dyDescent="0.2">
      <c r="A14972" t="s">
        <v>7</v>
      </c>
      <c r="B14972" t="s">
        <v>34</v>
      </c>
      <c r="C14972" t="str">
        <f t="shared" si="470"/>
        <v>No cumple</v>
      </c>
      <c r="D14972">
        <v>772</v>
      </c>
      <c r="E14972" t="s">
        <v>13</v>
      </c>
      <c r="F14972">
        <v>1</v>
      </c>
      <c r="G14972">
        <v>6</v>
      </c>
      <c r="H14972">
        <f t="shared" si="469"/>
        <v>-5</v>
      </c>
    </row>
    <row r="14973" spans="1:8" x14ac:dyDescent="0.2">
      <c r="A14973" t="s">
        <v>7</v>
      </c>
      <c r="B14973" t="s">
        <v>34</v>
      </c>
      <c r="C14973" t="str">
        <f t="shared" si="470"/>
        <v>No cumple</v>
      </c>
      <c r="D14973">
        <v>821</v>
      </c>
      <c r="E14973" t="s">
        <v>13</v>
      </c>
      <c r="F14973">
        <v>1</v>
      </c>
      <c r="G14973">
        <v>6</v>
      </c>
      <c r="H14973">
        <f t="shared" ref="H14973:H15036" si="471">F14973-G14973</f>
        <v>-5</v>
      </c>
    </row>
    <row r="14974" spans="1:8" x14ac:dyDescent="0.2">
      <c r="A14974" t="s">
        <v>7</v>
      </c>
      <c r="B14974" t="s">
        <v>34</v>
      </c>
      <c r="C14974" t="str">
        <f t="shared" si="470"/>
        <v>No cumple</v>
      </c>
      <c r="D14974">
        <v>847</v>
      </c>
      <c r="E14974" t="s">
        <v>13</v>
      </c>
      <c r="F14974">
        <v>1</v>
      </c>
      <c r="G14974">
        <v>6</v>
      </c>
      <c r="H14974">
        <f t="shared" si="471"/>
        <v>-5</v>
      </c>
    </row>
    <row r="14975" spans="1:8" x14ac:dyDescent="0.2">
      <c r="A14975" t="s">
        <v>7</v>
      </c>
      <c r="B14975" t="s">
        <v>34</v>
      </c>
      <c r="C14975" t="str">
        <f t="shared" si="470"/>
        <v>No cumple</v>
      </c>
      <c r="D14975">
        <v>859</v>
      </c>
      <c r="E14975" t="s">
        <v>13</v>
      </c>
      <c r="F14975">
        <v>1</v>
      </c>
      <c r="G14975">
        <v>6</v>
      </c>
      <c r="H14975">
        <f t="shared" si="471"/>
        <v>-5</v>
      </c>
    </row>
    <row r="14976" spans="1:8" x14ac:dyDescent="0.2">
      <c r="A14976" t="s">
        <v>7</v>
      </c>
      <c r="B14976" t="s">
        <v>34</v>
      </c>
      <c r="C14976" t="str">
        <f t="shared" si="470"/>
        <v>No cumple</v>
      </c>
      <c r="D14976">
        <v>926</v>
      </c>
      <c r="E14976" t="s">
        <v>13</v>
      </c>
      <c r="F14976">
        <v>1</v>
      </c>
      <c r="G14976">
        <v>6</v>
      </c>
      <c r="H14976">
        <f t="shared" si="471"/>
        <v>-5</v>
      </c>
    </row>
    <row r="14977" spans="1:8" x14ac:dyDescent="0.2">
      <c r="A14977" t="s">
        <v>7</v>
      </c>
      <c r="B14977" t="s">
        <v>34</v>
      </c>
      <c r="C14977" t="str">
        <f t="shared" si="470"/>
        <v>No cumple</v>
      </c>
      <c r="D14977">
        <v>1402</v>
      </c>
      <c r="E14977" t="s">
        <v>13</v>
      </c>
      <c r="F14977">
        <v>1</v>
      </c>
      <c r="G14977">
        <v>6</v>
      </c>
      <c r="H14977">
        <f t="shared" si="471"/>
        <v>-5</v>
      </c>
    </row>
    <row r="14978" spans="1:8" x14ac:dyDescent="0.2">
      <c r="A14978" t="s">
        <v>7</v>
      </c>
      <c r="B14978" t="s">
        <v>34</v>
      </c>
      <c r="C14978" t="str">
        <f t="shared" si="470"/>
        <v>No cumple</v>
      </c>
      <c r="D14978">
        <v>1472</v>
      </c>
      <c r="E14978" t="s">
        <v>13</v>
      </c>
      <c r="F14978">
        <v>1</v>
      </c>
      <c r="G14978">
        <v>6</v>
      </c>
      <c r="H14978">
        <f t="shared" si="471"/>
        <v>-5</v>
      </c>
    </row>
    <row r="14979" spans="1:8" x14ac:dyDescent="0.2">
      <c r="A14979" t="s">
        <v>7</v>
      </c>
      <c r="B14979" t="s">
        <v>34</v>
      </c>
      <c r="C14979" t="str">
        <f t="shared" si="470"/>
        <v>No cumple</v>
      </c>
      <c r="D14979">
        <v>1603</v>
      </c>
      <c r="E14979" t="s">
        <v>13</v>
      </c>
      <c r="F14979">
        <v>1</v>
      </c>
      <c r="G14979">
        <v>6</v>
      </c>
      <c r="H14979">
        <f t="shared" si="471"/>
        <v>-5</v>
      </c>
    </row>
    <row r="14980" spans="1:8" x14ac:dyDescent="0.2">
      <c r="A14980" t="s">
        <v>7</v>
      </c>
      <c r="B14980" t="s">
        <v>34</v>
      </c>
      <c r="C14980" t="str">
        <f t="shared" si="470"/>
        <v>No cumple</v>
      </c>
      <c r="D14980">
        <v>1615</v>
      </c>
      <c r="E14980" t="s">
        <v>13</v>
      </c>
      <c r="F14980">
        <v>1</v>
      </c>
      <c r="G14980">
        <v>6</v>
      </c>
      <c r="H14980">
        <f t="shared" si="471"/>
        <v>-5</v>
      </c>
    </row>
    <row r="14981" spans="1:8" x14ac:dyDescent="0.2">
      <c r="A14981" t="s">
        <v>7</v>
      </c>
      <c r="B14981" t="s">
        <v>34</v>
      </c>
      <c r="C14981" t="str">
        <f t="shared" ref="C14981:C15044" si="472">IF(H14981&gt;=0,"Cumple","No cumple")</f>
        <v>No cumple</v>
      </c>
      <c r="D14981">
        <v>2653</v>
      </c>
      <c r="E14981" t="s">
        <v>13</v>
      </c>
      <c r="F14981">
        <v>1</v>
      </c>
      <c r="G14981">
        <v>6</v>
      </c>
      <c r="H14981">
        <f t="shared" si="471"/>
        <v>-5</v>
      </c>
    </row>
    <row r="14982" spans="1:8" x14ac:dyDescent="0.2">
      <c r="A14982" t="s">
        <v>7</v>
      </c>
      <c r="B14982" t="s">
        <v>34</v>
      </c>
      <c r="C14982" t="str">
        <f t="shared" si="472"/>
        <v>No cumple</v>
      </c>
      <c r="D14982">
        <v>2983</v>
      </c>
      <c r="E14982" t="s">
        <v>13</v>
      </c>
      <c r="F14982">
        <v>1</v>
      </c>
      <c r="G14982">
        <v>6</v>
      </c>
      <c r="H14982">
        <f t="shared" si="471"/>
        <v>-5</v>
      </c>
    </row>
    <row r="14983" spans="1:8" x14ac:dyDescent="0.2">
      <c r="A14983" t="s">
        <v>7</v>
      </c>
      <c r="B14983" t="s">
        <v>34</v>
      </c>
      <c r="C14983" t="str">
        <f t="shared" si="472"/>
        <v>No cumple</v>
      </c>
      <c r="D14983">
        <v>3180</v>
      </c>
      <c r="E14983" t="s">
        <v>13</v>
      </c>
      <c r="F14983">
        <v>1</v>
      </c>
      <c r="G14983">
        <v>6</v>
      </c>
      <c r="H14983">
        <f t="shared" si="471"/>
        <v>-5</v>
      </c>
    </row>
    <row r="14984" spans="1:8" x14ac:dyDescent="0.2">
      <c r="A14984" t="s">
        <v>7</v>
      </c>
      <c r="B14984" t="s">
        <v>34</v>
      </c>
      <c r="C14984" t="str">
        <f t="shared" si="472"/>
        <v>No cumple</v>
      </c>
      <c r="D14984">
        <v>3746</v>
      </c>
      <c r="E14984" t="s">
        <v>13</v>
      </c>
      <c r="F14984">
        <v>1</v>
      </c>
      <c r="G14984">
        <v>6</v>
      </c>
      <c r="H14984">
        <f t="shared" si="471"/>
        <v>-5</v>
      </c>
    </row>
    <row r="14985" spans="1:8" x14ac:dyDescent="0.2">
      <c r="A14985" t="s">
        <v>7</v>
      </c>
      <c r="B14985" t="s">
        <v>34</v>
      </c>
      <c r="C14985" t="str">
        <f t="shared" si="472"/>
        <v>No cumple</v>
      </c>
      <c r="D14985">
        <v>3819</v>
      </c>
      <c r="E14985" t="s">
        <v>13</v>
      </c>
      <c r="F14985">
        <v>1</v>
      </c>
      <c r="G14985">
        <v>6</v>
      </c>
      <c r="H14985">
        <f t="shared" si="471"/>
        <v>-5</v>
      </c>
    </row>
    <row r="14986" spans="1:8" x14ac:dyDescent="0.2">
      <c r="A14986" t="s">
        <v>7</v>
      </c>
      <c r="B14986" t="s">
        <v>34</v>
      </c>
      <c r="C14986" t="str">
        <f t="shared" si="472"/>
        <v>No cumple</v>
      </c>
      <c r="D14986">
        <v>3866</v>
      </c>
      <c r="E14986" t="s">
        <v>13</v>
      </c>
      <c r="F14986">
        <v>1</v>
      </c>
      <c r="G14986">
        <v>6</v>
      </c>
      <c r="H14986">
        <f t="shared" si="471"/>
        <v>-5</v>
      </c>
    </row>
    <row r="14987" spans="1:8" x14ac:dyDescent="0.2">
      <c r="A14987" t="s">
        <v>7</v>
      </c>
      <c r="B14987" t="s">
        <v>34</v>
      </c>
      <c r="C14987" t="str">
        <f t="shared" si="472"/>
        <v>No cumple</v>
      </c>
      <c r="D14987">
        <v>3893</v>
      </c>
      <c r="E14987" t="s">
        <v>13</v>
      </c>
      <c r="F14987">
        <v>1</v>
      </c>
      <c r="G14987">
        <v>6</v>
      </c>
      <c r="H14987">
        <f t="shared" si="471"/>
        <v>-5</v>
      </c>
    </row>
    <row r="14988" spans="1:8" x14ac:dyDescent="0.2">
      <c r="A14988" t="s">
        <v>7</v>
      </c>
      <c r="B14988" t="s">
        <v>34</v>
      </c>
      <c r="C14988" t="str">
        <f t="shared" si="472"/>
        <v>No cumple</v>
      </c>
      <c r="D14988">
        <v>3974</v>
      </c>
      <c r="E14988" t="s">
        <v>13</v>
      </c>
      <c r="F14988">
        <v>1</v>
      </c>
      <c r="G14988">
        <v>6</v>
      </c>
      <c r="H14988">
        <f t="shared" si="471"/>
        <v>-5</v>
      </c>
    </row>
    <row r="14989" spans="1:8" x14ac:dyDescent="0.2">
      <c r="A14989" t="s">
        <v>7</v>
      </c>
      <c r="B14989" t="s">
        <v>34</v>
      </c>
      <c r="C14989" t="str">
        <f t="shared" si="472"/>
        <v>No cumple</v>
      </c>
      <c r="D14989">
        <v>9004</v>
      </c>
      <c r="E14989" t="s">
        <v>13</v>
      </c>
      <c r="F14989">
        <v>1</v>
      </c>
      <c r="G14989">
        <v>6</v>
      </c>
      <c r="H14989">
        <f t="shared" si="471"/>
        <v>-5</v>
      </c>
    </row>
    <row r="14990" spans="1:8" x14ac:dyDescent="0.2">
      <c r="A14990" t="s">
        <v>7</v>
      </c>
      <c r="B14990" t="s">
        <v>34</v>
      </c>
      <c r="C14990" t="str">
        <f t="shared" si="472"/>
        <v>No cumple</v>
      </c>
      <c r="D14990">
        <v>9744</v>
      </c>
      <c r="E14990" t="s">
        <v>13</v>
      </c>
      <c r="F14990">
        <v>1</v>
      </c>
      <c r="G14990">
        <v>6</v>
      </c>
      <c r="H14990">
        <f t="shared" si="471"/>
        <v>-5</v>
      </c>
    </row>
    <row r="14991" spans="1:8" x14ac:dyDescent="0.2">
      <c r="A14991" t="s">
        <v>7</v>
      </c>
      <c r="B14991" t="s">
        <v>34</v>
      </c>
      <c r="C14991" t="str">
        <f t="shared" si="472"/>
        <v>No cumple</v>
      </c>
      <c r="D14991">
        <v>9821</v>
      </c>
      <c r="E14991" t="s">
        <v>13</v>
      </c>
      <c r="F14991">
        <v>1</v>
      </c>
      <c r="G14991">
        <v>6</v>
      </c>
      <c r="H14991">
        <f t="shared" si="471"/>
        <v>-5</v>
      </c>
    </row>
    <row r="14992" spans="1:8" x14ac:dyDescent="0.2">
      <c r="A14992" t="s">
        <v>7</v>
      </c>
      <c r="B14992" t="s">
        <v>34</v>
      </c>
      <c r="C14992" t="str">
        <f t="shared" si="472"/>
        <v>No cumple</v>
      </c>
      <c r="D14992">
        <v>9381</v>
      </c>
      <c r="E14992" t="s">
        <v>13</v>
      </c>
      <c r="F14992">
        <v>1</v>
      </c>
      <c r="G14992">
        <v>6</v>
      </c>
      <c r="H14992">
        <f t="shared" si="471"/>
        <v>-5</v>
      </c>
    </row>
    <row r="14993" spans="1:8" x14ac:dyDescent="0.2">
      <c r="A14993" t="s">
        <v>7</v>
      </c>
      <c r="B14993" t="s">
        <v>34</v>
      </c>
      <c r="C14993" t="str">
        <f t="shared" si="472"/>
        <v>No cumple</v>
      </c>
      <c r="D14993">
        <v>747</v>
      </c>
      <c r="E14993" t="s">
        <v>13</v>
      </c>
      <c r="F14993">
        <v>1</v>
      </c>
      <c r="G14993">
        <v>6</v>
      </c>
      <c r="H14993">
        <f t="shared" si="471"/>
        <v>-5</v>
      </c>
    </row>
    <row r="14994" spans="1:8" x14ac:dyDescent="0.2">
      <c r="A14994" t="s">
        <v>7</v>
      </c>
      <c r="B14994" t="s">
        <v>34</v>
      </c>
      <c r="C14994" t="str">
        <f t="shared" si="472"/>
        <v>No cumple</v>
      </c>
      <c r="D14994">
        <v>8520</v>
      </c>
      <c r="E14994" t="s">
        <v>13</v>
      </c>
      <c r="F14994">
        <v>1</v>
      </c>
      <c r="G14994">
        <v>6</v>
      </c>
      <c r="H14994">
        <f t="shared" si="471"/>
        <v>-5</v>
      </c>
    </row>
    <row r="14995" spans="1:8" x14ac:dyDescent="0.2">
      <c r="A14995" t="s">
        <v>18</v>
      </c>
      <c r="B14995" t="s">
        <v>34</v>
      </c>
      <c r="C14995" t="str">
        <f t="shared" si="472"/>
        <v>No cumple</v>
      </c>
      <c r="D14995">
        <v>233</v>
      </c>
      <c r="E14995" t="s">
        <v>13</v>
      </c>
      <c r="F14995">
        <v>0</v>
      </c>
      <c r="G14995">
        <v>6</v>
      </c>
      <c r="H14995">
        <f t="shared" si="471"/>
        <v>-6</v>
      </c>
    </row>
    <row r="14996" spans="1:8" x14ac:dyDescent="0.2">
      <c r="A14996" t="s">
        <v>7</v>
      </c>
      <c r="B14996" t="s">
        <v>34</v>
      </c>
      <c r="C14996" t="str">
        <f t="shared" si="472"/>
        <v>No cumple</v>
      </c>
      <c r="D14996">
        <v>245</v>
      </c>
      <c r="E14996" t="s">
        <v>13</v>
      </c>
      <c r="F14996">
        <v>0</v>
      </c>
      <c r="G14996">
        <v>6</v>
      </c>
      <c r="H14996">
        <f t="shared" si="471"/>
        <v>-6</v>
      </c>
    </row>
    <row r="14997" spans="1:8" x14ac:dyDescent="0.2">
      <c r="A14997" t="s">
        <v>18</v>
      </c>
      <c r="B14997" t="s">
        <v>34</v>
      </c>
      <c r="C14997" t="str">
        <f t="shared" si="472"/>
        <v>No cumple</v>
      </c>
      <c r="D14997">
        <v>247</v>
      </c>
      <c r="E14997" t="s">
        <v>13</v>
      </c>
      <c r="F14997">
        <v>0</v>
      </c>
      <c r="G14997">
        <v>6</v>
      </c>
      <c r="H14997">
        <f t="shared" si="471"/>
        <v>-6</v>
      </c>
    </row>
    <row r="14998" spans="1:8" x14ac:dyDescent="0.2">
      <c r="A14998" t="s">
        <v>7</v>
      </c>
      <c r="B14998" t="s">
        <v>34</v>
      </c>
      <c r="C14998" t="str">
        <f t="shared" si="472"/>
        <v>No cumple</v>
      </c>
      <c r="D14998">
        <v>756</v>
      </c>
      <c r="E14998" t="s">
        <v>13</v>
      </c>
      <c r="F14998">
        <v>0</v>
      </c>
      <c r="G14998">
        <v>6</v>
      </c>
      <c r="H14998">
        <f t="shared" si="471"/>
        <v>-6</v>
      </c>
    </row>
    <row r="14999" spans="1:8" x14ac:dyDescent="0.2">
      <c r="A14999" t="s">
        <v>18</v>
      </c>
      <c r="B14999" t="s">
        <v>34</v>
      </c>
      <c r="C14999" t="str">
        <f t="shared" si="472"/>
        <v>No cumple</v>
      </c>
      <c r="D14999">
        <v>781</v>
      </c>
      <c r="E14999" t="s">
        <v>13</v>
      </c>
      <c r="F14999">
        <v>0</v>
      </c>
      <c r="G14999">
        <v>6</v>
      </c>
      <c r="H14999">
        <f t="shared" si="471"/>
        <v>-6</v>
      </c>
    </row>
    <row r="15000" spans="1:8" x14ac:dyDescent="0.2">
      <c r="A15000" t="s">
        <v>7</v>
      </c>
      <c r="B15000" t="s">
        <v>34</v>
      </c>
      <c r="C15000" t="str">
        <f t="shared" si="472"/>
        <v>No cumple</v>
      </c>
      <c r="D15000">
        <v>836</v>
      </c>
      <c r="E15000" t="s">
        <v>13</v>
      </c>
      <c r="F15000">
        <v>0</v>
      </c>
      <c r="G15000">
        <v>6</v>
      </c>
      <c r="H15000">
        <f t="shared" si="471"/>
        <v>-6</v>
      </c>
    </row>
    <row r="15001" spans="1:8" x14ac:dyDescent="0.2">
      <c r="A15001" t="s">
        <v>7</v>
      </c>
      <c r="B15001" t="s">
        <v>34</v>
      </c>
      <c r="C15001" t="str">
        <f t="shared" si="472"/>
        <v>No cumple</v>
      </c>
      <c r="D15001">
        <v>858</v>
      </c>
      <c r="E15001" t="s">
        <v>13</v>
      </c>
      <c r="F15001">
        <v>0</v>
      </c>
      <c r="G15001">
        <v>6</v>
      </c>
      <c r="H15001">
        <f t="shared" si="471"/>
        <v>-6</v>
      </c>
    </row>
    <row r="15002" spans="1:8" x14ac:dyDescent="0.2">
      <c r="A15002" t="s">
        <v>7</v>
      </c>
      <c r="B15002" t="s">
        <v>34</v>
      </c>
      <c r="C15002" t="str">
        <f t="shared" si="472"/>
        <v>No cumple</v>
      </c>
      <c r="D15002">
        <v>903</v>
      </c>
      <c r="E15002" t="s">
        <v>13</v>
      </c>
      <c r="F15002">
        <v>0</v>
      </c>
      <c r="G15002">
        <v>6</v>
      </c>
      <c r="H15002">
        <f t="shared" si="471"/>
        <v>-6</v>
      </c>
    </row>
    <row r="15003" spans="1:8" x14ac:dyDescent="0.2">
      <c r="A15003" t="s">
        <v>18</v>
      </c>
      <c r="B15003" t="s">
        <v>34</v>
      </c>
      <c r="C15003" t="str">
        <f t="shared" si="472"/>
        <v>No cumple</v>
      </c>
      <c r="D15003">
        <v>951</v>
      </c>
      <c r="E15003" t="s">
        <v>13</v>
      </c>
      <c r="F15003">
        <v>0</v>
      </c>
      <c r="G15003">
        <v>6</v>
      </c>
      <c r="H15003">
        <f t="shared" si="471"/>
        <v>-6</v>
      </c>
    </row>
    <row r="15004" spans="1:8" x14ac:dyDescent="0.2">
      <c r="A15004" t="s">
        <v>18</v>
      </c>
      <c r="B15004" t="s">
        <v>34</v>
      </c>
      <c r="C15004" t="str">
        <f t="shared" si="472"/>
        <v>No cumple</v>
      </c>
      <c r="D15004">
        <v>991</v>
      </c>
      <c r="E15004" t="s">
        <v>13</v>
      </c>
      <c r="F15004">
        <v>0</v>
      </c>
      <c r="G15004">
        <v>6</v>
      </c>
      <c r="H15004">
        <f t="shared" si="471"/>
        <v>-6</v>
      </c>
    </row>
    <row r="15005" spans="1:8" x14ac:dyDescent="0.2">
      <c r="A15005" t="s">
        <v>7</v>
      </c>
      <c r="B15005" t="s">
        <v>34</v>
      </c>
      <c r="C15005" t="str">
        <f t="shared" si="472"/>
        <v>No cumple</v>
      </c>
      <c r="D15005">
        <v>1297</v>
      </c>
      <c r="E15005" t="s">
        <v>13</v>
      </c>
      <c r="F15005">
        <v>0</v>
      </c>
      <c r="G15005">
        <v>6</v>
      </c>
      <c r="H15005">
        <f t="shared" si="471"/>
        <v>-6</v>
      </c>
    </row>
    <row r="15006" spans="1:8" x14ac:dyDescent="0.2">
      <c r="A15006" t="s">
        <v>7</v>
      </c>
      <c r="B15006" t="s">
        <v>34</v>
      </c>
      <c r="C15006" t="str">
        <f t="shared" si="472"/>
        <v>No cumple</v>
      </c>
      <c r="D15006">
        <v>1441</v>
      </c>
      <c r="E15006" t="s">
        <v>13</v>
      </c>
      <c r="F15006">
        <v>0</v>
      </c>
      <c r="G15006">
        <v>6</v>
      </c>
      <c r="H15006">
        <f t="shared" si="471"/>
        <v>-6</v>
      </c>
    </row>
    <row r="15007" spans="1:8" x14ac:dyDescent="0.2">
      <c r="A15007" t="s">
        <v>7</v>
      </c>
      <c r="B15007" t="s">
        <v>34</v>
      </c>
      <c r="C15007" t="str">
        <f t="shared" si="472"/>
        <v>No cumple</v>
      </c>
      <c r="D15007">
        <v>1447</v>
      </c>
      <c r="E15007" t="s">
        <v>13</v>
      </c>
      <c r="F15007">
        <v>0</v>
      </c>
      <c r="G15007">
        <v>6</v>
      </c>
      <c r="H15007">
        <f t="shared" si="471"/>
        <v>-6</v>
      </c>
    </row>
    <row r="15008" spans="1:8" x14ac:dyDescent="0.2">
      <c r="A15008" t="s">
        <v>7</v>
      </c>
      <c r="B15008" t="s">
        <v>34</v>
      </c>
      <c r="C15008" t="str">
        <f t="shared" si="472"/>
        <v>No cumple</v>
      </c>
      <c r="D15008">
        <v>1453</v>
      </c>
      <c r="E15008" t="s">
        <v>13</v>
      </c>
      <c r="F15008">
        <v>0</v>
      </c>
      <c r="G15008">
        <v>6</v>
      </c>
      <c r="H15008">
        <f t="shared" si="471"/>
        <v>-6</v>
      </c>
    </row>
    <row r="15009" spans="1:8" x14ac:dyDescent="0.2">
      <c r="A15009" t="s">
        <v>7</v>
      </c>
      <c r="B15009" t="s">
        <v>34</v>
      </c>
      <c r="C15009" t="str">
        <f t="shared" si="472"/>
        <v>No cumple</v>
      </c>
      <c r="D15009">
        <v>1470</v>
      </c>
      <c r="E15009" t="s">
        <v>13</v>
      </c>
      <c r="F15009">
        <v>0</v>
      </c>
      <c r="G15009">
        <v>6</v>
      </c>
      <c r="H15009">
        <f t="shared" si="471"/>
        <v>-6</v>
      </c>
    </row>
    <row r="15010" spans="1:8" x14ac:dyDescent="0.2">
      <c r="A15010" t="s">
        <v>7</v>
      </c>
      <c r="B15010" t="s">
        <v>34</v>
      </c>
      <c r="C15010" t="str">
        <f t="shared" si="472"/>
        <v>No cumple</v>
      </c>
      <c r="D15010">
        <v>1673</v>
      </c>
      <c r="E15010" t="s">
        <v>13</v>
      </c>
      <c r="F15010">
        <v>0</v>
      </c>
      <c r="G15010">
        <v>6</v>
      </c>
      <c r="H15010">
        <f t="shared" si="471"/>
        <v>-6</v>
      </c>
    </row>
    <row r="15011" spans="1:8" x14ac:dyDescent="0.2">
      <c r="A15011" t="s">
        <v>7</v>
      </c>
      <c r="B15011" t="s">
        <v>34</v>
      </c>
      <c r="C15011" t="str">
        <f t="shared" si="472"/>
        <v>No cumple</v>
      </c>
      <c r="D15011">
        <v>1698</v>
      </c>
      <c r="E15011" t="s">
        <v>13</v>
      </c>
      <c r="F15011">
        <v>0</v>
      </c>
      <c r="G15011">
        <v>6</v>
      </c>
      <c r="H15011">
        <f t="shared" si="471"/>
        <v>-6</v>
      </c>
    </row>
    <row r="15012" spans="1:8" x14ac:dyDescent="0.2">
      <c r="A15012" t="s">
        <v>7</v>
      </c>
      <c r="B15012" t="s">
        <v>34</v>
      </c>
      <c r="C15012" t="str">
        <f t="shared" si="472"/>
        <v>No cumple</v>
      </c>
      <c r="D15012">
        <v>1792</v>
      </c>
      <c r="E15012" t="s">
        <v>13</v>
      </c>
      <c r="F15012">
        <v>0</v>
      </c>
      <c r="G15012">
        <v>6</v>
      </c>
      <c r="H15012">
        <f t="shared" si="471"/>
        <v>-6</v>
      </c>
    </row>
    <row r="15013" spans="1:8" x14ac:dyDescent="0.2">
      <c r="A15013" t="s">
        <v>18</v>
      </c>
      <c r="B15013" t="s">
        <v>34</v>
      </c>
      <c r="C15013" t="str">
        <f t="shared" si="472"/>
        <v>No cumple</v>
      </c>
      <c r="D15013">
        <v>2212</v>
      </c>
      <c r="E15013" t="s">
        <v>13</v>
      </c>
      <c r="F15013">
        <v>0</v>
      </c>
      <c r="G15013">
        <v>6</v>
      </c>
      <c r="H15013">
        <f t="shared" si="471"/>
        <v>-6</v>
      </c>
    </row>
    <row r="15014" spans="1:8" x14ac:dyDescent="0.2">
      <c r="A15014" t="s">
        <v>18</v>
      </c>
      <c r="B15014" t="s">
        <v>34</v>
      </c>
      <c r="C15014" t="str">
        <f t="shared" si="472"/>
        <v>No cumple</v>
      </c>
      <c r="D15014">
        <v>2941</v>
      </c>
      <c r="E15014" t="s">
        <v>13</v>
      </c>
      <c r="F15014">
        <v>0</v>
      </c>
      <c r="G15014">
        <v>6</v>
      </c>
      <c r="H15014">
        <f t="shared" si="471"/>
        <v>-6</v>
      </c>
    </row>
    <row r="15015" spans="1:8" x14ac:dyDescent="0.2">
      <c r="A15015" t="s">
        <v>18</v>
      </c>
      <c r="B15015" t="s">
        <v>34</v>
      </c>
      <c r="C15015" t="str">
        <f t="shared" si="472"/>
        <v>No cumple</v>
      </c>
      <c r="D15015">
        <v>2942</v>
      </c>
      <c r="E15015" t="s">
        <v>13</v>
      </c>
      <c r="F15015">
        <v>0</v>
      </c>
      <c r="G15015">
        <v>6</v>
      </c>
      <c r="H15015">
        <f t="shared" si="471"/>
        <v>-6</v>
      </c>
    </row>
    <row r="15016" spans="1:8" x14ac:dyDescent="0.2">
      <c r="A15016" t="s">
        <v>18</v>
      </c>
      <c r="B15016" t="s">
        <v>34</v>
      </c>
      <c r="C15016" t="str">
        <f t="shared" si="472"/>
        <v>No cumple</v>
      </c>
      <c r="D15016">
        <v>2943</v>
      </c>
      <c r="E15016" t="s">
        <v>13</v>
      </c>
      <c r="F15016">
        <v>0</v>
      </c>
      <c r="G15016">
        <v>6</v>
      </c>
      <c r="H15016">
        <f t="shared" si="471"/>
        <v>-6</v>
      </c>
    </row>
    <row r="15017" spans="1:8" x14ac:dyDescent="0.2">
      <c r="A15017" t="s">
        <v>18</v>
      </c>
      <c r="B15017" t="s">
        <v>34</v>
      </c>
      <c r="C15017" t="str">
        <f t="shared" si="472"/>
        <v>No cumple</v>
      </c>
      <c r="D15017">
        <v>2944</v>
      </c>
      <c r="E15017" t="s">
        <v>13</v>
      </c>
      <c r="F15017">
        <v>0</v>
      </c>
      <c r="G15017">
        <v>6</v>
      </c>
      <c r="H15017">
        <f t="shared" si="471"/>
        <v>-6</v>
      </c>
    </row>
    <row r="15018" spans="1:8" x14ac:dyDescent="0.2">
      <c r="A15018" t="s">
        <v>7</v>
      </c>
      <c r="B15018" t="s">
        <v>34</v>
      </c>
      <c r="C15018" t="str">
        <f t="shared" si="472"/>
        <v>No cumple</v>
      </c>
      <c r="D15018">
        <v>2945</v>
      </c>
      <c r="E15018" t="s">
        <v>13</v>
      </c>
      <c r="F15018">
        <v>0</v>
      </c>
      <c r="G15018">
        <v>6</v>
      </c>
      <c r="H15018">
        <f t="shared" si="471"/>
        <v>-6</v>
      </c>
    </row>
    <row r="15019" spans="1:8" x14ac:dyDescent="0.2">
      <c r="A15019" t="s">
        <v>18</v>
      </c>
      <c r="B15019" t="s">
        <v>34</v>
      </c>
      <c r="C15019" t="str">
        <f t="shared" si="472"/>
        <v>No cumple</v>
      </c>
      <c r="D15019">
        <v>2947</v>
      </c>
      <c r="E15019" t="s">
        <v>13</v>
      </c>
      <c r="F15019">
        <v>0</v>
      </c>
      <c r="G15019">
        <v>6</v>
      </c>
      <c r="H15019">
        <f t="shared" si="471"/>
        <v>-6</v>
      </c>
    </row>
    <row r="15020" spans="1:8" x14ac:dyDescent="0.2">
      <c r="A15020" t="s">
        <v>18</v>
      </c>
      <c r="B15020" t="s">
        <v>34</v>
      </c>
      <c r="C15020" t="str">
        <f t="shared" si="472"/>
        <v>No cumple</v>
      </c>
      <c r="D15020">
        <v>2948</v>
      </c>
      <c r="E15020" t="s">
        <v>13</v>
      </c>
      <c r="F15020">
        <v>0</v>
      </c>
      <c r="G15020">
        <v>6</v>
      </c>
      <c r="H15020">
        <f t="shared" si="471"/>
        <v>-6</v>
      </c>
    </row>
    <row r="15021" spans="1:8" x14ac:dyDescent="0.2">
      <c r="A15021" t="s">
        <v>18</v>
      </c>
      <c r="B15021" t="s">
        <v>34</v>
      </c>
      <c r="C15021" t="str">
        <f t="shared" si="472"/>
        <v>No cumple</v>
      </c>
      <c r="D15021">
        <v>2949</v>
      </c>
      <c r="E15021" t="s">
        <v>13</v>
      </c>
      <c r="F15021">
        <v>0</v>
      </c>
      <c r="G15021">
        <v>6</v>
      </c>
      <c r="H15021">
        <f t="shared" si="471"/>
        <v>-6</v>
      </c>
    </row>
    <row r="15022" spans="1:8" x14ac:dyDescent="0.2">
      <c r="A15022" t="s">
        <v>18</v>
      </c>
      <c r="B15022" t="s">
        <v>34</v>
      </c>
      <c r="C15022" t="str">
        <f t="shared" si="472"/>
        <v>No cumple</v>
      </c>
      <c r="D15022">
        <v>2950</v>
      </c>
      <c r="E15022" t="s">
        <v>13</v>
      </c>
      <c r="F15022">
        <v>0</v>
      </c>
      <c r="G15022">
        <v>6</v>
      </c>
      <c r="H15022">
        <f t="shared" si="471"/>
        <v>-6</v>
      </c>
    </row>
    <row r="15023" spans="1:8" x14ac:dyDescent="0.2">
      <c r="A15023" t="s">
        <v>18</v>
      </c>
      <c r="B15023" t="s">
        <v>34</v>
      </c>
      <c r="C15023" t="str">
        <f t="shared" si="472"/>
        <v>No cumple</v>
      </c>
      <c r="D15023">
        <v>2951</v>
      </c>
      <c r="E15023" t="s">
        <v>13</v>
      </c>
      <c r="F15023">
        <v>0</v>
      </c>
      <c r="G15023">
        <v>6</v>
      </c>
      <c r="H15023">
        <f t="shared" si="471"/>
        <v>-6</v>
      </c>
    </row>
    <row r="15024" spans="1:8" x14ac:dyDescent="0.2">
      <c r="A15024" t="s">
        <v>18</v>
      </c>
      <c r="B15024" t="s">
        <v>34</v>
      </c>
      <c r="C15024" t="str">
        <f t="shared" si="472"/>
        <v>No cumple</v>
      </c>
      <c r="D15024">
        <v>2952</v>
      </c>
      <c r="E15024" t="s">
        <v>13</v>
      </c>
      <c r="F15024">
        <v>0</v>
      </c>
      <c r="G15024">
        <v>6</v>
      </c>
      <c r="H15024">
        <f t="shared" si="471"/>
        <v>-6</v>
      </c>
    </row>
    <row r="15025" spans="1:8" x14ac:dyDescent="0.2">
      <c r="A15025" t="s">
        <v>18</v>
      </c>
      <c r="B15025" t="s">
        <v>34</v>
      </c>
      <c r="C15025" t="str">
        <f t="shared" si="472"/>
        <v>No cumple</v>
      </c>
      <c r="D15025">
        <v>2954</v>
      </c>
      <c r="E15025" t="s">
        <v>13</v>
      </c>
      <c r="F15025">
        <v>0</v>
      </c>
      <c r="G15025">
        <v>6</v>
      </c>
      <c r="H15025">
        <f t="shared" si="471"/>
        <v>-6</v>
      </c>
    </row>
    <row r="15026" spans="1:8" x14ac:dyDescent="0.2">
      <c r="A15026" t="s">
        <v>18</v>
      </c>
      <c r="B15026" t="s">
        <v>34</v>
      </c>
      <c r="C15026" t="str">
        <f t="shared" si="472"/>
        <v>No cumple</v>
      </c>
      <c r="D15026">
        <v>2955</v>
      </c>
      <c r="E15026" t="s">
        <v>13</v>
      </c>
      <c r="F15026">
        <v>0</v>
      </c>
      <c r="G15026">
        <v>6</v>
      </c>
      <c r="H15026">
        <f t="shared" si="471"/>
        <v>-6</v>
      </c>
    </row>
    <row r="15027" spans="1:8" x14ac:dyDescent="0.2">
      <c r="A15027" t="s">
        <v>18</v>
      </c>
      <c r="B15027" t="s">
        <v>34</v>
      </c>
      <c r="C15027" t="str">
        <f t="shared" si="472"/>
        <v>No cumple</v>
      </c>
      <c r="D15027">
        <v>2956</v>
      </c>
      <c r="E15027" t="s">
        <v>13</v>
      </c>
      <c r="F15027">
        <v>0</v>
      </c>
      <c r="G15027">
        <v>6</v>
      </c>
      <c r="H15027">
        <f t="shared" si="471"/>
        <v>-6</v>
      </c>
    </row>
    <row r="15028" spans="1:8" x14ac:dyDescent="0.2">
      <c r="A15028" t="s">
        <v>18</v>
      </c>
      <c r="B15028" t="s">
        <v>34</v>
      </c>
      <c r="C15028" t="str">
        <f t="shared" si="472"/>
        <v>No cumple</v>
      </c>
      <c r="D15028">
        <v>2958</v>
      </c>
      <c r="E15028" t="s">
        <v>13</v>
      </c>
      <c r="F15028">
        <v>0</v>
      </c>
      <c r="G15028">
        <v>6</v>
      </c>
      <c r="H15028">
        <f t="shared" si="471"/>
        <v>-6</v>
      </c>
    </row>
    <row r="15029" spans="1:8" x14ac:dyDescent="0.2">
      <c r="A15029" t="s">
        <v>7</v>
      </c>
      <c r="B15029" t="s">
        <v>34</v>
      </c>
      <c r="C15029" t="str">
        <f t="shared" si="472"/>
        <v>No cumple</v>
      </c>
      <c r="D15029">
        <v>2960</v>
      </c>
      <c r="E15029" t="s">
        <v>13</v>
      </c>
      <c r="F15029">
        <v>0</v>
      </c>
      <c r="G15029">
        <v>6</v>
      </c>
      <c r="H15029">
        <f t="shared" si="471"/>
        <v>-6</v>
      </c>
    </row>
    <row r="15030" spans="1:8" x14ac:dyDescent="0.2">
      <c r="A15030" t="s">
        <v>18</v>
      </c>
      <c r="B15030" t="s">
        <v>34</v>
      </c>
      <c r="C15030" t="str">
        <f t="shared" si="472"/>
        <v>No cumple</v>
      </c>
      <c r="D15030">
        <v>2965</v>
      </c>
      <c r="E15030" t="s">
        <v>13</v>
      </c>
      <c r="F15030">
        <v>0</v>
      </c>
      <c r="G15030">
        <v>6</v>
      </c>
      <c r="H15030">
        <f t="shared" si="471"/>
        <v>-6</v>
      </c>
    </row>
    <row r="15031" spans="1:8" x14ac:dyDescent="0.2">
      <c r="A15031" t="s">
        <v>18</v>
      </c>
      <c r="B15031" t="s">
        <v>34</v>
      </c>
      <c r="C15031" t="str">
        <f t="shared" si="472"/>
        <v>No cumple</v>
      </c>
      <c r="D15031">
        <v>2969</v>
      </c>
      <c r="E15031" t="s">
        <v>13</v>
      </c>
      <c r="F15031">
        <v>0</v>
      </c>
      <c r="G15031">
        <v>6</v>
      </c>
      <c r="H15031">
        <f t="shared" si="471"/>
        <v>-6</v>
      </c>
    </row>
    <row r="15032" spans="1:8" x14ac:dyDescent="0.2">
      <c r="A15032" t="s">
        <v>18</v>
      </c>
      <c r="B15032" t="s">
        <v>34</v>
      </c>
      <c r="C15032" t="str">
        <f t="shared" si="472"/>
        <v>No cumple</v>
      </c>
      <c r="D15032">
        <v>2970</v>
      </c>
      <c r="E15032" t="s">
        <v>13</v>
      </c>
      <c r="F15032">
        <v>0</v>
      </c>
      <c r="G15032">
        <v>6</v>
      </c>
      <c r="H15032">
        <f t="shared" si="471"/>
        <v>-6</v>
      </c>
    </row>
    <row r="15033" spans="1:8" x14ac:dyDescent="0.2">
      <c r="A15033" t="s">
        <v>7</v>
      </c>
      <c r="B15033" t="s">
        <v>34</v>
      </c>
      <c r="C15033" t="str">
        <f t="shared" si="472"/>
        <v>No cumple</v>
      </c>
      <c r="D15033">
        <v>2971</v>
      </c>
      <c r="E15033" t="s">
        <v>13</v>
      </c>
      <c r="F15033">
        <v>0</v>
      </c>
      <c r="G15033">
        <v>6</v>
      </c>
      <c r="H15033">
        <f t="shared" si="471"/>
        <v>-6</v>
      </c>
    </row>
    <row r="15034" spans="1:8" x14ac:dyDescent="0.2">
      <c r="A15034" t="s">
        <v>7</v>
      </c>
      <c r="B15034" t="s">
        <v>34</v>
      </c>
      <c r="C15034" t="str">
        <f t="shared" si="472"/>
        <v>No cumple</v>
      </c>
      <c r="D15034">
        <v>2974</v>
      </c>
      <c r="E15034" t="s">
        <v>13</v>
      </c>
      <c r="F15034">
        <v>0</v>
      </c>
      <c r="G15034">
        <v>6</v>
      </c>
      <c r="H15034">
        <f t="shared" si="471"/>
        <v>-6</v>
      </c>
    </row>
    <row r="15035" spans="1:8" x14ac:dyDescent="0.2">
      <c r="A15035" t="s">
        <v>18</v>
      </c>
      <c r="B15035" t="s">
        <v>34</v>
      </c>
      <c r="C15035" t="str">
        <f t="shared" si="472"/>
        <v>No cumple</v>
      </c>
      <c r="D15035">
        <v>2975</v>
      </c>
      <c r="E15035" t="s">
        <v>13</v>
      </c>
      <c r="F15035">
        <v>0</v>
      </c>
      <c r="G15035">
        <v>6</v>
      </c>
      <c r="H15035">
        <f t="shared" si="471"/>
        <v>-6</v>
      </c>
    </row>
    <row r="15036" spans="1:8" x14ac:dyDescent="0.2">
      <c r="A15036" t="s">
        <v>18</v>
      </c>
      <c r="B15036" t="s">
        <v>34</v>
      </c>
      <c r="C15036" t="str">
        <f t="shared" si="472"/>
        <v>No cumple</v>
      </c>
      <c r="D15036">
        <v>2977</v>
      </c>
      <c r="E15036" t="s">
        <v>13</v>
      </c>
      <c r="F15036">
        <v>0</v>
      </c>
      <c r="G15036">
        <v>6</v>
      </c>
      <c r="H15036">
        <f t="shared" si="471"/>
        <v>-6</v>
      </c>
    </row>
    <row r="15037" spans="1:8" x14ac:dyDescent="0.2">
      <c r="A15037" t="s">
        <v>7</v>
      </c>
      <c r="B15037" t="s">
        <v>34</v>
      </c>
      <c r="C15037" t="str">
        <f t="shared" si="472"/>
        <v>No cumple</v>
      </c>
      <c r="D15037">
        <v>2978</v>
      </c>
      <c r="E15037" t="s">
        <v>13</v>
      </c>
      <c r="F15037">
        <v>0</v>
      </c>
      <c r="G15037">
        <v>6</v>
      </c>
      <c r="H15037">
        <f t="shared" ref="H15037:H15074" si="473">F15037-G15037</f>
        <v>-6</v>
      </c>
    </row>
    <row r="15038" spans="1:8" x14ac:dyDescent="0.2">
      <c r="A15038" t="s">
        <v>7</v>
      </c>
      <c r="B15038" t="s">
        <v>34</v>
      </c>
      <c r="C15038" t="str">
        <f t="shared" si="472"/>
        <v>No cumple</v>
      </c>
      <c r="D15038">
        <v>2979</v>
      </c>
      <c r="E15038" t="s">
        <v>13</v>
      </c>
      <c r="F15038">
        <v>0</v>
      </c>
      <c r="G15038">
        <v>6</v>
      </c>
      <c r="H15038">
        <f t="shared" si="473"/>
        <v>-6</v>
      </c>
    </row>
    <row r="15039" spans="1:8" x14ac:dyDescent="0.2">
      <c r="A15039" t="s">
        <v>7</v>
      </c>
      <c r="B15039" t="s">
        <v>34</v>
      </c>
      <c r="C15039" t="str">
        <f t="shared" si="472"/>
        <v>No cumple</v>
      </c>
      <c r="D15039">
        <v>2980</v>
      </c>
      <c r="E15039" t="s">
        <v>13</v>
      </c>
      <c r="F15039">
        <v>0</v>
      </c>
      <c r="G15039">
        <v>6</v>
      </c>
      <c r="H15039">
        <f t="shared" si="473"/>
        <v>-6</v>
      </c>
    </row>
    <row r="15040" spans="1:8" x14ac:dyDescent="0.2">
      <c r="A15040" t="s">
        <v>7</v>
      </c>
      <c r="B15040" t="s">
        <v>34</v>
      </c>
      <c r="C15040" t="str">
        <f t="shared" si="472"/>
        <v>No cumple</v>
      </c>
      <c r="D15040">
        <v>2981</v>
      </c>
      <c r="E15040" t="s">
        <v>13</v>
      </c>
      <c r="F15040">
        <v>0</v>
      </c>
      <c r="G15040">
        <v>6</v>
      </c>
      <c r="H15040">
        <f t="shared" si="473"/>
        <v>-6</v>
      </c>
    </row>
    <row r="15041" spans="1:8" x14ac:dyDescent="0.2">
      <c r="A15041" t="s">
        <v>18</v>
      </c>
      <c r="B15041" t="s">
        <v>34</v>
      </c>
      <c r="C15041" t="str">
        <f t="shared" si="472"/>
        <v>No cumple</v>
      </c>
      <c r="D15041">
        <v>2982</v>
      </c>
      <c r="E15041" t="s">
        <v>13</v>
      </c>
      <c r="F15041">
        <v>0</v>
      </c>
      <c r="G15041">
        <v>6</v>
      </c>
      <c r="H15041">
        <f t="shared" si="473"/>
        <v>-6</v>
      </c>
    </row>
    <row r="15042" spans="1:8" x14ac:dyDescent="0.2">
      <c r="A15042" t="s">
        <v>7</v>
      </c>
      <c r="B15042" t="s">
        <v>34</v>
      </c>
      <c r="C15042" t="str">
        <f t="shared" si="472"/>
        <v>No cumple</v>
      </c>
      <c r="D15042">
        <v>2984</v>
      </c>
      <c r="E15042" t="s">
        <v>13</v>
      </c>
      <c r="F15042">
        <v>0</v>
      </c>
      <c r="G15042">
        <v>6</v>
      </c>
      <c r="H15042">
        <f t="shared" si="473"/>
        <v>-6</v>
      </c>
    </row>
    <row r="15043" spans="1:8" x14ac:dyDescent="0.2">
      <c r="A15043" t="s">
        <v>7</v>
      </c>
      <c r="B15043" t="s">
        <v>34</v>
      </c>
      <c r="C15043" t="str">
        <f t="shared" si="472"/>
        <v>No cumple</v>
      </c>
      <c r="D15043">
        <v>2985</v>
      </c>
      <c r="E15043" t="s">
        <v>13</v>
      </c>
      <c r="F15043">
        <v>0</v>
      </c>
      <c r="G15043">
        <v>6</v>
      </c>
      <c r="H15043">
        <f t="shared" si="473"/>
        <v>-6</v>
      </c>
    </row>
    <row r="15044" spans="1:8" x14ac:dyDescent="0.2">
      <c r="A15044" t="s">
        <v>19</v>
      </c>
      <c r="B15044" t="s">
        <v>34</v>
      </c>
      <c r="C15044" t="str">
        <f t="shared" si="472"/>
        <v>No cumple</v>
      </c>
      <c r="D15044">
        <v>3428</v>
      </c>
      <c r="E15044" t="s">
        <v>13</v>
      </c>
      <c r="F15044">
        <v>0</v>
      </c>
      <c r="G15044">
        <v>6</v>
      </c>
      <c r="H15044">
        <f t="shared" si="473"/>
        <v>-6</v>
      </c>
    </row>
    <row r="15045" spans="1:8" x14ac:dyDescent="0.2">
      <c r="A15045" t="s">
        <v>7</v>
      </c>
      <c r="B15045" t="s">
        <v>34</v>
      </c>
      <c r="C15045" t="str">
        <f t="shared" ref="C15045:C15108" si="474">IF(H15045&gt;=0,"Cumple","No cumple")</f>
        <v>No cumple</v>
      </c>
      <c r="D15045">
        <v>3543</v>
      </c>
      <c r="E15045" t="s">
        <v>13</v>
      </c>
      <c r="F15045">
        <v>0</v>
      </c>
      <c r="G15045">
        <v>6</v>
      </c>
      <c r="H15045">
        <f t="shared" si="473"/>
        <v>-6</v>
      </c>
    </row>
    <row r="15046" spans="1:8" x14ac:dyDescent="0.2">
      <c r="A15046" t="s">
        <v>7</v>
      </c>
      <c r="B15046" t="s">
        <v>34</v>
      </c>
      <c r="C15046" t="str">
        <f t="shared" si="474"/>
        <v>No cumple</v>
      </c>
      <c r="D15046">
        <v>3545</v>
      </c>
      <c r="E15046" t="s">
        <v>13</v>
      </c>
      <c r="F15046">
        <v>0</v>
      </c>
      <c r="G15046">
        <v>6</v>
      </c>
      <c r="H15046">
        <f t="shared" si="473"/>
        <v>-6</v>
      </c>
    </row>
    <row r="15047" spans="1:8" x14ac:dyDescent="0.2">
      <c r="A15047" t="s">
        <v>7</v>
      </c>
      <c r="B15047" t="s">
        <v>34</v>
      </c>
      <c r="C15047" t="str">
        <f t="shared" si="474"/>
        <v>No cumple</v>
      </c>
      <c r="D15047">
        <v>3562</v>
      </c>
      <c r="E15047" t="s">
        <v>13</v>
      </c>
      <c r="F15047">
        <v>0</v>
      </c>
      <c r="G15047">
        <v>6</v>
      </c>
      <c r="H15047">
        <f t="shared" si="473"/>
        <v>-6</v>
      </c>
    </row>
    <row r="15048" spans="1:8" x14ac:dyDescent="0.2">
      <c r="A15048" t="s">
        <v>7</v>
      </c>
      <c r="B15048" t="s">
        <v>34</v>
      </c>
      <c r="C15048" t="str">
        <f t="shared" si="474"/>
        <v>No cumple</v>
      </c>
      <c r="D15048">
        <v>3566</v>
      </c>
      <c r="E15048" t="s">
        <v>13</v>
      </c>
      <c r="F15048">
        <v>0</v>
      </c>
      <c r="G15048">
        <v>6</v>
      </c>
      <c r="H15048">
        <f t="shared" si="473"/>
        <v>-6</v>
      </c>
    </row>
    <row r="15049" spans="1:8" x14ac:dyDescent="0.2">
      <c r="A15049" t="s">
        <v>7</v>
      </c>
      <c r="B15049" t="s">
        <v>34</v>
      </c>
      <c r="C15049" t="str">
        <f t="shared" si="474"/>
        <v>No cumple</v>
      </c>
      <c r="D15049">
        <v>3594</v>
      </c>
      <c r="E15049" t="s">
        <v>13</v>
      </c>
      <c r="F15049">
        <v>0</v>
      </c>
      <c r="G15049">
        <v>6</v>
      </c>
      <c r="H15049">
        <f t="shared" si="473"/>
        <v>-6</v>
      </c>
    </row>
    <row r="15050" spans="1:8" x14ac:dyDescent="0.2">
      <c r="A15050" t="s">
        <v>19</v>
      </c>
      <c r="B15050" t="s">
        <v>34</v>
      </c>
      <c r="C15050" t="str">
        <f t="shared" si="474"/>
        <v>No cumple</v>
      </c>
      <c r="D15050">
        <v>3666</v>
      </c>
      <c r="E15050" t="s">
        <v>13</v>
      </c>
      <c r="F15050">
        <v>0</v>
      </c>
      <c r="G15050">
        <v>6</v>
      </c>
      <c r="H15050">
        <f t="shared" si="473"/>
        <v>-6</v>
      </c>
    </row>
    <row r="15051" spans="1:8" x14ac:dyDescent="0.2">
      <c r="A15051" t="s">
        <v>18</v>
      </c>
      <c r="B15051" t="s">
        <v>34</v>
      </c>
      <c r="C15051" t="str">
        <f t="shared" si="474"/>
        <v>No cumple</v>
      </c>
      <c r="D15051">
        <v>3731</v>
      </c>
      <c r="E15051" t="s">
        <v>13</v>
      </c>
      <c r="F15051">
        <v>0</v>
      </c>
      <c r="G15051">
        <v>6</v>
      </c>
      <c r="H15051">
        <f t="shared" si="473"/>
        <v>-6</v>
      </c>
    </row>
    <row r="15052" spans="1:8" x14ac:dyDescent="0.2">
      <c r="A15052" t="s">
        <v>18</v>
      </c>
      <c r="B15052" t="s">
        <v>34</v>
      </c>
      <c r="C15052" t="str">
        <f t="shared" si="474"/>
        <v>No cumple</v>
      </c>
      <c r="D15052">
        <v>3733</v>
      </c>
      <c r="E15052" t="s">
        <v>13</v>
      </c>
      <c r="F15052">
        <v>0</v>
      </c>
      <c r="G15052">
        <v>6</v>
      </c>
      <c r="H15052">
        <f t="shared" si="473"/>
        <v>-6</v>
      </c>
    </row>
    <row r="15053" spans="1:8" x14ac:dyDescent="0.2">
      <c r="A15053" t="s">
        <v>7</v>
      </c>
      <c r="B15053" t="s">
        <v>34</v>
      </c>
      <c r="C15053" t="str">
        <f t="shared" si="474"/>
        <v>No cumple</v>
      </c>
      <c r="D15053">
        <v>3742</v>
      </c>
      <c r="E15053" t="s">
        <v>13</v>
      </c>
      <c r="F15053">
        <v>0</v>
      </c>
      <c r="G15053">
        <v>6</v>
      </c>
      <c r="H15053">
        <f t="shared" si="473"/>
        <v>-6</v>
      </c>
    </row>
    <row r="15054" spans="1:8" x14ac:dyDescent="0.2">
      <c r="A15054" t="s">
        <v>18</v>
      </c>
      <c r="B15054" t="s">
        <v>34</v>
      </c>
      <c r="C15054" t="str">
        <f t="shared" si="474"/>
        <v>No cumple</v>
      </c>
      <c r="D15054">
        <v>3795</v>
      </c>
      <c r="E15054" t="s">
        <v>13</v>
      </c>
      <c r="F15054">
        <v>0</v>
      </c>
      <c r="G15054">
        <v>6</v>
      </c>
      <c r="H15054">
        <f t="shared" si="473"/>
        <v>-6</v>
      </c>
    </row>
    <row r="15055" spans="1:8" x14ac:dyDescent="0.2">
      <c r="A15055" t="s">
        <v>7</v>
      </c>
      <c r="B15055" t="s">
        <v>34</v>
      </c>
      <c r="C15055" t="str">
        <f t="shared" si="474"/>
        <v>No cumple</v>
      </c>
      <c r="D15055">
        <v>3865</v>
      </c>
      <c r="E15055" t="s">
        <v>13</v>
      </c>
      <c r="F15055">
        <v>0</v>
      </c>
      <c r="G15055">
        <v>6</v>
      </c>
      <c r="H15055">
        <f t="shared" si="473"/>
        <v>-6</v>
      </c>
    </row>
    <row r="15056" spans="1:8" x14ac:dyDescent="0.2">
      <c r="A15056" t="s">
        <v>18</v>
      </c>
      <c r="B15056" t="s">
        <v>34</v>
      </c>
      <c r="C15056" t="str">
        <f t="shared" si="474"/>
        <v>No cumple</v>
      </c>
      <c r="D15056">
        <v>3870</v>
      </c>
      <c r="E15056" t="s">
        <v>13</v>
      </c>
      <c r="F15056">
        <v>0</v>
      </c>
      <c r="G15056">
        <v>6</v>
      </c>
      <c r="H15056">
        <f t="shared" si="473"/>
        <v>-6</v>
      </c>
    </row>
    <row r="15057" spans="1:8" x14ac:dyDescent="0.2">
      <c r="A15057" t="s">
        <v>18</v>
      </c>
      <c r="B15057" t="s">
        <v>34</v>
      </c>
      <c r="C15057" t="str">
        <f t="shared" si="474"/>
        <v>No cumple</v>
      </c>
      <c r="D15057">
        <v>3884</v>
      </c>
      <c r="E15057" t="s">
        <v>13</v>
      </c>
      <c r="F15057">
        <v>0</v>
      </c>
      <c r="G15057">
        <v>6</v>
      </c>
      <c r="H15057">
        <f t="shared" si="473"/>
        <v>-6</v>
      </c>
    </row>
    <row r="15058" spans="1:8" x14ac:dyDescent="0.2">
      <c r="A15058" t="s">
        <v>18</v>
      </c>
      <c r="B15058" t="s">
        <v>34</v>
      </c>
      <c r="C15058" t="str">
        <f t="shared" si="474"/>
        <v>No cumple</v>
      </c>
      <c r="D15058">
        <v>3896</v>
      </c>
      <c r="E15058" t="s">
        <v>13</v>
      </c>
      <c r="F15058">
        <v>0</v>
      </c>
      <c r="G15058">
        <v>6</v>
      </c>
      <c r="H15058">
        <f t="shared" si="473"/>
        <v>-6</v>
      </c>
    </row>
    <row r="15059" spans="1:8" x14ac:dyDescent="0.2">
      <c r="A15059" t="s">
        <v>18</v>
      </c>
      <c r="B15059" t="s">
        <v>34</v>
      </c>
      <c r="C15059" t="str">
        <f t="shared" si="474"/>
        <v>No cumple</v>
      </c>
      <c r="D15059">
        <v>3958</v>
      </c>
      <c r="E15059" t="s">
        <v>13</v>
      </c>
      <c r="F15059">
        <v>0</v>
      </c>
      <c r="G15059">
        <v>6</v>
      </c>
      <c r="H15059">
        <f t="shared" si="473"/>
        <v>-6</v>
      </c>
    </row>
    <row r="15060" spans="1:8" x14ac:dyDescent="0.2">
      <c r="A15060" t="s">
        <v>7</v>
      </c>
      <c r="B15060" t="s">
        <v>34</v>
      </c>
      <c r="C15060" t="str">
        <f t="shared" si="474"/>
        <v>No cumple</v>
      </c>
      <c r="D15060">
        <v>9035</v>
      </c>
      <c r="E15060" t="s">
        <v>13</v>
      </c>
      <c r="F15060">
        <v>0</v>
      </c>
      <c r="G15060">
        <v>6</v>
      </c>
      <c r="H15060">
        <f t="shared" si="473"/>
        <v>-6</v>
      </c>
    </row>
    <row r="15061" spans="1:8" x14ac:dyDescent="0.2">
      <c r="A15061" t="s">
        <v>7</v>
      </c>
      <c r="B15061" t="s">
        <v>34</v>
      </c>
      <c r="C15061" t="str">
        <f t="shared" si="474"/>
        <v>No cumple</v>
      </c>
      <c r="D15061">
        <v>9684</v>
      </c>
      <c r="E15061" t="s">
        <v>13</v>
      </c>
      <c r="F15061">
        <v>0</v>
      </c>
      <c r="G15061">
        <v>6</v>
      </c>
      <c r="H15061">
        <f t="shared" si="473"/>
        <v>-6</v>
      </c>
    </row>
    <row r="15062" spans="1:8" x14ac:dyDescent="0.2">
      <c r="A15062" t="s">
        <v>18</v>
      </c>
      <c r="B15062" t="s">
        <v>34</v>
      </c>
      <c r="C15062" t="str">
        <f t="shared" si="474"/>
        <v>No cumple</v>
      </c>
      <c r="D15062">
        <v>9767</v>
      </c>
      <c r="E15062" t="s">
        <v>13</v>
      </c>
      <c r="F15062">
        <v>0</v>
      </c>
      <c r="G15062">
        <v>6</v>
      </c>
      <c r="H15062">
        <f t="shared" si="473"/>
        <v>-6</v>
      </c>
    </row>
    <row r="15063" spans="1:8" x14ac:dyDescent="0.2">
      <c r="A15063" t="s">
        <v>18</v>
      </c>
      <c r="B15063" t="s">
        <v>34</v>
      </c>
      <c r="C15063" t="str">
        <f t="shared" si="474"/>
        <v>No cumple</v>
      </c>
      <c r="D15063">
        <v>9820</v>
      </c>
      <c r="E15063" t="s">
        <v>13</v>
      </c>
      <c r="F15063">
        <v>0</v>
      </c>
      <c r="G15063">
        <v>6</v>
      </c>
      <c r="H15063">
        <f t="shared" si="473"/>
        <v>-6</v>
      </c>
    </row>
    <row r="15064" spans="1:8" x14ac:dyDescent="0.2">
      <c r="A15064" t="s">
        <v>7</v>
      </c>
      <c r="B15064" t="s">
        <v>34</v>
      </c>
      <c r="C15064" t="str">
        <f t="shared" si="474"/>
        <v>No cumple</v>
      </c>
      <c r="D15064">
        <v>9837</v>
      </c>
      <c r="E15064" t="s">
        <v>13</v>
      </c>
      <c r="F15064">
        <v>0</v>
      </c>
      <c r="G15064">
        <v>6</v>
      </c>
      <c r="H15064">
        <f t="shared" si="473"/>
        <v>-6</v>
      </c>
    </row>
    <row r="15065" spans="1:8" x14ac:dyDescent="0.2">
      <c r="A15065" t="s">
        <v>7</v>
      </c>
      <c r="B15065" t="s">
        <v>34</v>
      </c>
      <c r="C15065" t="str">
        <f t="shared" si="474"/>
        <v>No cumple</v>
      </c>
      <c r="D15065">
        <v>9921</v>
      </c>
      <c r="E15065" t="s">
        <v>13</v>
      </c>
      <c r="F15065">
        <v>0</v>
      </c>
      <c r="G15065">
        <v>6</v>
      </c>
      <c r="H15065">
        <f t="shared" si="473"/>
        <v>-6</v>
      </c>
    </row>
    <row r="15066" spans="1:8" x14ac:dyDescent="0.2">
      <c r="A15066" t="s">
        <v>19</v>
      </c>
      <c r="B15066" t="s">
        <v>34</v>
      </c>
      <c r="C15066" t="str">
        <f t="shared" si="474"/>
        <v>No cumple</v>
      </c>
      <c r="D15066">
        <v>3985</v>
      </c>
      <c r="E15066" t="s">
        <v>13</v>
      </c>
      <c r="F15066">
        <v>0</v>
      </c>
      <c r="G15066">
        <v>6</v>
      </c>
      <c r="H15066">
        <f t="shared" si="473"/>
        <v>-6</v>
      </c>
    </row>
    <row r="15067" spans="1:8" x14ac:dyDescent="0.2">
      <c r="A15067" t="s">
        <v>19</v>
      </c>
      <c r="B15067" t="s">
        <v>34</v>
      </c>
      <c r="C15067" t="str">
        <f t="shared" si="474"/>
        <v>No cumple</v>
      </c>
      <c r="D15067">
        <v>4030</v>
      </c>
      <c r="E15067" t="s">
        <v>13</v>
      </c>
      <c r="F15067">
        <v>0</v>
      </c>
      <c r="G15067">
        <v>6</v>
      </c>
      <c r="H15067">
        <f t="shared" si="473"/>
        <v>-6</v>
      </c>
    </row>
    <row r="15068" spans="1:8" x14ac:dyDescent="0.2">
      <c r="A15068" t="s">
        <v>19</v>
      </c>
      <c r="B15068" t="s">
        <v>34</v>
      </c>
      <c r="C15068" t="str">
        <f t="shared" si="474"/>
        <v>No cumple</v>
      </c>
      <c r="D15068">
        <v>3793</v>
      </c>
      <c r="E15068" t="s">
        <v>13</v>
      </c>
      <c r="F15068">
        <v>0</v>
      </c>
      <c r="G15068">
        <v>6</v>
      </c>
      <c r="H15068">
        <f t="shared" si="473"/>
        <v>-6</v>
      </c>
    </row>
    <row r="15069" spans="1:8" x14ac:dyDescent="0.2">
      <c r="A15069" t="s">
        <v>7</v>
      </c>
      <c r="B15069" t="s">
        <v>34</v>
      </c>
      <c r="C15069" t="str">
        <f t="shared" si="474"/>
        <v>No cumple</v>
      </c>
      <c r="D15069">
        <v>3770</v>
      </c>
      <c r="E15069" t="s">
        <v>13</v>
      </c>
      <c r="F15069">
        <v>0</v>
      </c>
      <c r="G15069">
        <v>6</v>
      </c>
      <c r="H15069">
        <f t="shared" si="473"/>
        <v>-6</v>
      </c>
    </row>
    <row r="15070" spans="1:8" x14ac:dyDescent="0.2">
      <c r="A15070" t="s">
        <v>19</v>
      </c>
      <c r="B15070" t="s">
        <v>34</v>
      </c>
      <c r="C15070" t="str">
        <f t="shared" si="474"/>
        <v>No cumple</v>
      </c>
      <c r="D15070">
        <v>3860</v>
      </c>
      <c r="E15070" t="s">
        <v>13</v>
      </c>
      <c r="F15070">
        <v>0</v>
      </c>
      <c r="G15070">
        <v>6</v>
      </c>
      <c r="H15070">
        <f t="shared" si="473"/>
        <v>-6</v>
      </c>
    </row>
    <row r="15071" spans="1:8" x14ac:dyDescent="0.2">
      <c r="A15071" t="s">
        <v>7</v>
      </c>
      <c r="B15071" t="s">
        <v>34</v>
      </c>
      <c r="C15071" t="str">
        <f t="shared" si="474"/>
        <v>No cumple</v>
      </c>
      <c r="D15071">
        <v>4043</v>
      </c>
      <c r="E15071" t="s">
        <v>13</v>
      </c>
      <c r="F15071">
        <v>0</v>
      </c>
      <c r="G15071">
        <v>6</v>
      </c>
      <c r="H15071">
        <f t="shared" si="473"/>
        <v>-6</v>
      </c>
    </row>
    <row r="15072" spans="1:8" x14ac:dyDescent="0.2">
      <c r="A15072" t="s">
        <v>18</v>
      </c>
      <c r="B15072" t="s">
        <v>34</v>
      </c>
      <c r="C15072" t="str">
        <f t="shared" si="474"/>
        <v>No cumple</v>
      </c>
      <c r="D15072">
        <v>4034</v>
      </c>
      <c r="E15072" t="s">
        <v>13</v>
      </c>
      <c r="F15072">
        <v>0</v>
      </c>
      <c r="G15072">
        <v>6</v>
      </c>
      <c r="H15072">
        <f t="shared" si="473"/>
        <v>-6</v>
      </c>
    </row>
    <row r="15073" spans="1:8" x14ac:dyDescent="0.2">
      <c r="A15073" t="s">
        <v>7</v>
      </c>
      <c r="B15073" t="s">
        <v>34</v>
      </c>
      <c r="C15073" t="str">
        <f t="shared" si="474"/>
        <v>No cumple</v>
      </c>
      <c r="D15073">
        <v>4054</v>
      </c>
      <c r="E15073" t="s">
        <v>13</v>
      </c>
      <c r="F15073">
        <v>0</v>
      </c>
      <c r="G15073">
        <v>6</v>
      </c>
      <c r="H15073">
        <f t="shared" si="473"/>
        <v>-6</v>
      </c>
    </row>
    <row r="15074" spans="1:8" x14ac:dyDescent="0.2">
      <c r="A15074" t="s">
        <v>18</v>
      </c>
      <c r="B15074" t="s">
        <v>34</v>
      </c>
      <c r="C15074" t="str">
        <f t="shared" si="474"/>
        <v>No cumple</v>
      </c>
      <c r="D15074">
        <v>1480</v>
      </c>
      <c r="E15074" t="s">
        <v>13</v>
      </c>
      <c r="F15074">
        <v>0</v>
      </c>
      <c r="G15074">
        <v>6</v>
      </c>
      <c r="H15074">
        <f t="shared" si="473"/>
        <v>-6</v>
      </c>
    </row>
    <row r="15075" spans="1:8" x14ac:dyDescent="0.2">
      <c r="A15075" t="s">
        <v>7</v>
      </c>
      <c r="B15075" t="s">
        <v>34</v>
      </c>
      <c r="C15075" t="str">
        <f t="shared" si="474"/>
        <v>Cumple</v>
      </c>
      <c r="D15075">
        <v>2726</v>
      </c>
      <c r="E15075" t="s">
        <v>15</v>
      </c>
      <c r="F15075">
        <v>31</v>
      </c>
      <c r="G15075">
        <v>6</v>
      </c>
      <c r="H15075">
        <f>F15075-G15075</f>
        <v>25</v>
      </c>
    </row>
    <row r="15076" spans="1:8" x14ac:dyDescent="0.2">
      <c r="A15076" t="s">
        <v>7</v>
      </c>
      <c r="B15076" t="s">
        <v>34</v>
      </c>
      <c r="C15076" t="str">
        <f t="shared" si="474"/>
        <v>Cumple</v>
      </c>
      <c r="D15076">
        <v>376</v>
      </c>
      <c r="E15076" t="s">
        <v>15</v>
      </c>
      <c r="F15076">
        <v>26</v>
      </c>
      <c r="G15076">
        <v>6</v>
      </c>
      <c r="H15076">
        <f t="shared" ref="H15076:H15139" si="475">F15076-G15076</f>
        <v>20</v>
      </c>
    </row>
    <row r="15077" spans="1:8" x14ac:dyDescent="0.2">
      <c r="A15077" t="s">
        <v>7</v>
      </c>
      <c r="B15077" t="s">
        <v>34</v>
      </c>
      <c r="C15077" t="str">
        <f t="shared" si="474"/>
        <v>Cumple</v>
      </c>
      <c r="D15077">
        <v>7566</v>
      </c>
      <c r="E15077" t="s">
        <v>15</v>
      </c>
      <c r="F15077">
        <v>26</v>
      </c>
      <c r="G15077">
        <v>6</v>
      </c>
      <c r="H15077">
        <f t="shared" si="475"/>
        <v>20</v>
      </c>
    </row>
    <row r="15078" spans="1:8" x14ac:dyDescent="0.2">
      <c r="A15078" t="s">
        <v>7</v>
      </c>
      <c r="B15078" t="s">
        <v>34</v>
      </c>
      <c r="C15078" t="str">
        <f t="shared" si="474"/>
        <v>Cumple</v>
      </c>
      <c r="D15078">
        <v>3959</v>
      </c>
      <c r="E15078" t="s">
        <v>15</v>
      </c>
      <c r="F15078">
        <v>24</v>
      </c>
      <c r="G15078">
        <v>6</v>
      </c>
      <c r="H15078">
        <f t="shared" si="475"/>
        <v>18</v>
      </c>
    </row>
    <row r="15079" spans="1:8" x14ac:dyDescent="0.2">
      <c r="A15079" t="s">
        <v>7</v>
      </c>
      <c r="B15079" t="s">
        <v>34</v>
      </c>
      <c r="C15079" t="str">
        <f t="shared" si="474"/>
        <v>Cumple</v>
      </c>
      <c r="D15079">
        <v>7635</v>
      </c>
      <c r="E15079" t="s">
        <v>15</v>
      </c>
      <c r="F15079">
        <v>17</v>
      </c>
      <c r="G15079">
        <v>6</v>
      </c>
      <c r="H15079">
        <f t="shared" si="475"/>
        <v>11</v>
      </c>
    </row>
    <row r="15080" spans="1:8" x14ac:dyDescent="0.2">
      <c r="A15080" t="s">
        <v>7</v>
      </c>
      <c r="B15080" t="s">
        <v>34</v>
      </c>
      <c r="C15080" t="str">
        <f t="shared" si="474"/>
        <v>Cumple</v>
      </c>
      <c r="D15080">
        <v>3789</v>
      </c>
      <c r="E15080" t="s">
        <v>15</v>
      </c>
      <c r="F15080">
        <v>13</v>
      </c>
      <c r="G15080">
        <v>6</v>
      </c>
      <c r="H15080">
        <f t="shared" si="475"/>
        <v>7</v>
      </c>
    </row>
    <row r="15081" spans="1:8" x14ac:dyDescent="0.2">
      <c r="A15081" t="s">
        <v>7</v>
      </c>
      <c r="B15081" t="s">
        <v>34</v>
      </c>
      <c r="C15081" t="str">
        <f t="shared" si="474"/>
        <v>Cumple</v>
      </c>
      <c r="D15081">
        <v>9281</v>
      </c>
      <c r="E15081" t="s">
        <v>15</v>
      </c>
      <c r="F15081">
        <v>12</v>
      </c>
      <c r="G15081">
        <v>6</v>
      </c>
      <c r="H15081">
        <f t="shared" si="475"/>
        <v>6</v>
      </c>
    </row>
    <row r="15082" spans="1:8" x14ac:dyDescent="0.2">
      <c r="A15082" t="s">
        <v>7</v>
      </c>
      <c r="B15082" t="s">
        <v>34</v>
      </c>
      <c r="C15082" t="str">
        <f t="shared" si="474"/>
        <v>Cumple</v>
      </c>
      <c r="D15082">
        <v>7581</v>
      </c>
      <c r="E15082" t="s">
        <v>15</v>
      </c>
      <c r="F15082">
        <v>11</v>
      </c>
      <c r="G15082">
        <v>6</v>
      </c>
      <c r="H15082">
        <f t="shared" si="475"/>
        <v>5</v>
      </c>
    </row>
    <row r="15083" spans="1:8" x14ac:dyDescent="0.2">
      <c r="A15083" t="s">
        <v>7</v>
      </c>
      <c r="B15083" t="s">
        <v>34</v>
      </c>
      <c r="C15083" t="str">
        <f t="shared" si="474"/>
        <v>Cumple</v>
      </c>
      <c r="D15083">
        <v>7090</v>
      </c>
      <c r="E15083" t="s">
        <v>15</v>
      </c>
      <c r="F15083">
        <v>10</v>
      </c>
      <c r="G15083">
        <v>6</v>
      </c>
      <c r="H15083">
        <f t="shared" si="475"/>
        <v>4</v>
      </c>
    </row>
    <row r="15084" spans="1:8" x14ac:dyDescent="0.2">
      <c r="A15084" t="s">
        <v>7</v>
      </c>
      <c r="B15084" t="s">
        <v>34</v>
      </c>
      <c r="C15084" t="str">
        <f t="shared" si="474"/>
        <v>Cumple</v>
      </c>
      <c r="D15084">
        <v>9789</v>
      </c>
      <c r="E15084" t="s">
        <v>16</v>
      </c>
      <c r="F15084">
        <v>9</v>
      </c>
      <c r="G15084">
        <v>6</v>
      </c>
      <c r="H15084">
        <f t="shared" si="475"/>
        <v>3</v>
      </c>
    </row>
    <row r="15085" spans="1:8" x14ac:dyDescent="0.2">
      <c r="A15085" t="s">
        <v>7</v>
      </c>
      <c r="B15085" t="s">
        <v>34</v>
      </c>
      <c r="C15085" t="str">
        <f t="shared" si="474"/>
        <v>Cumple</v>
      </c>
      <c r="D15085">
        <v>7438</v>
      </c>
      <c r="E15085" t="s">
        <v>15</v>
      </c>
      <c r="F15085">
        <v>9</v>
      </c>
      <c r="G15085">
        <v>6</v>
      </c>
      <c r="H15085">
        <f t="shared" si="475"/>
        <v>3</v>
      </c>
    </row>
    <row r="15086" spans="1:8" x14ac:dyDescent="0.2">
      <c r="A15086" t="s">
        <v>7</v>
      </c>
      <c r="B15086" t="s">
        <v>34</v>
      </c>
      <c r="C15086" t="str">
        <f t="shared" si="474"/>
        <v>Cumple</v>
      </c>
      <c r="D15086">
        <v>7628</v>
      </c>
      <c r="E15086" t="s">
        <v>15</v>
      </c>
      <c r="F15086">
        <v>8</v>
      </c>
      <c r="G15086">
        <v>6</v>
      </c>
      <c r="H15086">
        <f t="shared" si="475"/>
        <v>2</v>
      </c>
    </row>
    <row r="15087" spans="1:8" x14ac:dyDescent="0.2">
      <c r="A15087" t="s">
        <v>7</v>
      </c>
      <c r="B15087" t="s">
        <v>34</v>
      </c>
      <c r="C15087" t="str">
        <f t="shared" si="474"/>
        <v>Cumple</v>
      </c>
      <c r="D15087">
        <v>9110</v>
      </c>
      <c r="E15087" t="s">
        <v>15</v>
      </c>
      <c r="F15087">
        <v>8</v>
      </c>
      <c r="G15087">
        <v>6</v>
      </c>
      <c r="H15087">
        <f t="shared" si="475"/>
        <v>2</v>
      </c>
    </row>
    <row r="15088" spans="1:8" x14ac:dyDescent="0.2">
      <c r="A15088" t="s">
        <v>7</v>
      </c>
      <c r="B15088" t="s">
        <v>34</v>
      </c>
      <c r="C15088" t="str">
        <f t="shared" si="474"/>
        <v>Cumple</v>
      </c>
      <c r="D15088">
        <v>9063</v>
      </c>
      <c r="E15088" t="s">
        <v>16</v>
      </c>
      <c r="F15088">
        <v>7</v>
      </c>
      <c r="G15088">
        <v>6</v>
      </c>
      <c r="H15088">
        <f t="shared" si="475"/>
        <v>1</v>
      </c>
    </row>
    <row r="15089" spans="1:8" x14ac:dyDescent="0.2">
      <c r="A15089" t="s">
        <v>7</v>
      </c>
      <c r="B15089" t="s">
        <v>34</v>
      </c>
      <c r="C15089" t="str">
        <f t="shared" si="474"/>
        <v>Cumple</v>
      </c>
      <c r="D15089">
        <v>7051</v>
      </c>
      <c r="E15089" t="s">
        <v>15</v>
      </c>
      <c r="F15089">
        <v>7</v>
      </c>
      <c r="G15089">
        <v>6</v>
      </c>
      <c r="H15089">
        <f t="shared" si="475"/>
        <v>1</v>
      </c>
    </row>
    <row r="15090" spans="1:8" x14ac:dyDescent="0.2">
      <c r="A15090" t="s">
        <v>7</v>
      </c>
      <c r="B15090" t="s">
        <v>34</v>
      </c>
      <c r="C15090" t="str">
        <f t="shared" si="474"/>
        <v>Cumple</v>
      </c>
      <c r="D15090">
        <v>3867</v>
      </c>
      <c r="E15090" t="s">
        <v>15</v>
      </c>
      <c r="F15090">
        <v>7</v>
      </c>
      <c r="G15090">
        <v>6</v>
      </c>
      <c r="H15090">
        <f t="shared" si="475"/>
        <v>1</v>
      </c>
    </row>
    <row r="15091" spans="1:8" x14ac:dyDescent="0.2">
      <c r="A15091" t="s">
        <v>7</v>
      </c>
      <c r="B15091" t="s">
        <v>34</v>
      </c>
      <c r="C15091" t="str">
        <f t="shared" si="474"/>
        <v>Cumple</v>
      </c>
      <c r="D15091">
        <v>7059</v>
      </c>
      <c r="E15091" t="s">
        <v>15</v>
      </c>
      <c r="F15091">
        <v>6</v>
      </c>
      <c r="G15091">
        <v>6</v>
      </c>
      <c r="H15091">
        <f t="shared" si="475"/>
        <v>0</v>
      </c>
    </row>
    <row r="15092" spans="1:8" x14ac:dyDescent="0.2">
      <c r="A15092" t="s">
        <v>7</v>
      </c>
      <c r="B15092" t="s">
        <v>34</v>
      </c>
      <c r="C15092" t="str">
        <f t="shared" si="474"/>
        <v>Cumple</v>
      </c>
      <c r="D15092">
        <v>7109</v>
      </c>
      <c r="E15092" t="s">
        <v>15</v>
      </c>
      <c r="F15092">
        <v>6</v>
      </c>
      <c r="G15092">
        <v>6</v>
      </c>
      <c r="H15092">
        <f t="shared" si="475"/>
        <v>0</v>
      </c>
    </row>
    <row r="15093" spans="1:8" x14ac:dyDescent="0.2">
      <c r="A15093" t="s">
        <v>7</v>
      </c>
      <c r="B15093" t="s">
        <v>34</v>
      </c>
      <c r="C15093" t="str">
        <f t="shared" si="474"/>
        <v>Cumple</v>
      </c>
      <c r="D15093">
        <v>2210</v>
      </c>
      <c r="E15093" t="s">
        <v>15</v>
      </c>
      <c r="F15093">
        <v>6</v>
      </c>
      <c r="G15093">
        <v>6</v>
      </c>
      <c r="H15093">
        <f t="shared" si="475"/>
        <v>0</v>
      </c>
    </row>
    <row r="15094" spans="1:8" x14ac:dyDescent="0.2">
      <c r="A15094" t="s">
        <v>7</v>
      </c>
      <c r="B15094" t="s">
        <v>34</v>
      </c>
      <c r="C15094" t="str">
        <f t="shared" si="474"/>
        <v>Cumple</v>
      </c>
      <c r="D15094">
        <v>3975</v>
      </c>
      <c r="E15094" t="s">
        <v>15</v>
      </c>
      <c r="F15094">
        <v>6</v>
      </c>
      <c r="G15094">
        <v>6</v>
      </c>
      <c r="H15094">
        <f t="shared" si="475"/>
        <v>0</v>
      </c>
    </row>
    <row r="15095" spans="1:8" x14ac:dyDescent="0.2">
      <c r="A15095" t="s">
        <v>7</v>
      </c>
      <c r="B15095" t="s">
        <v>34</v>
      </c>
      <c r="C15095" t="str">
        <f t="shared" si="474"/>
        <v>No cumple</v>
      </c>
      <c r="D15095">
        <v>7123</v>
      </c>
      <c r="E15095" t="s">
        <v>15</v>
      </c>
      <c r="F15095">
        <v>5</v>
      </c>
      <c r="G15095">
        <v>6</v>
      </c>
      <c r="H15095">
        <f t="shared" si="475"/>
        <v>-1</v>
      </c>
    </row>
    <row r="15096" spans="1:8" x14ac:dyDescent="0.2">
      <c r="A15096" t="s">
        <v>7</v>
      </c>
      <c r="B15096" t="s">
        <v>34</v>
      </c>
      <c r="C15096" t="str">
        <f t="shared" si="474"/>
        <v>No cumple</v>
      </c>
      <c r="D15096">
        <v>7044</v>
      </c>
      <c r="E15096" t="s">
        <v>15</v>
      </c>
      <c r="F15096">
        <v>5</v>
      </c>
      <c r="G15096">
        <v>6</v>
      </c>
      <c r="H15096">
        <f t="shared" si="475"/>
        <v>-1</v>
      </c>
    </row>
    <row r="15097" spans="1:8" x14ac:dyDescent="0.2">
      <c r="A15097" t="s">
        <v>7</v>
      </c>
      <c r="B15097" t="s">
        <v>34</v>
      </c>
      <c r="C15097" t="str">
        <f t="shared" si="474"/>
        <v>No cumple</v>
      </c>
      <c r="D15097">
        <v>7097</v>
      </c>
      <c r="E15097" t="s">
        <v>15</v>
      </c>
      <c r="F15097">
        <v>5</v>
      </c>
      <c r="G15097">
        <v>6</v>
      </c>
      <c r="H15097">
        <f t="shared" si="475"/>
        <v>-1</v>
      </c>
    </row>
    <row r="15098" spans="1:8" x14ac:dyDescent="0.2">
      <c r="A15098" t="s">
        <v>7</v>
      </c>
      <c r="B15098" t="s">
        <v>34</v>
      </c>
      <c r="C15098" t="str">
        <f t="shared" si="474"/>
        <v>No cumple</v>
      </c>
      <c r="D15098">
        <v>7066</v>
      </c>
      <c r="E15098" t="s">
        <v>15</v>
      </c>
      <c r="F15098">
        <v>4</v>
      </c>
      <c r="G15098">
        <v>6</v>
      </c>
      <c r="H15098">
        <f t="shared" si="475"/>
        <v>-2</v>
      </c>
    </row>
    <row r="15099" spans="1:8" x14ac:dyDescent="0.2">
      <c r="A15099" t="s">
        <v>7</v>
      </c>
      <c r="B15099" t="s">
        <v>34</v>
      </c>
      <c r="C15099" t="str">
        <f t="shared" si="474"/>
        <v>No cumple</v>
      </c>
      <c r="D15099">
        <v>7071</v>
      </c>
      <c r="E15099" t="s">
        <v>15</v>
      </c>
      <c r="F15099">
        <v>4</v>
      </c>
      <c r="G15099">
        <v>6</v>
      </c>
      <c r="H15099">
        <f t="shared" si="475"/>
        <v>-2</v>
      </c>
    </row>
    <row r="15100" spans="1:8" x14ac:dyDescent="0.2">
      <c r="A15100" t="s">
        <v>7</v>
      </c>
      <c r="B15100" t="s">
        <v>34</v>
      </c>
      <c r="C15100" t="str">
        <f t="shared" si="474"/>
        <v>No cumple</v>
      </c>
      <c r="D15100">
        <v>7116</v>
      </c>
      <c r="E15100" t="s">
        <v>15</v>
      </c>
      <c r="F15100">
        <v>4</v>
      </c>
      <c r="G15100">
        <v>6</v>
      </c>
      <c r="H15100">
        <f t="shared" si="475"/>
        <v>-2</v>
      </c>
    </row>
    <row r="15101" spans="1:8" x14ac:dyDescent="0.2">
      <c r="A15101" t="s">
        <v>7</v>
      </c>
      <c r="B15101" t="s">
        <v>34</v>
      </c>
      <c r="C15101" t="str">
        <f t="shared" si="474"/>
        <v>No cumple</v>
      </c>
      <c r="D15101">
        <v>7629</v>
      </c>
      <c r="E15101" t="s">
        <v>15</v>
      </c>
      <c r="F15101">
        <v>4</v>
      </c>
      <c r="G15101">
        <v>6</v>
      </c>
      <c r="H15101">
        <f t="shared" si="475"/>
        <v>-2</v>
      </c>
    </row>
    <row r="15102" spans="1:8" x14ac:dyDescent="0.2">
      <c r="A15102" t="s">
        <v>7</v>
      </c>
      <c r="B15102" t="s">
        <v>34</v>
      </c>
      <c r="C15102" t="str">
        <f t="shared" si="474"/>
        <v>No cumple</v>
      </c>
      <c r="D15102">
        <v>9334</v>
      </c>
      <c r="E15102" t="s">
        <v>15</v>
      </c>
      <c r="F15102">
        <v>4</v>
      </c>
      <c r="G15102">
        <v>6</v>
      </c>
      <c r="H15102">
        <f t="shared" si="475"/>
        <v>-2</v>
      </c>
    </row>
    <row r="15103" spans="1:8" x14ac:dyDescent="0.2">
      <c r="A15103" t="s">
        <v>7</v>
      </c>
      <c r="B15103" t="s">
        <v>34</v>
      </c>
      <c r="C15103" t="str">
        <f t="shared" si="474"/>
        <v>No cumple</v>
      </c>
      <c r="D15103">
        <v>7106</v>
      </c>
      <c r="E15103" t="s">
        <v>15</v>
      </c>
      <c r="F15103">
        <v>4</v>
      </c>
      <c r="G15103">
        <v>6</v>
      </c>
      <c r="H15103">
        <f t="shared" si="475"/>
        <v>-2</v>
      </c>
    </row>
    <row r="15104" spans="1:8" x14ac:dyDescent="0.2">
      <c r="A15104" t="s">
        <v>7</v>
      </c>
      <c r="B15104" t="s">
        <v>34</v>
      </c>
      <c r="C15104" t="str">
        <f t="shared" si="474"/>
        <v>No cumple</v>
      </c>
      <c r="D15104">
        <v>9887</v>
      </c>
      <c r="E15104" t="s">
        <v>16</v>
      </c>
      <c r="F15104">
        <v>3</v>
      </c>
      <c r="G15104">
        <v>6</v>
      </c>
      <c r="H15104">
        <f t="shared" si="475"/>
        <v>-3</v>
      </c>
    </row>
    <row r="15105" spans="1:8" x14ac:dyDescent="0.2">
      <c r="A15105" t="s">
        <v>7</v>
      </c>
      <c r="B15105" t="s">
        <v>34</v>
      </c>
      <c r="C15105" t="str">
        <f t="shared" si="474"/>
        <v>No cumple</v>
      </c>
      <c r="D15105">
        <v>7014</v>
      </c>
      <c r="E15105" t="s">
        <v>15</v>
      </c>
      <c r="F15105">
        <v>3</v>
      </c>
      <c r="G15105">
        <v>6</v>
      </c>
      <c r="H15105">
        <f t="shared" si="475"/>
        <v>-3</v>
      </c>
    </row>
    <row r="15106" spans="1:8" x14ac:dyDescent="0.2">
      <c r="A15106" t="s">
        <v>7</v>
      </c>
      <c r="B15106" t="s">
        <v>34</v>
      </c>
      <c r="C15106" t="str">
        <f t="shared" si="474"/>
        <v>No cumple</v>
      </c>
      <c r="D15106">
        <v>7032</v>
      </c>
      <c r="E15106" t="s">
        <v>15</v>
      </c>
      <c r="F15106">
        <v>3</v>
      </c>
      <c r="G15106">
        <v>6</v>
      </c>
      <c r="H15106">
        <f t="shared" si="475"/>
        <v>-3</v>
      </c>
    </row>
    <row r="15107" spans="1:8" x14ac:dyDescent="0.2">
      <c r="A15107" t="s">
        <v>7</v>
      </c>
      <c r="B15107" t="s">
        <v>34</v>
      </c>
      <c r="C15107" t="str">
        <f t="shared" si="474"/>
        <v>No cumple</v>
      </c>
      <c r="D15107">
        <v>7092</v>
      </c>
      <c r="E15107" t="s">
        <v>15</v>
      </c>
      <c r="F15107">
        <v>3</v>
      </c>
      <c r="G15107">
        <v>6</v>
      </c>
      <c r="H15107">
        <f t="shared" si="475"/>
        <v>-3</v>
      </c>
    </row>
    <row r="15108" spans="1:8" x14ac:dyDescent="0.2">
      <c r="A15108" t="s">
        <v>7</v>
      </c>
      <c r="B15108" t="s">
        <v>34</v>
      </c>
      <c r="C15108" t="str">
        <f t="shared" si="474"/>
        <v>No cumple</v>
      </c>
      <c r="D15108">
        <v>2736</v>
      </c>
      <c r="E15108" t="s">
        <v>15</v>
      </c>
      <c r="F15108">
        <v>3</v>
      </c>
      <c r="G15108">
        <v>6</v>
      </c>
      <c r="H15108">
        <f t="shared" si="475"/>
        <v>-3</v>
      </c>
    </row>
    <row r="15109" spans="1:8" x14ac:dyDescent="0.2">
      <c r="A15109" t="s">
        <v>7</v>
      </c>
      <c r="B15109" t="s">
        <v>34</v>
      </c>
      <c r="C15109" t="str">
        <f t="shared" ref="C15109:C15172" si="476">IF(H15109&gt;=0,"Cumple","No cumple")</f>
        <v>No cumple</v>
      </c>
      <c r="D15109">
        <v>7046</v>
      </c>
      <c r="E15109" t="s">
        <v>15</v>
      </c>
      <c r="F15109">
        <v>3</v>
      </c>
      <c r="G15109">
        <v>6</v>
      </c>
      <c r="H15109">
        <f t="shared" si="475"/>
        <v>-3</v>
      </c>
    </row>
    <row r="15110" spans="1:8" x14ac:dyDescent="0.2">
      <c r="A15110" t="s">
        <v>7</v>
      </c>
      <c r="B15110" t="s">
        <v>34</v>
      </c>
      <c r="C15110" t="str">
        <f t="shared" si="476"/>
        <v>No cumple</v>
      </c>
      <c r="D15110">
        <v>7055</v>
      </c>
      <c r="E15110" t="s">
        <v>15</v>
      </c>
      <c r="F15110">
        <v>3</v>
      </c>
      <c r="G15110">
        <v>6</v>
      </c>
      <c r="H15110">
        <f t="shared" si="475"/>
        <v>-3</v>
      </c>
    </row>
    <row r="15111" spans="1:8" x14ac:dyDescent="0.2">
      <c r="A15111" t="s">
        <v>7</v>
      </c>
      <c r="B15111" t="s">
        <v>34</v>
      </c>
      <c r="C15111" t="str">
        <f t="shared" si="476"/>
        <v>No cumple</v>
      </c>
      <c r="D15111">
        <v>7632</v>
      </c>
      <c r="E15111" t="s">
        <v>15</v>
      </c>
      <c r="F15111">
        <v>3</v>
      </c>
      <c r="G15111">
        <v>6</v>
      </c>
      <c r="H15111">
        <f t="shared" si="475"/>
        <v>-3</v>
      </c>
    </row>
    <row r="15112" spans="1:8" x14ac:dyDescent="0.2">
      <c r="A15112" t="s">
        <v>7</v>
      </c>
      <c r="B15112" t="s">
        <v>34</v>
      </c>
      <c r="C15112" t="str">
        <f t="shared" si="476"/>
        <v>No cumple</v>
      </c>
      <c r="D15112">
        <v>3996</v>
      </c>
      <c r="E15112" t="s">
        <v>15</v>
      </c>
      <c r="F15112">
        <v>3</v>
      </c>
      <c r="G15112">
        <v>6</v>
      </c>
      <c r="H15112">
        <f t="shared" si="475"/>
        <v>-3</v>
      </c>
    </row>
    <row r="15113" spans="1:8" x14ac:dyDescent="0.2">
      <c r="A15113" t="s">
        <v>7</v>
      </c>
      <c r="B15113" t="s">
        <v>34</v>
      </c>
      <c r="C15113" t="str">
        <f t="shared" si="476"/>
        <v>No cumple</v>
      </c>
      <c r="D15113">
        <v>9296</v>
      </c>
      <c r="E15113" t="s">
        <v>16</v>
      </c>
      <c r="F15113">
        <v>3</v>
      </c>
      <c r="G15113">
        <v>6</v>
      </c>
      <c r="H15113">
        <f t="shared" si="475"/>
        <v>-3</v>
      </c>
    </row>
    <row r="15114" spans="1:8" x14ac:dyDescent="0.2">
      <c r="A15114" t="s">
        <v>7</v>
      </c>
      <c r="B15114" t="s">
        <v>34</v>
      </c>
      <c r="C15114" t="str">
        <f t="shared" si="476"/>
        <v>No cumple</v>
      </c>
      <c r="D15114">
        <v>9849</v>
      </c>
      <c r="E15114" t="s">
        <v>16</v>
      </c>
      <c r="F15114">
        <v>2</v>
      </c>
      <c r="G15114">
        <v>6</v>
      </c>
      <c r="H15114">
        <f t="shared" si="475"/>
        <v>-4</v>
      </c>
    </row>
    <row r="15115" spans="1:8" x14ac:dyDescent="0.2">
      <c r="A15115" t="s">
        <v>7</v>
      </c>
      <c r="B15115" t="s">
        <v>34</v>
      </c>
      <c r="C15115" t="str">
        <f t="shared" si="476"/>
        <v>No cumple</v>
      </c>
      <c r="D15115">
        <v>3757</v>
      </c>
      <c r="E15115" t="s">
        <v>15</v>
      </c>
      <c r="F15115">
        <v>2</v>
      </c>
      <c r="G15115">
        <v>6</v>
      </c>
      <c r="H15115">
        <f t="shared" si="475"/>
        <v>-4</v>
      </c>
    </row>
    <row r="15116" spans="1:8" x14ac:dyDescent="0.2">
      <c r="A15116" t="s">
        <v>7</v>
      </c>
      <c r="B15116" t="s">
        <v>34</v>
      </c>
      <c r="C15116" t="str">
        <f t="shared" si="476"/>
        <v>No cumple</v>
      </c>
      <c r="D15116">
        <v>446</v>
      </c>
      <c r="E15116" t="s">
        <v>15</v>
      </c>
      <c r="F15116">
        <v>2</v>
      </c>
      <c r="G15116">
        <v>6</v>
      </c>
      <c r="H15116">
        <f t="shared" si="475"/>
        <v>-4</v>
      </c>
    </row>
    <row r="15117" spans="1:8" x14ac:dyDescent="0.2">
      <c r="A15117" t="s">
        <v>7</v>
      </c>
      <c r="B15117" t="s">
        <v>34</v>
      </c>
      <c r="C15117" t="str">
        <f t="shared" si="476"/>
        <v>No cumple</v>
      </c>
      <c r="D15117">
        <v>7060</v>
      </c>
      <c r="E15117" t="s">
        <v>15</v>
      </c>
      <c r="F15117">
        <v>2</v>
      </c>
      <c r="G15117">
        <v>6</v>
      </c>
      <c r="H15117">
        <f t="shared" si="475"/>
        <v>-4</v>
      </c>
    </row>
    <row r="15118" spans="1:8" x14ac:dyDescent="0.2">
      <c r="A15118" t="s">
        <v>7</v>
      </c>
      <c r="B15118" t="s">
        <v>34</v>
      </c>
      <c r="C15118" t="str">
        <f t="shared" si="476"/>
        <v>No cumple</v>
      </c>
      <c r="D15118">
        <v>7084</v>
      </c>
      <c r="E15118" t="s">
        <v>15</v>
      </c>
      <c r="F15118">
        <v>2</v>
      </c>
      <c r="G15118">
        <v>6</v>
      </c>
      <c r="H15118">
        <f t="shared" si="475"/>
        <v>-4</v>
      </c>
    </row>
    <row r="15119" spans="1:8" x14ac:dyDescent="0.2">
      <c r="A15119" t="s">
        <v>7</v>
      </c>
      <c r="B15119" t="s">
        <v>34</v>
      </c>
      <c r="C15119" t="str">
        <f t="shared" si="476"/>
        <v>No cumple</v>
      </c>
      <c r="D15119">
        <v>9259</v>
      </c>
      <c r="E15119" t="s">
        <v>15</v>
      </c>
      <c r="F15119">
        <v>2</v>
      </c>
      <c r="G15119">
        <v>6</v>
      </c>
      <c r="H15119">
        <f t="shared" si="475"/>
        <v>-4</v>
      </c>
    </row>
    <row r="15120" spans="1:8" x14ac:dyDescent="0.2">
      <c r="A15120" t="s">
        <v>7</v>
      </c>
      <c r="B15120" t="s">
        <v>34</v>
      </c>
      <c r="C15120" t="str">
        <f t="shared" si="476"/>
        <v>No cumple</v>
      </c>
      <c r="D15120">
        <v>9411</v>
      </c>
      <c r="E15120" t="s">
        <v>15</v>
      </c>
      <c r="F15120">
        <v>2</v>
      </c>
      <c r="G15120">
        <v>6</v>
      </c>
      <c r="H15120">
        <f t="shared" si="475"/>
        <v>-4</v>
      </c>
    </row>
    <row r="15121" spans="1:8" x14ac:dyDescent="0.2">
      <c r="A15121" t="s">
        <v>7</v>
      </c>
      <c r="B15121" t="s">
        <v>34</v>
      </c>
      <c r="C15121" t="str">
        <f t="shared" si="476"/>
        <v>No cumple</v>
      </c>
      <c r="D15121">
        <v>9424</v>
      </c>
      <c r="E15121" t="s">
        <v>15</v>
      </c>
      <c r="F15121">
        <v>2</v>
      </c>
      <c r="G15121">
        <v>6</v>
      </c>
      <c r="H15121">
        <f t="shared" si="475"/>
        <v>-4</v>
      </c>
    </row>
    <row r="15122" spans="1:8" x14ac:dyDescent="0.2">
      <c r="A15122" t="s">
        <v>7</v>
      </c>
      <c r="B15122" t="s">
        <v>34</v>
      </c>
      <c r="C15122" t="str">
        <f t="shared" si="476"/>
        <v>No cumple</v>
      </c>
      <c r="D15122">
        <v>9443</v>
      </c>
      <c r="E15122" t="s">
        <v>15</v>
      </c>
      <c r="F15122">
        <v>2</v>
      </c>
      <c r="G15122">
        <v>6</v>
      </c>
      <c r="H15122">
        <f t="shared" si="475"/>
        <v>-4</v>
      </c>
    </row>
    <row r="15123" spans="1:8" x14ac:dyDescent="0.2">
      <c r="A15123" t="s">
        <v>7</v>
      </c>
      <c r="B15123" t="s">
        <v>34</v>
      </c>
      <c r="C15123" t="str">
        <f t="shared" si="476"/>
        <v>No cumple</v>
      </c>
      <c r="D15123">
        <v>7042</v>
      </c>
      <c r="E15123" t="s">
        <v>15</v>
      </c>
      <c r="F15123">
        <v>2</v>
      </c>
      <c r="G15123">
        <v>6</v>
      </c>
      <c r="H15123">
        <f t="shared" si="475"/>
        <v>-4</v>
      </c>
    </row>
    <row r="15124" spans="1:8" x14ac:dyDescent="0.2">
      <c r="A15124" t="s">
        <v>7</v>
      </c>
      <c r="B15124" t="s">
        <v>34</v>
      </c>
      <c r="C15124" t="str">
        <f t="shared" si="476"/>
        <v>No cumple</v>
      </c>
      <c r="D15124">
        <v>7008</v>
      </c>
      <c r="E15124" t="s">
        <v>15</v>
      </c>
      <c r="F15124">
        <v>1</v>
      </c>
      <c r="G15124">
        <v>6</v>
      </c>
      <c r="H15124">
        <f t="shared" si="475"/>
        <v>-5</v>
      </c>
    </row>
    <row r="15125" spans="1:8" x14ac:dyDescent="0.2">
      <c r="A15125" t="s">
        <v>7</v>
      </c>
      <c r="B15125" t="s">
        <v>34</v>
      </c>
      <c r="C15125" t="str">
        <f t="shared" si="476"/>
        <v>No cumple</v>
      </c>
      <c r="D15125">
        <v>7068</v>
      </c>
      <c r="E15125" t="s">
        <v>15</v>
      </c>
      <c r="F15125">
        <v>1</v>
      </c>
      <c r="G15125">
        <v>6</v>
      </c>
      <c r="H15125">
        <f t="shared" si="475"/>
        <v>-5</v>
      </c>
    </row>
    <row r="15126" spans="1:8" x14ac:dyDescent="0.2">
      <c r="A15126" t="s">
        <v>7</v>
      </c>
      <c r="B15126" t="s">
        <v>34</v>
      </c>
      <c r="C15126" t="str">
        <f t="shared" si="476"/>
        <v>No cumple</v>
      </c>
      <c r="D15126">
        <v>7580</v>
      </c>
      <c r="E15126" t="s">
        <v>15</v>
      </c>
      <c r="F15126">
        <v>1</v>
      </c>
      <c r="G15126">
        <v>6</v>
      </c>
      <c r="H15126">
        <f t="shared" si="475"/>
        <v>-5</v>
      </c>
    </row>
    <row r="15127" spans="1:8" x14ac:dyDescent="0.2">
      <c r="A15127" t="s">
        <v>7</v>
      </c>
      <c r="B15127" t="s">
        <v>34</v>
      </c>
      <c r="C15127" t="str">
        <f t="shared" si="476"/>
        <v>No cumple</v>
      </c>
      <c r="D15127">
        <v>9120</v>
      </c>
      <c r="E15127" t="s">
        <v>15</v>
      </c>
      <c r="F15127">
        <v>1</v>
      </c>
      <c r="G15127">
        <v>6</v>
      </c>
      <c r="H15127">
        <f t="shared" si="475"/>
        <v>-5</v>
      </c>
    </row>
    <row r="15128" spans="1:8" x14ac:dyDescent="0.2">
      <c r="A15128" t="s">
        <v>7</v>
      </c>
      <c r="B15128" t="s">
        <v>34</v>
      </c>
      <c r="C15128" t="str">
        <f t="shared" si="476"/>
        <v>No cumple</v>
      </c>
      <c r="D15128">
        <v>7040</v>
      </c>
      <c r="E15128" t="s">
        <v>15</v>
      </c>
      <c r="F15128">
        <v>1</v>
      </c>
      <c r="G15128">
        <v>6</v>
      </c>
      <c r="H15128">
        <f t="shared" si="475"/>
        <v>-5</v>
      </c>
    </row>
    <row r="15129" spans="1:8" x14ac:dyDescent="0.2">
      <c r="A15129" t="s">
        <v>7</v>
      </c>
      <c r="B15129" t="s">
        <v>34</v>
      </c>
      <c r="C15129" t="str">
        <f t="shared" si="476"/>
        <v>No cumple</v>
      </c>
      <c r="D15129">
        <v>7630</v>
      </c>
      <c r="E15129" t="s">
        <v>15</v>
      </c>
      <c r="F15129">
        <v>1</v>
      </c>
      <c r="G15129">
        <v>6</v>
      </c>
      <c r="H15129">
        <f t="shared" si="475"/>
        <v>-5</v>
      </c>
    </row>
    <row r="15130" spans="1:8" x14ac:dyDescent="0.2">
      <c r="A15130" t="s">
        <v>7</v>
      </c>
      <c r="B15130" t="s">
        <v>34</v>
      </c>
      <c r="C15130" t="str">
        <f t="shared" si="476"/>
        <v>No cumple</v>
      </c>
      <c r="D15130">
        <v>9152</v>
      </c>
      <c r="E15130" t="s">
        <v>15</v>
      </c>
      <c r="F15130">
        <v>1</v>
      </c>
      <c r="G15130">
        <v>6</v>
      </c>
      <c r="H15130">
        <f t="shared" si="475"/>
        <v>-5</v>
      </c>
    </row>
    <row r="15131" spans="1:8" x14ac:dyDescent="0.2">
      <c r="A15131" t="s">
        <v>7</v>
      </c>
      <c r="B15131" t="s">
        <v>34</v>
      </c>
      <c r="C15131" t="str">
        <f t="shared" si="476"/>
        <v>No cumple</v>
      </c>
      <c r="D15131">
        <v>9604</v>
      </c>
      <c r="E15131" t="s">
        <v>15</v>
      </c>
      <c r="F15131">
        <v>1</v>
      </c>
      <c r="G15131">
        <v>6</v>
      </c>
      <c r="H15131">
        <f t="shared" si="475"/>
        <v>-5</v>
      </c>
    </row>
    <row r="15132" spans="1:8" x14ac:dyDescent="0.2">
      <c r="A15132" t="s">
        <v>7</v>
      </c>
      <c r="B15132" t="s">
        <v>34</v>
      </c>
      <c r="C15132" t="str">
        <f t="shared" si="476"/>
        <v>No cumple</v>
      </c>
      <c r="D15132">
        <v>9761</v>
      </c>
      <c r="E15132" t="s">
        <v>15</v>
      </c>
      <c r="F15132">
        <v>1</v>
      </c>
      <c r="G15132">
        <v>6</v>
      </c>
      <c r="H15132">
        <f t="shared" si="475"/>
        <v>-5</v>
      </c>
    </row>
    <row r="15133" spans="1:8" x14ac:dyDescent="0.2">
      <c r="A15133" t="s">
        <v>7</v>
      </c>
      <c r="B15133" t="s">
        <v>34</v>
      </c>
      <c r="C15133" t="str">
        <f t="shared" si="476"/>
        <v>No cumple</v>
      </c>
      <c r="D15133">
        <v>9802</v>
      </c>
      <c r="E15133" t="s">
        <v>15</v>
      </c>
      <c r="F15133">
        <v>1</v>
      </c>
      <c r="G15133">
        <v>6</v>
      </c>
      <c r="H15133">
        <f t="shared" si="475"/>
        <v>-5</v>
      </c>
    </row>
    <row r="15134" spans="1:8" x14ac:dyDescent="0.2">
      <c r="A15134" t="s">
        <v>7</v>
      </c>
      <c r="B15134" t="s">
        <v>34</v>
      </c>
      <c r="C15134" t="str">
        <f t="shared" si="476"/>
        <v>No cumple</v>
      </c>
      <c r="D15134">
        <v>2613</v>
      </c>
      <c r="E15134" t="s">
        <v>15</v>
      </c>
      <c r="F15134">
        <v>1</v>
      </c>
      <c r="G15134">
        <v>6</v>
      </c>
      <c r="H15134">
        <f t="shared" si="475"/>
        <v>-5</v>
      </c>
    </row>
    <row r="15135" spans="1:8" x14ac:dyDescent="0.2">
      <c r="A15135" t="s">
        <v>7</v>
      </c>
      <c r="B15135" t="s">
        <v>34</v>
      </c>
      <c r="C15135" t="str">
        <f t="shared" si="476"/>
        <v>No cumple</v>
      </c>
      <c r="D15135">
        <v>2849</v>
      </c>
      <c r="E15135" t="s">
        <v>15</v>
      </c>
      <c r="F15135">
        <v>1</v>
      </c>
      <c r="G15135">
        <v>6</v>
      </c>
      <c r="H15135">
        <f t="shared" si="475"/>
        <v>-5</v>
      </c>
    </row>
    <row r="15136" spans="1:8" x14ac:dyDescent="0.2">
      <c r="A15136" t="s">
        <v>7</v>
      </c>
      <c r="B15136" t="s">
        <v>34</v>
      </c>
      <c r="C15136" t="str">
        <f t="shared" si="476"/>
        <v>No cumple</v>
      </c>
      <c r="D15136">
        <v>3554</v>
      </c>
      <c r="E15136" t="s">
        <v>15</v>
      </c>
      <c r="F15136">
        <v>1</v>
      </c>
      <c r="G15136">
        <v>6</v>
      </c>
      <c r="H15136">
        <f t="shared" si="475"/>
        <v>-5</v>
      </c>
    </row>
    <row r="15137" spans="1:8" x14ac:dyDescent="0.2">
      <c r="A15137" t="s">
        <v>18</v>
      </c>
      <c r="B15137" t="s">
        <v>34</v>
      </c>
      <c r="C15137" t="str">
        <f t="shared" si="476"/>
        <v>No cumple</v>
      </c>
      <c r="D15137">
        <v>1089</v>
      </c>
      <c r="E15137" t="s">
        <v>16</v>
      </c>
      <c r="F15137">
        <v>0</v>
      </c>
      <c r="G15137">
        <v>6</v>
      </c>
      <c r="H15137">
        <f t="shared" si="475"/>
        <v>-6</v>
      </c>
    </row>
    <row r="15138" spans="1:8" x14ac:dyDescent="0.2">
      <c r="A15138" t="s">
        <v>18</v>
      </c>
      <c r="B15138" t="s">
        <v>34</v>
      </c>
      <c r="C15138" t="str">
        <f t="shared" si="476"/>
        <v>No cumple</v>
      </c>
      <c r="D15138">
        <v>3583</v>
      </c>
      <c r="E15138" t="s">
        <v>16</v>
      </c>
      <c r="F15138">
        <v>0</v>
      </c>
      <c r="G15138">
        <v>6</v>
      </c>
      <c r="H15138">
        <f t="shared" si="475"/>
        <v>-6</v>
      </c>
    </row>
    <row r="15139" spans="1:8" x14ac:dyDescent="0.2">
      <c r="A15139" t="s">
        <v>18</v>
      </c>
      <c r="B15139" t="s">
        <v>34</v>
      </c>
      <c r="C15139" t="str">
        <f t="shared" si="476"/>
        <v>No cumple</v>
      </c>
      <c r="D15139">
        <v>9383</v>
      </c>
      <c r="E15139" t="s">
        <v>16</v>
      </c>
      <c r="F15139">
        <v>0</v>
      </c>
      <c r="G15139">
        <v>6</v>
      </c>
      <c r="H15139">
        <f t="shared" si="475"/>
        <v>-6</v>
      </c>
    </row>
    <row r="15140" spans="1:8" x14ac:dyDescent="0.2">
      <c r="A15140" t="s">
        <v>18</v>
      </c>
      <c r="B15140" t="s">
        <v>34</v>
      </c>
      <c r="C15140" t="str">
        <f t="shared" si="476"/>
        <v>No cumple</v>
      </c>
      <c r="D15140">
        <v>9384</v>
      </c>
      <c r="E15140" t="s">
        <v>16</v>
      </c>
      <c r="F15140">
        <v>0</v>
      </c>
      <c r="G15140">
        <v>6</v>
      </c>
      <c r="H15140">
        <f t="shared" ref="H15140:H15196" si="477">F15140-G15140</f>
        <v>-6</v>
      </c>
    </row>
    <row r="15141" spans="1:8" x14ac:dyDescent="0.2">
      <c r="A15141" t="s">
        <v>18</v>
      </c>
      <c r="B15141" t="s">
        <v>34</v>
      </c>
      <c r="C15141" t="str">
        <f t="shared" si="476"/>
        <v>No cumple</v>
      </c>
      <c r="D15141">
        <v>9386</v>
      </c>
      <c r="E15141" t="s">
        <v>16</v>
      </c>
      <c r="F15141">
        <v>0</v>
      </c>
      <c r="G15141">
        <v>6</v>
      </c>
      <c r="H15141">
        <f t="shared" si="477"/>
        <v>-6</v>
      </c>
    </row>
    <row r="15142" spans="1:8" x14ac:dyDescent="0.2">
      <c r="A15142" t="s">
        <v>18</v>
      </c>
      <c r="B15142" t="s">
        <v>34</v>
      </c>
      <c r="C15142" t="str">
        <f t="shared" si="476"/>
        <v>No cumple</v>
      </c>
      <c r="D15142">
        <v>9388</v>
      </c>
      <c r="E15142" t="s">
        <v>16</v>
      </c>
      <c r="F15142">
        <v>0</v>
      </c>
      <c r="G15142">
        <v>6</v>
      </c>
      <c r="H15142">
        <f t="shared" si="477"/>
        <v>-6</v>
      </c>
    </row>
    <row r="15143" spans="1:8" x14ac:dyDescent="0.2">
      <c r="A15143" t="s">
        <v>18</v>
      </c>
      <c r="B15143" t="s">
        <v>34</v>
      </c>
      <c r="C15143" t="str">
        <f t="shared" si="476"/>
        <v>No cumple</v>
      </c>
      <c r="D15143">
        <v>9390</v>
      </c>
      <c r="E15143" t="s">
        <v>16</v>
      </c>
      <c r="F15143">
        <v>0</v>
      </c>
      <c r="G15143">
        <v>6</v>
      </c>
      <c r="H15143">
        <f t="shared" si="477"/>
        <v>-6</v>
      </c>
    </row>
    <row r="15144" spans="1:8" x14ac:dyDescent="0.2">
      <c r="A15144" t="s">
        <v>18</v>
      </c>
      <c r="B15144" t="s">
        <v>34</v>
      </c>
      <c r="C15144" t="str">
        <f t="shared" si="476"/>
        <v>No cumple</v>
      </c>
      <c r="D15144">
        <v>9391</v>
      </c>
      <c r="E15144" t="s">
        <v>16</v>
      </c>
      <c r="F15144">
        <v>0</v>
      </c>
      <c r="G15144">
        <v>6</v>
      </c>
      <c r="H15144">
        <f t="shared" si="477"/>
        <v>-6</v>
      </c>
    </row>
    <row r="15145" spans="1:8" x14ac:dyDescent="0.2">
      <c r="A15145" t="s">
        <v>7</v>
      </c>
      <c r="B15145" t="s">
        <v>34</v>
      </c>
      <c r="C15145" t="str">
        <f t="shared" si="476"/>
        <v>No cumple</v>
      </c>
      <c r="D15145">
        <v>9393</v>
      </c>
      <c r="E15145" t="s">
        <v>16</v>
      </c>
      <c r="F15145">
        <v>0</v>
      </c>
      <c r="G15145">
        <v>6</v>
      </c>
      <c r="H15145">
        <f t="shared" si="477"/>
        <v>-6</v>
      </c>
    </row>
    <row r="15146" spans="1:8" x14ac:dyDescent="0.2">
      <c r="A15146" t="s">
        <v>18</v>
      </c>
      <c r="B15146" t="s">
        <v>34</v>
      </c>
      <c r="C15146" t="str">
        <f t="shared" si="476"/>
        <v>No cumple</v>
      </c>
      <c r="D15146">
        <v>9394</v>
      </c>
      <c r="E15146" t="s">
        <v>16</v>
      </c>
      <c r="F15146">
        <v>0</v>
      </c>
      <c r="G15146">
        <v>6</v>
      </c>
      <c r="H15146">
        <f t="shared" si="477"/>
        <v>-6</v>
      </c>
    </row>
    <row r="15147" spans="1:8" x14ac:dyDescent="0.2">
      <c r="A15147" t="s">
        <v>7</v>
      </c>
      <c r="B15147" t="s">
        <v>34</v>
      </c>
      <c r="C15147" t="str">
        <f t="shared" si="476"/>
        <v>No cumple</v>
      </c>
      <c r="D15147">
        <v>9395</v>
      </c>
      <c r="E15147" t="s">
        <v>16</v>
      </c>
      <c r="F15147">
        <v>0</v>
      </c>
      <c r="G15147">
        <v>6</v>
      </c>
      <c r="H15147">
        <f t="shared" si="477"/>
        <v>-6</v>
      </c>
    </row>
    <row r="15148" spans="1:8" x14ac:dyDescent="0.2">
      <c r="A15148" t="s">
        <v>18</v>
      </c>
      <c r="B15148" t="s">
        <v>34</v>
      </c>
      <c r="C15148" t="str">
        <f t="shared" si="476"/>
        <v>No cumple</v>
      </c>
      <c r="D15148">
        <v>9407</v>
      </c>
      <c r="E15148" t="s">
        <v>16</v>
      </c>
      <c r="F15148">
        <v>0</v>
      </c>
      <c r="G15148">
        <v>6</v>
      </c>
      <c r="H15148">
        <f t="shared" si="477"/>
        <v>-6</v>
      </c>
    </row>
    <row r="15149" spans="1:8" x14ac:dyDescent="0.2">
      <c r="A15149" t="s">
        <v>18</v>
      </c>
      <c r="B15149" t="s">
        <v>34</v>
      </c>
      <c r="C15149" t="str">
        <f t="shared" si="476"/>
        <v>No cumple</v>
      </c>
      <c r="D15149">
        <v>9417</v>
      </c>
      <c r="E15149" t="s">
        <v>16</v>
      </c>
      <c r="F15149">
        <v>0</v>
      </c>
      <c r="G15149">
        <v>6</v>
      </c>
      <c r="H15149">
        <f t="shared" si="477"/>
        <v>-6</v>
      </c>
    </row>
    <row r="15150" spans="1:8" x14ac:dyDescent="0.2">
      <c r="A15150" t="s">
        <v>18</v>
      </c>
      <c r="B15150" t="s">
        <v>34</v>
      </c>
      <c r="C15150" t="str">
        <f t="shared" si="476"/>
        <v>No cumple</v>
      </c>
      <c r="D15150">
        <v>9418</v>
      </c>
      <c r="E15150" t="s">
        <v>16</v>
      </c>
      <c r="F15150">
        <v>0</v>
      </c>
      <c r="G15150">
        <v>6</v>
      </c>
      <c r="H15150">
        <f t="shared" si="477"/>
        <v>-6</v>
      </c>
    </row>
    <row r="15151" spans="1:8" x14ac:dyDescent="0.2">
      <c r="A15151" t="s">
        <v>18</v>
      </c>
      <c r="B15151" t="s">
        <v>34</v>
      </c>
      <c r="C15151" t="str">
        <f t="shared" si="476"/>
        <v>No cumple</v>
      </c>
      <c r="D15151">
        <v>9492</v>
      </c>
      <c r="E15151" t="s">
        <v>16</v>
      </c>
      <c r="F15151">
        <v>0</v>
      </c>
      <c r="G15151">
        <v>6</v>
      </c>
      <c r="H15151">
        <f t="shared" si="477"/>
        <v>-6</v>
      </c>
    </row>
    <row r="15152" spans="1:8" x14ac:dyDescent="0.2">
      <c r="A15152" t="s">
        <v>18</v>
      </c>
      <c r="B15152" t="s">
        <v>34</v>
      </c>
      <c r="C15152" t="str">
        <f t="shared" si="476"/>
        <v>No cumple</v>
      </c>
      <c r="D15152">
        <v>9493</v>
      </c>
      <c r="E15152" t="s">
        <v>16</v>
      </c>
      <c r="F15152">
        <v>0</v>
      </c>
      <c r="G15152">
        <v>6</v>
      </c>
      <c r="H15152">
        <f t="shared" si="477"/>
        <v>-6</v>
      </c>
    </row>
    <row r="15153" spans="1:8" x14ac:dyDescent="0.2">
      <c r="A15153" t="s">
        <v>18</v>
      </c>
      <c r="B15153" t="s">
        <v>34</v>
      </c>
      <c r="C15153" t="str">
        <f t="shared" si="476"/>
        <v>No cumple</v>
      </c>
      <c r="D15153">
        <v>9678</v>
      </c>
      <c r="E15153" t="s">
        <v>16</v>
      </c>
      <c r="F15153">
        <v>0</v>
      </c>
      <c r="G15153">
        <v>6</v>
      </c>
      <c r="H15153">
        <f t="shared" si="477"/>
        <v>-6</v>
      </c>
    </row>
    <row r="15154" spans="1:8" x14ac:dyDescent="0.2">
      <c r="A15154" t="s">
        <v>18</v>
      </c>
      <c r="B15154" t="s">
        <v>34</v>
      </c>
      <c r="C15154" t="str">
        <f t="shared" si="476"/>
        <v>No cumple</v>
      </c>
      <c r="D15154">
        <v>9947</v>
      </c>
      <c r="E15154" t="s">
        <v>16</v>
      </c>
      <c r="F15154">
        <v>0</v>
      </c>
      <c r="G15154">
        <v>6</v>
      </c>
      <c r="H15154">
        <f t="shared" si="477"/>
        <v>-6</v>
      </c>
    </row>
    <row r="15155" spans="1:8" x14ac:dyDescent="0.2">
      <c r="A15155" t="s">
        <v>18</v>
      </c>
      <c r="B15155" t="s">
        <v>34</v>
      </c>
      <c r="C15155" t="str">
        <f t="shared" si="476"/>
        <v>No cumple</v>
      </c>
      <c r="D15155">
        <v>136</v>
      </c>
      <c r="E15155" t="s">
        <v>16</v>
      </c>
      <c r="F15155">
        <v>0</v>
      </c>
      <c r="G15155">
        <v>6</v>
      </c>
      <c r="H15155">
        <f t="shared" si="477"/>
        <v>-6</v>
      </c>
    </row>
    <row r="15156" spans="1:8" x14ac:dyDescent="0.2">
      <c r="A15156" t="s">
        <v>18</v>
      </c>
      <c r="B15156" t="s">
        <v>34</v>
      </c>
      <c r="C15156" t="str">
        <f t="shared" si="476"/>
        <v>No cumple</v>
      </c>
      <c r="D15156">
        <v>1539</v>
      </c>
      <c r="E15156" t="s">
        <v>16</v>
      </c>
      <c r="F15156">
        <v>0</v>
      </c>
      <c r="G15156">
        <v>6</v>
      </c>
      <c r="H15156">
        <f t="shared" si="477"/>
        <v>-6</v>
      </c>
    </row>
    <row r="15157" spans="1:8" x14ac:dyDescent="0.2">
      <c r="A15157" t="s">
        <v>18</v>
      </c>
      <c r="B15157" t="s">
        <v>34</v>
      </c>
      <c r="C15157" t="str">
        <f t="shared" si="476"/>
        <v>No cumple</v>
      </c>
      <c r="D15157">
        <v>9387</v>
      </c>
      <c r="E15157" t="s">
        <v>16</v>
      </c>
      <c r="F15157">
        <v>0</v>
      </c>
      <c r="G15157">
        <v>6</v>
      </c>
      <c r="H15157">
        <f t="shared" si="477"/>
        <v>-6</v>
      </c>
    </row>
    <row r="15158" spans="1:8" x14ac:dyDescent="0.2">
      <c r="A15158" t="s">
        <v>18</v>
      </c>
      <c r="B15158" t="s">
        <v>34</v>
      </c>
      <c r="C15158" t="str">
        <f t="shared" si="476"/>
        <v>No cumple</v>
      </c>
      <c r="D15158">
        <v>9404</v>
      </c>
      <c r="E15158" t="s">
        <v>16</v>
      </c>
      <c r="F15158">
        <v>0</v>
      </c>
      <c r="G15158">
        <v>6</v>
      </c>
      <c r="H15158">
        <f t="shared" si="477"/>
        <v>-6</v>
      </c>
    </row>
    <row r="15159" spans="1:8" x14ac:dyDescent="0.2">
      <c r="A15159" t="s">
        <v>18</v>
      </c>
      <c r="B15159" t="s">
        <v>34</v>
      </c>
      <c r="C15159" t="str">
        <f t="shared" si="476"/>
        <v>No cumple</v>
      </c>
      <c r="D15159">
        <v>9405</v>
      </c>
      <c r="E15159" t="s">
        <v>16</v>
      </c>
      <c r="F15159">
        <v>0</v>
      </c>
      <c r="G15159">
        <v>6</v>
      </c>
      <c r="H15159">
        <f t="shared" si="477"/>
        <v>-6</v>
      </c>
    </row>
    <row r="15160" spans="1:8" x14ac:dyDescent="0.2">
      <c r="A15160" t="s">
        <v>18</v>
      </c>
      <c r="B15160" t="s">
        <v>34</v>
      </c>
      <c r="C15160" t="str">
        <f t="shared" si="476"/>
        <v>No cumple</v>
      </c>
      <c r="D15160">
        <v>9406</v>
      </c>
      <c r="E15160" t="s">
        <v>16</v>
      </c>
      <c r="F15160">
        <v>0</v>
      </c>
      <c r="G15160">
        <v>6</v>
      </c>
      <c r="H15160">
        <f t="shared" si="477"/>
        <v>-6</v>
      </c>
    </row>
    <row r="15161" spans="1:8" x14ac:dyDescent="0.2">
      <c r="A15161" t="s">
        <v>18</v>
      </c>
      <c r="B15161" t="s">
        <v>34</v>
      </c>
      <c r="C15161" t="str">
        <f t="shared" si="476"/>
        <v>No cumple</v>
      </c>
      <c r="D15161">
        <v>9409</v>
      </c>
      <c r="E15161" t="s">
        <v>16</v>
      </c>
      <c r="F15161">
        <v>0</v>
      </c>
      <c r="G15161">
        <v>6</v>
      </c>
      <c r="H15161">
        <f t="shared" si="477"/>
        <v>-6</v>
      </c>
    </row>
    <row r="15162" spans="1:8" x14ac:dyDescent="0.2">
      <c r="A15162" t="s">
        <v>18</v>
      </c>
      <c r="B15162" t="s">
        <v>34</v>
      </c>
      <c r="C15162" t="str">
        <f t="shared" si="476"/>
        <v>No cumple</v>
      </c>
      <c r="D15162">
        <v>9410</v>
      </c>
      <c r="E15162" t="s">
        <v>16</v>
      </c>
      <c r="F15162">
        <v>0</v>
      </c>
      <c r="G15162">
        <v>6</v>
      </c>
      <c r="H15162">
        <f t="shared" si="477"/>
        <v>-6</v>
      </c>
    </row>
    <row r="15163" spans="1:8" x14ac:dyDescent="0.2">
      <c r="A15163" t="s">
        <v>18</v>
      </c>
      <c r="B15163" t="s">
        <v>34</v>
      </c>
      <c r="C15163" t="str">
        <f t="shared" si="476"/>
        <v>No cumple</v>
      </c>
      <c r="D15163">
        <v>9444</v>
      </c>
      <c r="E15163" t="s">
        <v>16</v>
      </c>
      <c r="F15163">
        <v>0</v>
      </c>
      <c r="G15163">
        <v>6</v>
      </c>
      <c r="H15163">
        <f t="shared" si="477"/>
        <v>-6</v>
      </c>
    </row>
    <row r="15164" spans="1:8" x14ac:dyDescent="0.2">
      <c r="A15164" t="s">
        <v>18</v>
      </c>
      <c r="B15164" t="s">
        <v>34</v>
      </c>
      <c r="C15164" t="str">
        <f t="shared" si="476"/>
        <v>No cumple</v>
      </c>
      <c r="D15164">
        <v>9447</v>
      </c>
      <c r="E15164" t="s">
        <v>16</v>
      </c>
      <c r="F15164">
        <v>0</v>
      </c>
      <c r="G15164">
        <v>6</v>
      </c>
      <c r="H15164">
        <f t="shared" si="477"/>
        <v>-6</v>
      </c>
    </row>
    <row r="15165" spans="1:8" x14ac:dyDescent="0.2">
      <c r="A15165" t="s">
        <v>18</v>
      </c>
      <c r="B15165" t="s">
        <v>34</v>
      </c>
      <c r="C15165" t="str">
        <f t="shared" si="476"/>
        <v>No cumple</v>
      </c>
      <c r="D15165">
        <v>9494</v>
      </c>
      <c r="E15165" t="s">
        <v>16</v>
      </c>
      <c r="F15165">
        <v>0</v>
      </c>
      <c r="G15165">
        <v>6</v>
      </c>
      <c r="H15165">
        <f t="shared" si="477"/>
        <v>-6</v>
      </c>
    </row>
    <row r="15166" spans="1:8" x14ac:dyDescent="0.2">
      <c r="A15166" t="s">
        <v>18</v>
      </c>
      <c r="B15166" t="s">
        <v>34</v>
      </c>
      <c r="C15166" t="str">
        <f t="shared" si="476"/>
        <v>No cumple</v>
      </c>
      <c r="D15166">
        <v>9572</v>
      </c>
      <c r="E15166" t="s">
        <v>16</v>
      </c>
      <c r="F15166">
        <v>0</v>
      </c>
      <c r="G15166">
        <v>6</v>
      </c>
      <c r="H15166">
        <f t="shared" si="477"/>
        <v>-6</v>
      </c>
    </row>
    <row r="15167" spans="1:8" x14ac:dyDescent="0.2">
      <c r="A15167" t="s">
        <v>18</v>
      </c>
      <c r="B15167" t="s">
        <v>34</v>
      </c>
      <c r="C15167" t="str">
        <f t="shared" si="476"/>
        <v>No cumple</v>
      </c>
      <c r="D15167">
        <v>9797</v>
      </c>
      <c r="E15167" t="s">
        <v>16</v>
      </c>
      <c r="F15167">
        <v>0</v>
      </c>
      <c r="G15167">
        <v>6</v>
      </c>
      <c r="H15167">
        <f t="shared" si="477"/>
        <v>-6</v>
      </c>
    </row>
    <row r="15168" spans="1:8" x14ac:dyDescent="0.2">
      <c r="A15168" t="s">
        <v>7</v>
      </c>
      <c r="B15168" t="s">
        <v>34</v>
      </c>
      <c r="C15168" t="str">
        <f t="shared" si="476"/>
        <v>No cumple</v>
      </c>
      <c r="D15168">
        <v>3224</v>
      </c>
      <c r="E15168" t="s">
        <v>15</v>
      </c>
      <c r="F15168">
        <v>0</v>
      </c>
      <c r="G15168">
        <v>6</v>
      </c>
      <c r="H15168">
        <f t="shared" si="477"/>
        <v>-6</v>
      </c>
    </row>
    <row r="15169" spans="1:8" x14ac:dyDescent="0.2">
      <c r="A15169" t="s">
        <v>7</v>
      </c>
      <c r="B15169" t="s">
        <v>34</v>
      </c>
      <c r="C15169" t="str">
        <f t="shared" si="476"/>
        <v>No cumple</v>
      </c>
      <c r="D15169">
        <v>7026</v>
      </c>
      <c r="E15169" t="s">
        <v>15</v>
      </c>
      <c r="F15169">
        <v>0</v>
      </c>
      <c r="G15169">
        <v>6</v>
      </c>
      <c r="H15169">
        <f t="shared" si="477"/>
        <v>-6</v>
      </c>
    </row>
    <row r="15170" spans="1:8" x14ac:dyDescent="0.2">
      <c r="A15170" t="s">
        <v>18</v>
      </c>
      <c r="B15170" t="s">
        <v>34</v>
      </c>
      <c r="C15170" t="str">
        <f t="shared" si="476"/>
        <v>No cumple</v>
      </c>
      <c r="D15170">
        <v>7183</v>
      </c>
      <c r="E15170" t="s">
        <v>15</v>
      </c>
      <c r="F15170">
        <v>0</v>
      </c>
      <c r="G15170">
        <v>6</v>
      </c>
      <c r="H15170">
        <f t="shared" si="477"/>
        <v>-6</v>
      </c>
    </row>
    <row r="15171" spans="1:8" x14ac:dyDescent="0.2">
      <c r="A15171" t="s">
        <v>7</v>
      </c>
      <c r="B15171" t="s">
        <v>34</v>
      </c>
      <c r="C15171" t="str">
        <f t="shared" si="476"/>
        <v>No cumple</v>
      </c>
      <c r="D15171">
        <v>7345</v>
      </c>
      <c r="E15171" t="s">
        <v>15</v>
      </c>
      <c r="F15171">
        <v>0</v>
      </c>
      <c r="G15171">
        <v>6</v>
      </c>
      <c r="H15171">
        <f t="shared" si="477"/>
        <v>-6</v>
      </c>
    </row>
    <row r="15172" spans="1:8" x14ac:dyDescent="0.2">
      <c r="A15172" t="s">
        <v>7</v>
      </c>
      <c r="B15172" t="s">
        <v>34</v>
      </c>
      <c r="C15172" t="str">
        <f t="shared" si="476"/>
        <v>No cumple</v>
      </c>
      <c r="D15172">
        <v>7380</v>
      </c>
      <c r="E15172" t="s">
        <v>15</v>
      </c>
      <c r="F15172">
        <v>0</v>
      </c>
      <c r="G15172">
        <v>6</v>
      </c>
      <c r="H15172">
        <f t="shared" si="477"/>
        <v>-6</v>
      </c>
    </row>
    <row r="15173" spans="1:8" x14ac:dyDescent="0.2">
      <c r="A15173" t="s">
        <v>7</v>
      </c>
      <c r="B15173" t="s">
        <v>34</v>
      </c>
      <c r="C15173" t="str">
        <f t="shared" ref="C15173:C15196" si="478">IF(H15173&gt;=0,"Cumple","No cumple")</f>
        <v>No cumple</v>
      </c>
      <c r="D15173">
        <v>7395</v>
      </c>
      <c r="E15173" t="s">
        <v>15</v>
      </c>
      <c r="F15173">
        <v>0</v>
      </c>
      <c r="G15173">
        <v>6</v>
      </c>
      <c r="H15173">
        <f t="shared" si="477"/>
        <v>-6</v>
      </c>
    </row>
    <row r="15174" spans="1:8" x14ac:dyDescent="0.2">
      <c r="A15174" t="s">
        <v>7</v>
      </c>
      <c r="B15174" t="s">
        <v>34</v>
      </c>
      <c r="C15174" t="str">
        <f t="shared" si="478"/>
        <v>No cumple</v>
      </c>
      <c r="D15174">
        <v>7398</v>
      </c>
      <c r="E15174" t="s">
        <v>15</v>
      </c>
      <c r="F15174">
        <v>0</v>
      </c>
      <c r="G15174">
        <v>6</v>
      </c>
      <c r="H15174">
        <f t="shared" si="477"/>
        <v>-6</v>
      </c>
    </row>
    <row r="15175" spans="1:8" x14ac:dyDescent="0.2">
      <c r="A15175" t="s">
        <v>7</v>
      </c>
      <c r="B15175" t="s">
        <v>34</v>
      </c>
      <c r="C15175" t="str">
        <f t="shared" si="478"/>
        <v>No cumple</v>
      </c>
      <c r="D15175">
        <v>7402</v>
      </c>
      <c r="E15175" t="s">
        <v>15</v>
      </c>
      <c r="F15175">
        <v>0</v>
      </c>
      <c r="G15175">
        <v>6</v>
      </c>
      <c r="H15175">
        <f t="shared" si="477"/>
        <v>-6</v>
      </c>
    </row>
    <row r="15176" spans="1:8" x14ac:dyDescent="0.2">
      <c r="A15176" t="s">
        <v>18</v>
      </c>
      <c r="B15176" t="s">
        <v>34</v>
      </c>
      <c r="C15176" t="str">
        <f t="shared" si="478"/>
        <v>No cumple</v>
      </c>
      <c r="D15176">
        <v>7417</v>
      </c>
      <c r="E15176" t="s">
        <v>15</v>
      </c>
      <c r="F15176">
        <v>0</v>
      </c>
      <c r="G15176">
        <v>6</v>
      </c>
      <c r="H15176">
        <f t="shared" si="477"/>
        <v>-6</v>
      </c>
    </row>
    <row r="15177" spans="1:8" x14ac:dyDescent="0.2">
      <c r="A15177" t="s">
        <v>18</v>
      </c>
      <c r="B15177" t="s">
        <v>34</v>
      </c>
      <c r="C15177" t="str">
        <f t="shared" si="478"/>
        <v>No cumple</v>
      </c>
      <c r="D15177">
        <v>7474</v>
      </c>
      <c r="E15177" t="s">
        <v>15</v>
      </c>
      <c r="F15177">
        <v>0</v>
      </c>
      <c r="G15177">
        <v>6</v>
      </c>
      <c r="H15177">
        <f t="shared" si="477"/>
        <v>-6</v>
      </c>
    </row>
    <row r="15178" spans="1:8" x14ac:dyDescent="0.2">
      <c r="A15178" t="s">
        <v>18</v>
      </c>
      <c r="B15178" t="s">
        <v>34</v>
      </c>
      <c r="C15178" t="str">
        <f t="shared" si="478"/>
        <v>No cumple</v>
      </c>
      <c r="D15178">
        <v>7494</v>
      </c>
      <c r="E15178" t="s">
        <v>15</v>
      </c>
      <c r="F15178">
        <v>0</v>
      </c>
      <c r="G15178">
        <v>6</v>
      </c>
      <c r="H15178">
        <f t="shared" si="477"/>
        <v>-6</v>
      </c>
    </row>
    <row r="15179" spans="1:8" x14ac:dyDescent="0.2">
      <c r="A15179" t="s">
        <v>18</v>
      </c>
      <c r="B15179" t="s">
        <v>34</v>
      </c>
      <c r="C15179" t="str">
        <f t="shared" si="478"/>
        <v>No cumple</v>
      </c>
      <c r="D15179">
        <v>7517</v>
      </c>
      <c r="E15179" t="s">
        <v>15</v>
      </c>
      <c r="F15179">
        <v>0</v>
      </c>
      <c r="G15179">
        <v>6</v>
      </c>
      <c r="H15179">
        <f t="shared" si="477"/>
        <v>-6</v>
      </c>
    </row>
    <row r="15180" spans="1:8" x14ac:dyDescent="0.2">
      <c r="A15180" t="s">
        <v>7</v>
      </c>
      <c r="B15180" t="s">
        <v>34</v>
      </c>
      <c r="C15180" t="str">
        <f t="shared" si="478"/>
        <v>No cumple</v>
      </c>
      <c r="D15180">
        <v>7559</v>
      </c>
      <c r="E15180" t="s">
        <v>15</v>
      </c>
      <c r="F15180">
        <v>0</v>
      </c>
      <c r="G15180">
        <v>6</v>
      </c>
      <c r="H15180">
        <f t="shared" si="477"/>
        <v>-6</v>
      </c>
    </row>
    <row r="15181" spans="1:8" x14ac:dyDescent="0.2">
      <c r="A15181" t="s">
        <v>7</v>
      </c>
      <c r="B15181" t="s">
        <v>34</v>
      </c>
      <c r="C15181" t="str">
        <f t="shared" si="478"/>
        <v>No cumple</v>
      </c>
      <c r="D15181">
        <v>7567</v>
      </c>
      <c r="E15181" t="s">
        <v>15</v>
      </c>
      <c r="F15181">
        <v>0</v>
      </c>
      <c r="G15181">
        <v>6</v>
      </c>
      <c r="H15181">
        <f t="shared" si="477"/>
        <v>-6</v>
      </c>
    </row>
    <row r="15182" spans="1:8" x14ac:dyDescent="0.2">
      <c r="A15182" t="s">
        <v>7</v>
      </c>
      <c r="B15182" t="s">
        <v>34</v>
      </c>
      <c r="C15182" t="str">
        <f t="shared" si="478"/>
        <v>No cumple</v>
      </c>
      <c r="D15182">
        <v>7622</v>
      </c>
      <c r="E15182" t="s">
        <v>15</v>
      </c>
      <c r="F15182">
        <v>0</v>
      </c>
      <c r="G15182">
        <v>6</v>
      </c>
      <c r="H15182">
        <f t="shared" si="477"/>
        <v>-6</v>
      </c>
    </row>
    <row r="15183" spans="1:8" x14ac:dyDescent="0.2">
      <c r="A15183" t="s">
        <v>7</v>
      </c>
      <c r="B15183" t="s">
        <v>34</v>
      </c>
      <c r="C15183" t="str">
        <f t="shared" si="478"/>
        <v>No cumple</v>
      </c>
      <c r="D15183">
        <v>7631</v>
      </c>
      <c r="E15183" t="s">
        <v>15</v>
      </c>
      <c r="F15183">
        <v>0</v>
      </c>
      <c r="G15183">
        <v>6</v>
      </c>
      <c r="H15183">
        <f t="shared" si="477"/>
        <v>-6</v>
      </c>
    </row>
    <row r="15184" spans="1:8" x14ac:dyDescent="0.2">
      <c r="A15184" t="s">
        <v>7</v>
      </c>
      <c r="B15184" t="s">
        <v>34</v>
      </c>
      <c r="C15184" t="str">
        <f t="shared" si="478"/>
        <v>No cumple</v>
      </c>
      <c r="D15184">
        <v>1864</v>
      </c>
      <c r="E15184" t="s">
        <v>15</v>
      </c>
      <c r="F15184">
        <v>0</v>
      </c>
      <c r="G15184">
        <v>6</v>
      </c>
      <c r="H15184">
        <f t="shared" si="477"/>
        <v>-6</v>
      </c>
    </row>
    <row r="15185" spans="1:8" x14ac:dyDescent="0.2">
      <c r="A15185" t="s">
        <v>7</v>
      </c>
      <c r="B15185" t="s">
        <v>34</v>
      </c>
      <c r="C15185" t="str">
        <f t="shared" si="478"/>
        <v>No cumple</v>
      </c>
      <c r="D15185">
        <v>7038</v>
      </c>
      <c r="E15185" t="s">
        <v>15</v>
      </c>
      <c r="F15185">
        <v>0</v>
      </c>
      <c r="G15185">
        <v>6</v>
      </c>
      <c r="H15185">
        <f t="shared" si="477"/>
        <v>-6</v>
      </c>
    </row>
    <row r="15186" spans="1:8" x14ac:dyDescent="0.2">
      <c r="A15186" t="s">
        <v>7</v>
      </c>
      <c r="B15186" t="s">
        <v>34</v>
      </c>
      <c r="C15186" t="str">
        <f t="shared" si="478"/>
        <v>No cumple</v>
      </c>
      <c r="D15186">
        <v>7045</v>
      </c>
      <c r="E15186" t="s">
        <v>15</v>
      </c>
      <c r="F15186">
        <v>0</v>
      </c>
      <c r="G15186">
        <v>6</v>
      </c>
      <c r="H15186">
        <f t="shared" si="477"/>
        <v>-6</v>
      </c>
    </row>
    <row r="15187" spans="1:8" x14ac:dyDescent="0.2">
      <c r="A15187" t="s">
        <v>7</v>
      </c>
      <c r="B15187" t="s">
        <v>34</v>
      </c>
      <c r="C15187" t="str">
        <f t="shared" si="478"/>
        <v>No cumple</v>
      </c>
      <c r="D15187">
        <v>7085</v>
      </c>
      <c r="E15187" t="s">
        <v>15</v>
      </c>
      <c r="F15187">
        <v>0</v>
      </c>
      <c r="G15187">
        <v>6</v>
      </c>
      <c r="H15187">
        <f t="shared" si="477"/>
        <v>-6</v>
      </c>
    </row>
    <row r="15188" spans="1:8" x14ac:dyDescent="0.2">
      <c r="A15188" t="s">
        <v>7</v>
      </c>
      <c r="B15188" t="s">
        <v>34</v>
      </c>
      <c r="C15188" t="str">
        <f t="shared" si="478"/>
        <v>No cumple</v>
      </c>
      <c r="D15188">
        <v>7606</v>
      </c>
      <c r="E15188" t="s">
        <v>15</v>
      </c>
      <c r="F15188">
        <v>0</v>
      </c>
      <c r="G15188">
        <v>6</v>
      </c>
      <c r="H15188">
        <f t="shared" si="477"/>
        <v>-6</v>
      </c>
    </row>
    <row r="15189" spans="1:8" x14ac:dyDescent="0.2">
      <c r="A15189" t="s">
        <v>7</v>
      </c>
      <c r="B15189" t="s">
        <v>34</v>
      </c>
      <c r="C15189" t="str">
        <f t="shared" si="478"/>
        <v>No cumple</v>
      </c>
      <c r="D15189">
        <v>7633</v>
      </c>
      <c r="E15189" t="s">
        <v>15</v>
      </c>
      <c r="F15189">
        <v>0</v>
      </c>
      <c r="G15189">
        <v>6</v>
      </c>
      <c r="H15189">
        <f t="shared" si="477"/>
        <v>-6</v>
      </c>
    </row>
    <row r="15190" spans="1:8" x14ac:dyDescent="0.2">
      <c r="A15190" t="s">
        <v>7</v>
      </c>
      <c r="B15190" t="s">
        <v>34</v>
      </c>
      <c r="C15190" t="str">
        <f t="shared" si="478"/>
        <v>No cumple</v>
      </c>
      <c r="D15190">
        <v>8001</v>
      </c>
      <c r="E15190" t="s">
        <v>15</v>
      </c>
      <c r="F15190">
        <v>0</v>
      </c>
      <c r="G15190">
        <v>6</v>
      </c>
      <c r="H15190">
        <f t="shared" si="477"/>
        <v>-6</v>
      </c>
    </row>
    <row r="15191" spans="1:8" x14ac:dyDescent="0.2">
      <c r="A15191" t="s">
        <v>7</v>
      </c>
      <c r="B15191" t="s">
        <v>34</v>
      </c>
      <c r="C15191" t="str">
        <f t="shared" si="478"/>
        <v>No cumple</v>
      </c>
      <c r="D15191">
        <v>9543</v>
      </c>
      <c r="E15191" t="s">
        <v>15</v>
      </c>
      <c r="F15191">
        <v>0</v>
      </c>
      <c r="G15191">
        <v>6</v>
      </c>
      <c r="H15191">
        <f t="shared" si="477"/>
        <v>-6</v>
      </c>
    </row>
    <row r="15192" spans="1:8" x14ac:dyDescent="0.2">
      <c r="A15192" t="s">
        <v>18</v>
      </c>
      <c r="B15192" t="s">
        <v>34</v>
      </c>
      <c r="C15192" t="str">
        <f t="shared" si="478"/>
        <v>No cumple</v>
      </c>
      <c r="D15192">
        <v>9779</v>
      </c>
      <c r="E15192" t="s">
        <v>16</v>
      </c>
      <c r="F15192">
        <v>0</v>
      </c>
      <c r="G15192">
        <v>6</v>
      </c>
      <c r="H15192">
        <f t="shared" si="477"/>
        <v>-6</v>
      </c>
    </row>
    <row r="15193" spans="1:8" x14ac:dyDescent="0.2">
      <c r="A15193" t="s">
        <v>18</v>
      </c>
      <c r="B15193" t="s">
        <v>34</v>
      </c>
      <c r="C15193" t="str">
        <f t="shared" si="478"/>
        <v>No cumple</v>
      </c>
      <c r="D15193">
        <v>9529</v>
      </c>
      <c r="E15193" t="s">
        <v>16</v>
      </c>
      <c r="F15193">
        <v>0</v>
      </c>
      <c r="G15193">
        <v>6</v>
      </c>
      <c r="H15193">
        <f t="shared" si="477"/>
        <v>-6</v>
      </c>
    </row>
    <row r="15194" spans="1:8" x14ac:dyDescent="0.2">
      <c r="A15194" t="s">
        <v>18</v>
      </c>
      <c r="B15194" t="s">
        <v>34</v>
      </c>
      <c r="C15194" t="str">
        <f t="shared" si="478"/>
        <v>No cumple</v>
      </c>
      <c r="D15194">
        <v>9445</v>
      </c>
      <c r="E15194" t="s">
        <v>16</v>
      </c>
      <c r="F15194">
        <v>0</v>
      </c>
      <c r="G15194">
        <v>6</v>
      </c>
      <c r="H15194">
        <f t="shared" si="477"/>
        <v>-6</v>
      </c>
    </row>
    <row r="15195" spans="1:8" x14ac:dyDescent="0.2">
      <c r="A15195" t="s">
        <v>19</v>
      </c>
      <c r="B15195" t="s">
        <v>34</v>
      </c>
      <c r="C15195" t="str">
        <f t="shared" si="478"/>
        <v>No cumple</v>
      </c>
      <c r="D15195">
        <v>4058</v>
      </c>
      <c r="E15195" t="s">
        <v>15</v>
      </c>
      <c r="F15195">
        <v>0</v>
      </c>
      <c r="G15195">
        <v>6</v>
      </c>
      <c r="H15195">
        <f t="shared" si="477"/>
        <v>-6</v>
      </c>
    </row>
    <row r="15196" spans="1:8" x14ac:dyDescent="0.2">
      <c r="A15196" t="s">
        <v>7</v>
      </c>
      <c r="B15196" t="s">
        <v>34</v>
      </c>
      <c r="C15196" t="str">
        <f t="shared" si="478"/>
        <v>No cumple</v>
      </c>
      <c r="D15196">
        <v>4075</v>
      </c>
      <c r="E15196" t="s">
        <v>15</v>
      </c>
      <c r="F15196">
        <v>0</v>
      </c>
      <c r="G15196">
        <v>6</v>
      </c>
      <c r="H15196">
        <f t="shared" si="477"/>
        <v>-6</v>
      </c>
    </row>
  </sheetData>
  <autoFilter ref="A1:H14166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2025-12-18T05:14:42Z</dcterms:modified>
</cp:coreProperties>
</file>